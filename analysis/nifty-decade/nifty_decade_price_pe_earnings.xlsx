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t" sheetId="1" state="visible" r:id="rId3"/>
    <sheet name="Monthly" sheetId="2" state="visible" r:id="rId4"/>
    <sheet name="Daily" sheetId="3" state="visible" r:id="rId5"/>
    <sheet name="Summary" sheetId="4" state="visible" r:id="rId6"/>
    <sheet name="Validation" sheetId="5" state="visible" r:id="rId7"/>
    <sheet name="Method &amp; Sources" sheetId="6" state="visible" r:id="rId8"/>
  </sheets>
  <definedNames>
    <definedName function="false" hidden="false" localSheetId="0" name="_xlnm.Print_Area" vbProcedure="false">Chart!$A$1:$V$57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<sst xmlns="http://schemas.openxmlformats.org/spreadsheetml/2006/main" count="360" uniqueCount="204">
  <si>
    <t xml:space="preserve">Until 2019, the Nifty rose because investors paid more for each rupee of profit. Since then, profits have done the lifting.</t>
  </si>
  <si>
    <t xml:space="preserve">Over ten years the Nifty grew 2.6 times and the profit behind it about 2.7 to 2.8 times, after adjusting for NSE's 2021 change in how profit is counted. So investors now pay the same or a little less for each rupee of profit as they did in 2016.</t>
  </si>
  <si>
    <t xml:space="preserve">On 31 Mar 2021 NSE began counting subsidiaries' profits as well as the parent company's (consolidated instead of standalone earnings), which cut its P/E from 40.4x to 33.2x overnight. Lighter lines show the old method.</t>
  </si>
  <si>
    <t xml:space="preserve">Source: NSE Indices (Nifty 50 P/E, trailing four quarters, month-end; via Downstox, checked against NSE Index Dashboards), Yahoo Finance (Nifty 50 daily closes). Profit per unit = Nifty close ÷ NSE P/E. Latest reading 28 Sep 2026.</t>
  </si>
  <si>
    <t xml:space="preserve">* Old method (parent-company profit only). Changes in brackets are like-for-like: pre-2021 profit multiplied by 1.14 (Bloomberg's 10-year average gap) to 1.205 (the gap on NSE's switch day). A lower 2019 estimate of 1.05 (PrimeInvestor) would put the profit multiple at 3.1x. Motilal Oswal's separate count of Nifty EPS: ₹393 (FY16) to ₹1,065 (FY26), 2.7x.</t>
  </si>
  <si>
    <t xml:space="preserve">1 Finance | SEBI Registered Investment Advisor. This content is for information and educational purposes only. Please consult a Qualified Financial Advisor before making investment decisions.</t>
  </si>
  <si>
    <t xml:space="preserve">Month-end (last trading day)</t>
  </si>
  <si>
    <t xml:space="preserve">Nifty 50 close</t>
  </si>
  <si>
    <t xml:space="preserve">NSE P/E as published</t>
  </si>
  <si>
    <t xml:space="preserve">Earnings basis</t>
  </si>
  <si>
    <t xml:space="preserve">Trailing EPS as published (close / P/E), ₹</t>
  </si>
  <si>
    <t xml:space="preserve">Trailing EPS, like-for-like (pre-2021 x ratio), ₹</t>
  </si>
  <si>
    <t xml:space="preserve">P/E, like-for-like (pre-2021 / ratio)</t>
  </si>
  <si>
    <t xml:space="preserve">EPS growth over 12 months, like-for-like</t>
  </si>
  <si>
    <t xml:space="preserve">Note</t>
  </si>
  <si>
    <t xml:space="preserve">standalone</t>
  </si>
  <si>
    <t xml:space="preserve">consolidated</t>
  </si>
  <si>
    <t xml:space="preserve">First consolidated reading (31 Mar 2021). NSE P/E was 40.43 the day before on standalone earnings; the index barely moved.</t>
  </si>
  <si>
    <t xml:space="preserve">28 Sep 2026 NSE P/E (19.26) per Nippon India MF "Markets for You" daily note citing NSE; month-end for September not yet published. Downstox showed 19.74 as of 18 Sep.</t>
  </si>
  <si>
    <t xml:space="preserve">Date</t>
  </si>
  <si>
    <t xml:space="preserve">Missing from Yahoo's daily table; value is Yahoo's March 2019 monthly close.</t>
  </si>
  <si>
    <t xml:space="preserve">Nifty 50 over ten years: price, NSE P/E and earnings</t>
  </si>
  <si>
    <t xml:space="preserve">Blue = input. Everything else is a formula on the Monthly and Daily sheets. Price = earnings x P/E, so each row reconciles.</t>
  </si>
  <si>
    <t xml:space="preserve">NSE's switch from standalone to consolidated earnings</t>
  </si>
  <si>
    <t xml:space="preserve">Nifty close, 30 Mar 2021 (last standalone day)</t>
  </si>
  <si>
    <t xml:space="preserve">NSE P/E that day, standalone earnings</t>
  </si>
  <si>
    <t xml:space="preserve">Nifty close, 31 Mar 2021 (first consolidated day)</t>
  </si>
  <si>
    <t xml:space="preserve">NSE P/E that day, consolidated earnings</t>
  </si>
  <si>
    <t xml:space="preserve">Consolidated / standalone earnings at the switch</t>
  </si>
  <si>
    <t xml:space="preserve">Consolidated / standalone, Bloomberg 10-year average (input)</t>
  </si>
  <si>
    <t xml:space="preserve">The Hindu BusinessLine, Mar 2021: "on the average ... 14 per cent higher"</t>
  </si>
  <si>
    <t xml:space="preserve">Ratio used for the like-for-like columns (input)</t>
  </si>
  <si>
    <t xml:space="preserve">Default: the switch-day ratio. Type 1.14 (or anything else) to see how the like-for-like columns move.</t>
  </si>
  <si>
    <t xml:space="preserve">Low estimate, PrimeInvestor Dec 2019 (input)</t>
  </si>
  <si>
    <t xml:space="preserve">PrimeInvestor: consolidated earnings "about 5 per cent higher than the standalone earnings"</t>
  </si>
  <si>
    <t xml:space="preserve">Point in time</t>
  </si>
  <si>
    <t xml:space="preserve">Month-end</t>
  </si>
  <si>
    <t xml:space="preserve">Nifty 50</t>
  </si>
  <si>
    <t xml:space="preserve">Basis</t>
  </si>
  <si>
    <t xml:space="preserve">EPS as published (₹)</t>
  </si>
  <si>
    <t xml:space="preserve">EPS like-for-like (₹)</t>
  </si>
  <si>
    <t xml:space="preserve">P/E like-for-like</t>
  </si>
  <si>
    <t xml:space="preserve">Price multiple to latest</t>
  </si>
  <si>
    <t xml:space="preserve">EPS multiple to latest (like-for-like)</t>
  </si>
  <si>
    <t xml:space="preserve">P/E multiple to latest (like-for-like)</t>
  </si>
  <si>
    <t xml:space="preserve">Ten years ago</t>
  </si>
  <si>
    <t xml:space="preserve">End of 2019 (before COVID)</t>
  </si>
  <si>
    <t xml:space="preserve">March 2020 (COVID crash)</t>
  </si>
  <si>
    <t xml:space="preserve">Feb 2021 (last standalone month-end)</t>
  </si>
  <si>
    <t xml:space="preserve">Mar 2021 (first consolidated reading)</t>
  </si>
  <si>
    <t xml:space="preserve">Sep 2024 (record Nifty high month)</t>
  </si>
  <si>
    <t xml:space="preserve">End of 2025</t>
  </si>
  <si>
    <t xml:space="preserve">Latest (28 Sep 2026)</t>
  </si>
  <si>
    <t xml:space="preserve">Two halves of the decade (as published; the second half crosses the 2021 switch, see the like-for-like range below)</t>
  </si>
  <si>
    <t xml:space="preserve">Period</t>
  </si>
  <si>
    <t xml:space="preserve">From</t>
  </si>
  <si>
    <t xml:space="preserve">To</t>
  </si>
  <si>
    <t xml:space="preserve">Price change</t>
  </si>
  <si>
    <t xml:space="preserve">EPS change as published</t>
  </si>
  <si>
    <t xml:space="preserve">P/E change as published</t>
  </si>
  <si>
    <t xml:space="preserve">Price CAGR</t>
  </si>
  <si>
    <t xml:space="preserve">Sep 2016 to Dec 2019 (both standalone: like-for-like)</t>
  </si>
  <si>
    <t xml:space="preserve">Dec 2019 to latest</t>
  </si>
  <si>
    <t xml:space="preserve">Whole decade</t>
  </si>
  <si>
    <t xml:space="preserve">Like-for-like range: pre-2021 earnings restated to a consolidated basis</t>
  </si>
  <si>
    <t xml:space="preserve">Measure</t>
  </si>
  <si>
    <t xml:space="preserve">Ratio 1.05 (PrimeInvestor, low)</t>
  </si>
  <si>
    <t xml:space="preserve">Ratio 1.14 (Bloomberg 10-yr average)</t>
  </si>
  <si>
    <t xml:space="preserve">Switch-day ratio</t>
  </si>
  <si>
    <t xml:space="preserve">Ratio</t>
  </si>
  <si>
    <t xml:space="preserve">Earnings multiple over the decade</t>
  </si>
  <si>
    <t xml:space="preserve">P/E ten years ago, restated</t>
  </si>
  <si>
    <t xml:space="preserve">Change in P/E over the decade</t>
  </si>
  <si>
    <t xml:space="preserve">Earnings multiple, Dec 2019 to latest</t>
  </si>
  <si>
    <t xml:space="preserve">P/E at end-2019, restated</t>
  </si>
  <si>
    <t xml:space="preserve">Change in P/E, Dec 2019 to latest</t>
  </si>
  <si>
    <t xml:space="preserve">P/E in March 2020, restated</t>
  </si>
  <si>
    <t xml:space="preserve">Where today's P/E sits</t>
  </si>
  <si>
    <t xml:space="preserve">Lowest month-end NSE P/E since the switch (Mar 2021 onward)</t>
  </si>
  <si>
    <t xml:space="preserve">Median month-end NSE P/E since the switch</t>
  </si>
  <si>
    <t xml:space="preserve">Second-lowest month-end reading since the switch</t>
  </si>
  <si>
    <t xml:space="preserve">Median month-end NSE P/E, Sep 2016 to Feb 2021 (standalone, as published)</t>
  </si>
  <si>
    <t xml:space="preserve">... restated at the ratio in B11</t>
  </si>
  <si>
    <t xml:space="preserve">Chart helper: latest-P/E reference line (two points)</t>
  </si>
  <si>
    <t xml:space="preserve">A. NSE P/E: Downstox values checked against NSE's own Index Dashboards and Nippon India notes</t>
  </si>
  <si>
    <t xml:space="preserve">Downstox (used)</t>
  </si>
  <si>
    <t xml:space="preserve">Second source</t>
  </si>
  <si>
    <t xml:space="preserve">Difference</t>
  </si>
  <si>
    <t xml:space="preserve">Type</t>
  </si>
  <si>
    <t xml:space="preserve">URL</t>
  </si>
  <si>
    <t xml:space="preserve">NSE Indices, Index Dashboard Dec 2016</t>
  </si>
  <si>
    <t xml:space="preserve">primary, month-end</t>
  </si>
  <si>
    <t xml:space="preserve">https://mondovisione.com/_assets/files/IISL_Index_Dashboard_DEC2016.pdf</t>
  </si>
  <si>
    <t xml:space="preserve">Nippon India MF, Markets for You (NSE data)</t>
  </si>
  <si>
    <t xml:space="preserve">month-end</t>
  </si>
  <si>
    <t xml:space="preserve">https://mf.nipponindiaim.com/LearnAndInvest/MarketsForYouDocuments/Markets-for-You-April-03-2017.pdf</t>
  </si>
  <si>
    <t xml:space="preserve">https://mf.nipponindiaim.com/LearnAndInvest/MarketsForYouDocuments/Markets-for-You-January-01-2018.pdf</t>
  </si>
  <si>
    <t xml:space="preserve">NSE Indices, Index Dashboard Jan 2018</t>
  </si>
  <si>
    <t xml:space="preserve">https://mondovisione.com/_assets/files/IISL_Index_Dashboard_JAN2018.pdf</t>
  </si>
  <si>
    <t xml:space="preserve">https://mf.nipponindiaim.com/LearnAndInvest/MarketsForYouDocuments/Markets-for-You-September-03-2018.pdf</t>
  </si>
  <si>
    <t xml:space="preserve">https://mf.nipponindiaim.com/LearnAndInvest/MarketsForYouDocuments/Markets-for-You-January-01-2019.pdf</t>
  </si>
  <si>
    <t xml:space="preserve">NSE Indices, Index Dashboard Mar 2019</t>
  </si>
  <si>
    <t xml:space="preserve">https://mondovisione.com/_assets/files/Index_Dashboard_MAR2019.pdf</t>
  </si>
  <si>
    <t xml:space="preserve">https://mf.nipponindiaim.com/LearnAndInvest/MarketsForYouDocuments/Markets-for-You-July-01-2019.pdf</t>
  </si>
  <si>
    <t xml:space="preserve">NSE Indices, Index Dashboard Dec 2019</t>
  </si>
  <si>
    <t xml:space="preserve">https://mondovisione.com/_assets/files/NSE_Index_Dashboard_DEC2019.pdf</t>
  </si>
  <si>
    <t xml:space="preserve">NSE Indices, Index Dashboard Mar 2020</t>
  </si>
  <si>
    <t xml:space="preserve">https://mondovisione.com/_assets/files/Index_Dashboard_MAR2020.pdf</t>
  </si>
  <si>
    <t xml:space="preserve">NSE Indices, Index Dashboard Jun 2020</t>
  </si>
  <si>
    <t xml:space="preserve">https://mondovisione.com/_assets/files/NSE_Index_Dashboard_JUN2020.pdf</t>
  </si>
  <si>
    <t xml:space="preserve">NSE Indices, Index Dashboard Dec 2020</t>
  </si>
  <si>
    <t xml:space="preserve">https://mondovisione.com/_assets/files/NSE_Index_Dashboard_DEC2020.pdf</t>
  </si>
  <si>
    <t xml:space="preserve">NSE Indices, Index Dashboard Feb 2021</t>
  </si>
  <si>
    <t xml:space="preserve">https://mondovisione.com/_assets/files/NSE_Index_Dashboard_FEB2021.pdf</t>
  </si>
  <si>
    <t xml:space="preserve">Nippon India MF, Markets for You (NSE data), last standalone day</t>
  </si>
  <si>
    <t xml:space="preserve">daily</t>
  </si>
  <si>
    <t xml:space="preserve">https://mf.nipponindiaim.com/LearnAndInvest/MarketsForYouDocuments/Markets-for-You-March-31-2021.pdf</t>
  </si>
  <si>
    <t xml:space="preserve">NSE Indices, Index Dashboard Mar 2021 (first consolidated)</t>
  </si>
  <si>
    <t xml:space="preserve">https://mondovisione.com/_assets/files/NSE_Index_Dashboard_MAR2021.pdf</t>
  </si>
  <si>
    <t xml:space="preserve">NSE Indices, Index Dashboard Oct 2021</t>
  </si>
  <si>
    <t xml:space="preserve">https://mondovisione.com/_assets/files/NSE_Index_Dashboard_OCT2021.pdf</t>
  </si>
  <si>
    <t xml:space="preserve">https://mf.nipponindiaim.com/LearnAndInvest/MarketsForYou/markets-for-you-july-01-2022.html</t>
  </si>
  <si>
    <t xml:space="preserve">NSE Indices, Index Dashboard Dec 2022</t>
  </si>
  <si>
    <t xml:space="preserve">https://mondovisione.com/_assets/files/NSE_Index_Dashboard_DEC2022.pdf</t>
  </si>
  <si>
    <t xml:space="preserve">NSE Indices, Index Dashboard Mar 2023</t>
  </si>
  <si>
    <t xml:space="preserve">https://mondovisione.com/_assets/files/NSE_Index_Dashboard_MAR2023.pdf</t>
  </si>
  <si>
    <t xml:space="preserve">NSE Indices, Index Dashboard Dec 2023</t>
  </si>
  <si>
    <t xml:space="preserve">https://mondovisione.com/_assets/files/NSE_Index_Dashboard_DEC2023.pdf</t>
  </si>
  <si>
    <t xml:space="preserve">NSE Indices, Index Dashboard Sep 2024</t>
  </si>
  <si>
    <t xml:space="preserve">https://mondovisione.com/_assets/files/NSE_Index_Dashboard_SEP2024.pdf</t>
  </si>
  <si>
    <t xml:space="preserve">NSE Indices, Index Dashboard Mar 2025</t>
  </si>
  <si>
    <t xml:space="preserve">https://mondovisione.com/_assets/files/NSE_Index_Dashboard_MAR2025.pdf</t>
  </si>
  <si>
    <t xml:space="preserve">NSE Indices, Index Dashboard Dec 2025</t>
  </si>
  <si>
    <t xml:space="preserve">https://mondovisione.com/_assets/files/NSE_Index_Dashboard_DEC2025.pdf</t>
  </si>
  <si>
    <t xml:space="preserve">NSE Indices, Index Dashboard Mar 2026</t>
  </si>
  <si>
    <t xml:space="preserve">https://mondovisione.com/_assets/files/NSE_Index_Dashboard_MAR2026.pdf</t>
  </si>
  <si>
    <t xml:space="preserve">Nippon India MF product note (NSE data)</t>
  </si>
  <si>
    <t xml:space="preserve">https://mf.nipponindiaim.com/FundsAndPerformance/ProductNotes/NipponIndia-Index-Fund-Nifty-50-Plan-July-2026.pdf</t>
  </si>
  <si>
    <t xml:space="preserve">NSE Indices factsheet and Index Dashboard Aug 2026</t>
  </si>
  <si>
    <t xml:space="preserve">https://www.niftyindices.com/Factsheet/ind_nifty50.pdf</t>
  </si>
  <si>
    <t xml:space="preserve">Largest absolute difference</t>
  </si>
  <si>
    <t xml:space="preserve">Downstox shows one decimal except at year-ends, so differences up to 0.05 are rounding.</t>
  </si>
  <si>
    <t xml:space="preserve">B. How much bigger were consolidated earnings than standalone? (the ratio used to restate pre-2021 numbers)</t>
  </si>
  <si>
    <t xml:space="preserve">When</t>
  </si>
  <si>
    <t xml:space="preserve">Source</t>
  </si>
  <si>
    <t xml:space="preserve">31 Mar 2021, NSE switch day (this workbook, Summary!B9)</t>
  </si>
  <si>
    <t xml:space="preserve">NSE P/E 40.43 on 30 Mar (standalone) and 33.20 on 31 Mar (consolidated)</t>
  </si>
  <si>
    <t xml:space="preserve">https://downstox.com/nifty-pe/nifty-50</t>
  </si>
  <si>
    <t xml:space="preserve">Early 2021, earnings to Dec 2020 (Bloomberg data)</t>
  </si>
  <si>
    <t xml:space="preserve">The Hindu BusinessLine (Mar 2021): "about 16 per cent higher"; the article's own figures (Rs 420 vs Rs 371) imply about 13%</t>
  </si>
  <si>
    <t xml:space="preserve">https://www.thehindubusinessline.com/todays-paper/tp-investmentworld/article34010344.ece</t>
  </si>
  <si>
    <t xml:space="preserve">Average of the 10 years to 2020 (Bloomberg data)</t>
  </si>
  <si>
    <t xml:space="preserve">The Hindu BusinessLine (Mar 2021): "on the average ... 14 per cent higher"</t>
  </si>
  <si>
    <t xml:space="preserve">Jan 2008 peak (P/E 26.5 standalone vs 23.3 consolidated)</t>
  </si>
  <si>
    <t xml:space="preserve">The Hindu BusinessLine (Bloomberg data)</t>
  </si>
  <si>
    <t xml:space="preserve">Dec 2019 (low estimate)</t>
  </si>
  <si>
    <t xml:space="preserve">PrimeInvestor (Dec 2019): "consolidated earnings of the Nifty firms are about 5 per cent higher than the standalone earnings"</t>
  </si>
  <si>
    <t xml:space="preserve">https://primeinvestor.in/reports/what-they-dont-tell-you-about-the-nifty-pe/</t>
  </si>
  <si>
    <t xml:space="preserve">C. Actual Nifty EPS tallied by Motilal Oswal (fiscal years ending March) vs NSE-implied trailing EPS two months after year-end</t>
  </si>
  <si>
    <t xml:space="preserve">Fiscal year</t>
  </si>
  <si>
    <t xml:space="preserve">MOFSL EPS (₹)</t>
  </si>
  <si>
    <t xml:space="preserve">NSE-implied EPS end-May, as published (₹)</t>
  </si>
  <si>
    <t xml:space="preserve">NSE / MOFSL</t>
  </si>
  <si>
    <t xml:space="preserve">Note / source</t>
  </si>
  <si>
    <t xml:space="preserve">FY16</t>
  </si>
  <si>
    <t xml:space="preserve">MOFSL India Strategy (Mar 2017): "the eventual FY16 EPS (~INR393)"; before this workbook's window</t>
  </si>
  <si>
    <t xml:space="preserve">FY19</t>
  </si>
  <si>
    <t xml:space="preserve">MOFSL (Jun 2019), +6.7% YoY</t>
  </si>
  <si>
    <t xml:space="preserve">FY21</t>
  </si>
  <si>
    <t xml:space="preserve">MOFSL via Mint (Jun 2021); first year where NSE is also on consolidated earnings</t>
  </si>
  <si>
    <t xml:space="preserve">FY22</t>
  </si>
  <si>
    <t xml:space="preserve">MOFSL interim 4QFY22 review via Zee Business/PTI (May 2022)</t>
  </si>
  <si>
    <t xml:space="preserve">FY23</t>
  </si>
  <si>
    <t xml:space="preserve">MOFSL via BQ Prime (Jul 2023)</t>
  </si>
  <si>
    <t xml:space="preserve">FY24</t>
  </si>
  <si>
    <t xml:space="preserve">MOFSL (31 May 2024), +24% YoY</t>
  </si>
  <si>
    <t xml:space="preserve">FY25</t>
  </si>
  <si>
    <t xml:space="preserve">MOFSL (Jun 2025), +1% YoY</t>
  </si>
  <si>
    <t xml:space="preserve">FY26</t>
  </si>
  <si>
    <t xml:space="preserve">MOFSL via ET Now / The Adviser Times (Jun 2026), +5% YoY</t>
  </si>
  <si>
    <t xml:space="preserve">MOFSL FY16 to FY26 EPS multiple</t>
  </si>
  <si>
    <t xml:space="preserve">When both are on consolidated earnings (FY21) the two agree within 1%. In FY19, NSE's standalone figure sat well below MOFSL's, which is consistent with a large consolidated premium before 2021. The two methods drift apart by 5-9% in later years, so treat this as a rough cross-check.</t>
  </si>
  <si>
    <t xml:space="preserve">How this workbook was built</t>
  </si>
  <si>
    <t xml:space="preserve">1. Nifty 50 daily closes, 1 Sep 2016 to 28 Sep 2026, come from Yahoo Finance (^NSEI, NSE data). Every year was transcribed twice by independent agents and the two copies were diffed: all 2,483 days in Yahoo's daily table matched, and every month-end close matches Yahoo's monthly table. The one missing day (29 Mar 2019) was filled from Yahoo's monthly table, making 2,484 days.</t>
  </si>
  <si>
    <t xml:space="preserve">2. NSE's Nifty 50 P/E (index market cap divided by trailing four-quarter earnings, as NSE Indices publishes it daily) is taken at each month-end from Downstox, which republishes NSE's series. 25 month-end values plus the 30 Mar 2021 daily reading were checked against NSE's own monthly Index Dashboards and Nippon India MF's notes; all but one agree within 0.05 (Downstox's one-decimal rounding) and the largest gap is 0.08 (Jul 2026, against a Nippon India product note). September 2026 uses the 28 Sep 2026 daily reading (19.26), not a month-end.</t>
  </si>
  <si>
    <t xml:space="preserve">3. Earnings per unit = Nifty close / NSE P/E. This is NSE's trailing earnings for the index, as NSE counts them.</t>
  </si>
  <si>
    <t xml:space="preserve">4. On 31 Mar 2021 NSE switched from standalone to consolidated earnings. The P/E fell from 40.43 to 33.20 overnight while the index moved about 1%, so consolidated earnings were about 20.5% higher than standalone that day (Summary!B9).</t>
  </si>
  <si>
    <t xml:space="preserve">5. Like-for-like columns multiply pre-2021 earnings by a ratio (Summary!B11) to put them on a consolidated basis. The ratio changed over time: Bloomberg data put the 10-year average at 1.14 and early 2021 at about 1.13 to 1.16, NSE's switch day gave 1.205, and PrimeInvestor estimated only 1.05 in Dec 2019. The Summary shows results at 1.05, 1.14 and 1.205; the chart uses 1.14 to 1.205, the range best supported by NSE's own data and Bloomberg.</t>
  </si>
  <si>
    <t xml:space="preserve">6. Motilal Oswal's bottom-up tally of actual Nifty EPS (FY16 ₹393 to FY26 ₹1,065, 2.7x) is shown on the Validation sheet as an independent check.</t>
  </si>
  <si>
    <t xml:space="preserve">What the numbers are, and what they are not</t>
  </si>
  <si>
    <t xml:space="preserve">NSE's P/E is a trailing measure: it divides today's price by the last four quarters of reported profit. It is not the forward (expected-earnings) P/E that Bloomberg charts use, so its levels are higher; on 28 Sep 2026 NSE showed 19.3x while Bloomberg's forward P/E was about 17x.</t>
  </si>
  <si>
    <t xml:space="preserve">Some long-run "average Nifty P/E" figures (Business Standard 26.7x, Craytheon 23.28x over 10 years) include the higher standalone readings from before 2021, which makes today's P/E look further below normal than it is like-for-like. The consolidated-era median here is 22.0x.</t>
  </si>
  <si>
    <t xml:space="preserve">The Nifty figures are the price index, without dividends. The total-return index grew about 1.35 percentage points a year faster over the ten years to 17 Jul 2026 (12.39% against 11.04% a year; NSE return profile via Bajaj Finserv AMC).</t>
  </si>
  <si>
    <t xml:space="preserve">Sources</t>
  </si>
  <si>
    <t xml:space="preserve">NSE Indices: Nifty 50 P/E methodology (consolidated trailing four quarters), https://www.niftyindices.com/resources/index-concepts/price-earnings-ratio</t>
  </si>
  <si>
    <t xml:space="preserve">Downstox, Nifty 50 PE ratio monthly history (NSE Indices data), https://downstox.com/nifty-pe/nifty-50</t>
  </si>
  <si>
    <t xml:space="preserve">NSE Indices monthly Index Dashboards (Dec 2016 to Mar 2026), hosted at mondovisione.com; Nippon India MF "Markets for You" daily notes. URLs on the Validation sheet.</t>
  </si>
  <si>
    <t xml:space="preserve">Yahoo Finance, NIFTY 50 (^NSEI) historical data, https://finance.yahoo.com/quote/%5ENSEI/history/</t>
  </si>
  <si>
    <t xml:space="preserve">The Economic Times (23 Feb 2021): NSE to calculate P/E on consolidated earnings from 31 Mar 2021.</t>
  </si>
  <si>
    <t xml:space="preserve">The Hindu BusinessLine (Mar 2021, Bloomberg data): consolidated earnings about 16% above standalone in Dec 2020 and 14% above on average over 10 years.</t>
  </si>
  <si>
    <t xml:space="preserve">Motilal Oswal Financial Services: India Strategy reports (FY16 EPS ~₹393; FY19 ₹481; FY21 to FY26 as on the Validation sheet).</t>
  </si>
  <si>
    <t xml:space="preserve">PrimeInvestor (Dec 2019): Nifty earnings growth "barely 2 per cent a year" over the previous five years. ICICI Direct (2024 strategy): Nifty EPS CAGR 2% over FY17-20.</t>
  </si>
  <si>
    <t xml:space="preserve">Nippon India MF (28 Sep 2026): Nifty 50 P/E 19.26.</t>
  </si>
  <si>
    <t xml:space="preserve">PrimeInvestor (Dec 2019): consolidated Nifty earnings "about 5 per cent higher than the standalone earnings".</t>
  </si>
</sst>
</file>

<file path=xl/styles.xml><?xml version="1.0" encoding="utf-8"?>
<styleSheet xmlns="http://schemas.openxmlformats.org/spreadsheetml/2006/main">
  <numFmts count="18">
    <numFmt numFmtId="164" formatCode="General"/>
    <numFmt numFmtId="165" formatCode="mmm\ yyyy"/>
    <numFmt numFmtId="166" formatCode="#,##0"/>
    <numFmt numFmtId="167" formatCode="\₹#,##0"/>
    <numFmt numFmtId="168" formatCode="&quot;   &quot;0\x"/>
    <numFmt numFmtId="169" formatCode="mmm\-yyyy"/>
    <numFmt numFmtId="170" formatCode="0.0\x"/>
    <numFmt numFmtId="171" formatCode="#,##0.0"/>
    <numFmt numFmtId="172" formatCode="0.0"/>
    <numFmt numFmtId="173" formatCode="0%"/>
    <numFmt numFmtId="174" formatCode="dd\-mmm\-yyyy"/>
    <numFmt numFmtId="175" formatCode="#,##0.00"/>
    <numFmt numFmtId="176" formatCode="0.00"/>
    <numFmt numFmtId="177" formatCode="0.000"/>
    <numFmt numFmtId="178" formatCode="0.00\x"/>
    <numFmt numFmtId="179" formatCode="\+0%;\-0%"/>
    <numFmt numFmtId="180" formatCode="0.0%"/>
    <numFmt numFmtId="181" formatCode="\+0.00;\-0.00;0.00"/>
  </numFmts>
  <fonts count="23">
    <font>
      <sz val="11"/>
      <color theme="1"/>
      <name val="Calibri"/>
      <family val="2"/>
      <charset val="1"/>
    </font>
    <font>
      <sz val="10"/>
      <name val="Arial"/>
      <family val="0"/>
    </font>
    <font>
      <sz val="10"/>
      <name val="Arial"/>
      <family val="0"/>
    </font>
    <font>
      <sz val="10"/>
      <name val="Arial"/>
      <family val="0"/>
    </font>
    <font>
      <b val="true"/>
      <sz val="17"/>
      <color rgb="FF272623"/>
      <name val="Fira Sans"/>
      <family val="0"/>
      <charset val="1"/>
    </font>
    <font>
      <sz val="11"/>
      <color rgb="FF6C6A62"/>
      <name val="Fira Sans"/>
      <family val="0"/>
      <charset val="1"/>
    </font>
    <font>
      <b val="true"/>
      <sz val="12"/>
      <color rgb="FF272623"/>
      <name val="Fira Sans"/>
      <family val="0"/>
      <charset val="1"/>
    </font>
    <font>
      <sz val="8"/>
      <color rgb="FF8E8C81"/>
      <name val="Fira Sans"/>
      <family val="0"/>
      <charset val="1"/>
    </font>
    <font>
      <i val="true"/>
      <sz val="8"/>
      <color rgb="FF8E8C81"/>
      <name val="Fira Sans"/>
      <family val="0"/>
      <charset val="1"/>
    </font>
    <font>
      <sz val="9"/>
      <color rgb="FF6C6A62"/>
      <name val="Fira Sans"/>
      <family val="2"/>
    </font>
    <font>
      <sz val="10"/>
      <color rgb="FF272623"/>
      <name val="Fira Sans"/>
      <family val="2"/>
    </font>
    <font>
      <b val="true"/>
      <sz val="10"/>
      <color rgb="FF272623"/>
      <name val="Fira Sans"/>
      <family val="2"/>
    </font>
    <font>
      <b val="true"/>
      <sz val="10"/>
      <color rgb="FF272623"/>
      <name val="Arial"/>
      <family val="0"/>
      <charset val="1"/>
    </font>
    <font>
      <sz val="10"/>
      <color rgb="FF0000FF"/>
      <name val="Arial"/>
      <family val="0"/>
      <charset val="1"/>
    </font>
    <font>
      <sz val="10"/>
      <color rgb="FF000000"/>
      <name val="Arial"/>
      <family val="0"/>
      <charset val="1"/>
    </font>
    <font>
      <sz val="9"/>
      <color rgb="FF6C6A62"/>
      <name val="Arial"/>
      <family val="0"/>
      <charset val="1"/>
    </font>
    <font>
      <b val="true"/>
      <sz val="13"/>
      <color rgb="FF272623"/>
      <name val="Arial"/>
      <family val="0"/>
      <charset val="1"/>
    </font>
    <font>
      <i val="true"/>
      <sz val="9"/>
      <color rgb="FF6C6A62"/>
      <name val="Arial"/>
      <family val="0"/>
      <charset val="1"/>
    </font>
    <font>
      <b val="true"/>
      <sz val="10"/>
      <color rgb="FF000000"/>
      <name val="Arial"/>
      <family val="0"/>
      <charset val="1"/>
    </font>
    <font>
      <b val="true"/>
      <sz val="10"/>
      <color rgb="FF0000FF"/>
      <name val="Arial"/>
      <family val="0"/>
      <charset val="1"/>
    </font>
    <font>
      <sz val="10"/>
      <color rgb="FF272623"/>
      <name val="Arial"/>
      <family val="0"/>
      <charset val="1"/>
    </font>
    <font>
      <b val="true"/>
      <sz val="12"/>
      <color rgb="FF272623"/>
      <name val="Arial"/>
      <family val="0"/>
      <charset val="1"/>
    </font>
    <font>
      <b val="true"/>
      <sz val="11"/>
      <color rgb="FF272623"/>
      <name val="Arial"/>
      <family val="0"/>
      <charset val="1"/>
    </font>
  </fonts>
  <fills count="3">
    <fill>
      <patternFill patternType="none"/>
    </fill>
    <fill>
      <patternFill patternType="gray125"/>
    </fill>
    <fill>
      <patternFill patternType="solid">
        <fgColor rgb="FFF6F6FC"/>
        <bgColor rgb="FFFFFFCC"/>
      </patternFill>
    </fill>
  </fills>
  <borders count="5">
    <border diagonalUp="false" diagonalDown="false">
      <left/>
      <right/>
      <top/>
      <bottom/>
      <diagonal/>
    </border>
    <border diagonalUp="false" diagonalDown="false">
      <left/>
      <right/>
      <top style="thick">
        <color rgb="FF6D57AA"/>
      </top>
      <bottom/>
      <diagonal/>
    </border>
    <border diagonalUp="false" diagonalDown="false">
      <left/>
      <right/>
      <top style="thick">
        <color rgb="FFCF6827"/>
      </top>
      <bottom/>
      <diagonal/>
    </border>
    <border diagonalUp="false" diagonalDown="false">
      <left/>
      <right/>
      <top style="thick">
        <color rgb="FF356494"/>
      </top>
      <bottom/>
      <diagonal/>
    </border>
    <border diagonalUp="false" diagonalDown="false">
      <left/>
      <right/>
      <top/>
      <bottom style="thin">
        <color rgb="FFD4D4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6" fillId="0" borderId="3"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2" fillId="2" borderId="4" xfId="0" applyFont="true" applyBorder="true" applyAlignment="true" applyProtection="false">
      <alignment horizontal="general" vertical="center" textRotation="0" wrapText="true" indent="0" shrinkToFit="false"/>
      <protection locked="true" hidden="false"/>
    </xf>
    <xf numFmtId="169" fontId="13" fillId="0" borderId="0" xfId="0" applyFont="true" applyBorder="false" applyAlignment="true" applyProtection="false">
      <alignment horizontal="general" vertical="center" textRotation="0" wrapText="false" indent="0" shrinkToFit="false"/>
      <protection locked="true" hidden="false"/>
    </xf>
    <xf numFmtId="166" fontId="14" fillId="0" borderId="0" xfId="0" applyFont="true" applyBorder="false" applyAlignment="true" applyProtection="false">
      <alignment horizontal="general" vertical="center" textRotation="0" wrapText="false" indent="0" shrinkToFit="false"/>
      <protection locked="true" hidden="false"/>
    </xf>
    <xf numFmtId="170" fontId="13"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7" fontId="14" fillId="0" borderId="0" xfId="0" applyFont="true" applyBorder="false" applyAlignment="true" applyProtection="false">
      <alignment horizontal="general" vertical="center" textRotation="0" wrapText="false" indent="0" shrinkToFit="false"/>
      <protection locked="true" hidden="false"/>
    </xf>
    <xf numFmtId="171" fontId="14" fillId="0" borderId="0" xfId="0" applyFont="true" applyBorder="false" applyAlignment="true" applyProtection="false">
      <alignment horizontal="general" vertical="center" textRotation="0" wrapText="false" indent="0" shrinkToFit="false"/>
      <protection locked="true" hidden="false"/>
    </xf>
    <xf numFmtId="172" fontId="14" fillId="0" borderId="0" xfId="0" applyFont="true" applyBorder="false" applyAlignment="true" applyProtection="false">
      <alignment horizontal="general" vertical="center" textRotation="0" wrapText="false" indent="0" shrinkToFit="false"/>
      <protection locked="true" hidden="false"/>
    </xf>
    <xf numFmtId="173"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74" fontId="14" fillId="0" borderId="0" xfId="0" applyFont="true" applyBorder="false" applyAlignment="true" applyProtection="false">
      <alignment horizontal="general" vertical="center" textRotation="0" wrapText="false" indent="0" shrinkToFit="false"/>
      <protection locked="true" hidden="false"/>
    </xf>
    <xf numFmtId="175" fontId="13"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76" fontId="13"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77" fontId="18" fillId="0" borderId="0" xfId="0" applyFont="true" applyBorder="false" applyAlignment="true" applyProtection="false">
      <alignment horizontal="general" vertical="center" textRotation="0" wrapText="false" indent="0" shrinkToFit="false"/>
      <protection locked="true" hidden="false"/>
    </xf>
    <xf numFmtId="177" fontId="13" fillId="0" borderId="0" xfId="0" applyFont="true" applyBorder="false" applyAlignment="true" applyProtection="false">
      <alignment horizontal="general" vertical="center" textRotation="0" wrapText="false" indent="0" shrinkToFit="false"/>
      <protection locked="true" hidden="false"/>
    </xf>
    <xf numFmtId="177" fontId="19" fillId="0"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9" fontId="14" fillId="0" borderId="0" xfId="0" applyFont="true" applyBorder="false" applyAlignment="true" applyProtection="false">
      <alignment horizontal="general" vertical="center" textRotation="0" wrapText="false" indent="0" shrinkToFit="false"/>
      <protection locked="true" hidden="false"/>
    </xf>
    <xf numFmtId="170" fontId="14" fillId="0" borderId="0" xfId="0" applyFont="true" applyBorder="false" applyAlignment="true" applyProtection="false">
      <alignment horizontal="general" vertical="center" textRotation="0" wrapText="false" indent="0" shrinkToFit="false"/>
      <protection locked="true" hidden="false"/>
    </xf>
    <xf numFmtId="178" fontId="14" fillId="0"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bottom" textRotation="0" wrapText="true" indent="0" shrinkToFit="false"/>
      <protection locked="true" hidden="false"/>
    </xf>
    <xf numFmtId="179" fontId="14" fillId="0" borderId="0" xfId="0" applyFont="true" applyBorder="false" applyAlignment="true" applyProtection="false">
      <alignment horizontal="general" vertical="center" textRotation="0" wrapText="false" indent="0" shrinkToFit="false"/>
      <protection locked="true" hidden="false"/>
    </xf>
    <xf numFmtId="180" fontId="14" fillId="0" borderId="0" xfId="0" applyFont="true" applyBorder="false" applyAlignment="true" applyProtection="false">
      <alignment horizontal="general" vertical="center" textRotation="0" wrapText="false" indent="0" shrinkToFit="false"/>
      <protection locked="true" hidden="false"/>
    </xf>
    <xf numFmtId="177" fontId="14" fillId="0" borderId="0" xfId="0" applyFont="true" applyBorder="false" applyAlignment="true" applyProtection="false">
      <alignment horizontal="general" vertical="center" textRotation="0" wrapText="false" indent="0" shrinkToFit="false"/>
      <protection locked="true" hidden="false"/>
    </xf>
    <xf numFmtId="176" fontId="14"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81" fontId="14" fillId="0" borderId="0" xfId="0" applyFont="true" applyBorder="false" applyAlignment="true" applyProtection="false">
      <alignment horizontal="general" vertical="center" textRotation="0" wrapText="false" indent="0" shrinkToFit="false"/>
      <protection locked="true" hidden="false"/>
    </xf>
    <xf numFmtId="166" fontId="13"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6F6FC"/>
      <rgbColor rgb="FFFF0000"/>
      <rgbColor rgb="FF00FF00"/>
      <rgbColor rgb="FF0000FF"/>
      <rgbColor rgb="FFFFFF00"/>
      <rgbColor rgb="FFFF00FF"/>
      <rgbColor rgb="FF00FFFF"/>
      <rgbColor rgb="FF800000"/>
      <rgbColor rgb="FF008000"/>
      <rgbColor rgb="FF000080"/>
      <rgbColor rgb="FF808000"/>
      <rgbColor rgb="FF800080"/>
      <rgbColor rgb="FF008080"/>
      <rgbColor rgb="FFBCBCB5"/>
      <rgbColor rgb="FF6C6A62"/>
      <rgbColor rgb="FF6A9AC6"/>
      <rgbColor rgb="FF993366"/>
      <rgbColor rgb="FFFFFFCC"/>
      <rgbColor rgb="FFCCFFFF"/>
      <rgbColor rgb="FF660066"/>
      <rgbColor rgb="FFE49B53"/>
      <rgbColor rgb="FF356494"/>
      <rgbColor rgb="FFD4D4CF"/>
      <rgbColor rgb="FF000080"/>
      <rgbColor rgb="FFFF00FF"/>
      <rgbColor rgb="FFFFFF00"/>
      <rgbColor rgb="FF00FFFF"/>
      <rgbColor rgb="FF800080"/>
      <rgbColor rgb="FF800000"/>
      <rgbColor rgb="FF008080"/>
      <rgbColor rgb="FF0000FF"/>
      <rgbColor rgb="FF00CCFF"/>
      <rgbColor rgb="FFCCFFFF"/>
      <rgbColor rgb="FFE4E4E0"/>
      <rgbColor rgb="FFFFFF99"/>
      <rgbColor rgb="FF99CCFF"/>
      <rgbColor rgb="FFFF99CC"/>
      <rgbColor rgb="FFCC99FF"/>
      <rgbColor rgb="FFFFCC99"/>
      <rgbColor rgb="FF3366FF"/>
      <rgbColor rgb="FF33CCCC"/>
      <rgbColor rgb="FF99CC00"/>
      <rgbColor rgb="FFFFCC00"/>
      <rgbColor rgb="FFFF9900"/>
      <rgbColor rgb="FFCF6827"/>
      <rgbColor rgb="FF6D57AA"/>
      <rgbColor rgb="FF8E8C81"/>
      <rgbColor rgb="FF003366"/>
      <rgbColor rgb="FF339966"/>
      <rgbColor rgb="FF003300"/>
      <rgbColor rgb="FF333300"/>
      <rgbColor rgb="FF993300"/>
      <rgbColor rgb="FF993366"/>
      <rgbColor rgb="FF333399"/>
      <rgbColor rgb="FF272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
        <c:varyColors val="0"/>
        <c:ser>
          <c:idx val="0"/>
          <c:order val="0"/>
          <c:tx>
            <c:strRef>
              <c:f>"Nifty 50 (index level, daily close)"</c:f>
              <c:strCache>
                <c:ptCount val="1"/>
                <c:pt idx="0">
                  <c:v>Nifty 50 (index level, daily close)</c:v>
                </c:pt>
              </c:strCache>
            </c:strRef>
          </c:tx>
          <c:spPr>
            <a:solidFill>
              <a:srgbClr val="6d57aa"/>
            </a:solidFill>
            <a:ln w="19080">
              <a:solidFill>
                <a:srgbClr val="6d57a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Daily!$A$21:$A$2485</c:f>
              <c:numCache>
                <c:formatCode>dd\-mmm\-yyyy</c:formatCode>
                <c:ptCount val="2465"/>
                <c:pt idx="0">
                  <c:v>42643</c:v>
                </c:pt>
                <c:pt idx="1">
                  <c:v>42646</c:v>
                </c:pt>
                <c:pt idx="2">
                  <c:v>42647</c:v>
                </c:pt>
                <c:pt idx="3">
                  <c:v>42648</c:v>
                </c:pt>
                <c:pt idx="4">
                  <c:v>42649</c:v>
                </c:pt>
                <c:pt idx="5">
                  <c:v>42650</c:v>
                </c:pt>
                <c:pt idx="6">
                  <c:v>42653</c:v>
                </c:pt>
                <c:pt idx="7">
                  <c:v>42656</c:v>
                </c:pt>
                <c:pt idx="8">
                  <c:v>42657</c:v>
                </c:pt>
                <c:pt idx="9">
                  <c:v>42660</c:v>
                </c:pt>
                <c:pt idx="10">
                  <c:v>42661</c:v>
                </c:pt>
                <c:pt idx="11">
                  <c:v>42662</c:v>
                </c:pt>
                <c:pt idx="12">
                  <c:v>42663</c:v>
                </c:pt>
                <c:pt idx="13">
                  <c:v>42664</c:v>
                </c:pt>
                <c:pt idx="14">
                  <c:v>42667</c:v>
                </c:pt>
                <c:pt idx="15">
                  <c:v>42668</c:v>
                </c:pt>
                <c:pt idx="16">
                  <c:v>42669</c:v>
                </c:pt>
                <c:pt idx="17">
                  <c:v>42670</c:v>
                </c:pt>
                <c:pt idx="18">
                  <c:v>42671</c:v>
                </c:pt>
                <c:pt idx="19">
                  <c:v>42675</c:v>
                </c:pt>
                <c:pt idx="20">
                  <c:v>42676</c:v>
                </c:pt>
                <c:pt idx="21">
                  <c:v>42677</c:v>
                </c:pt>
                <c:pt idx="22">
                  <c:v>42678</c:v>
                </c:pt>
                <c:pt idx="23">
                  <c:v>42681</c:v>
                </c:pt>
                <c:pt idx="24">
                  <c:v>42682</c:v>
                </c:pt>
                <c:pt idx="25">
                  <c:v>42683</c:v>
                </c:pt>
                <c:pt idx="26">
                  <c:v>42684</c:v>
                </c:pt>
                <c:pt idx="27">
                  <c:v>42685</c:v>
                </c:pt>
                <c:pt idx="28">
                  <c:v>42689</c:v>
                </c:pt>
                <c:pt idx="29">
                  <c:v>42690</c:v>
                </c:pt>
                <c:pt idx="30">
                  <c:v>42691</c:v>
                </c:pt>
                <c:pt idx="31">
                  <c:v>42692</c:v>
                </c:pt>
                <c:pt idx="32">
                  <c:v>42695</c:v>
                </c:pt>
                <c:pt idx="33">
                  <c:v>42696</c:v>
                </c:pt>
                <c:pt idx="34">
                  <c:v>42697</c:v>
                </c:pt>
                <c:pt idx="35">
                  <c:v>42698</c:v>
                </c:pt>
                <c:pt idx="36">
                  <c:v>42699</c:v>
                </c:pt>
                <c:pt idx="37">
                  <c:v>42702</c:v>
                </c:pt>
                <c:pt idx="38">
                  <c:v>42703</c:v>
                </c:pt>
                <c:pt idx="39">
                  <c:v>42704</c:v>
                </c:pt>
                <c:pt idx="40">
                  <c:v>42705</c:v>
                </c:pt>
                <c:pt idx="41">
                  <c:v>42706</c:v>
                </c:pt>
                <c:pt idx="42">
                  <c:v>42709</c:v>
                </c:pt>
                <c:pt idx="43">
                  <c:v>42710</c:v>
                </c:pt>
                <c:pt idx="44">
                  <c:v>42711</c:v>
                </c:pt>
                <c:pt idx="45">
                  <c:v>42712</c:v>
                </c:pt>
                <c:pt idx="46">
                  <c:v>42713</c:v>
                </c:pt>
                <c:pt idx="47">
                  <c:v>42716</c:v>
                </c:pt>
                <c:pt idx="48">
                  <c:v>42717</c:v>
                </c:pt>
                <c:pt idx="49">
                  <c:v>42718</c:v>
                </c:pt>
                <c:pt idx="50">
                  <c:v>42719</c:v>
                </c:pt>
                <c:pt idx="51">
                  <c:v>42720</c:v>
                </c:pt>
                <c:pt idx="52">
                  <c:v>42723</c:v>
                </c:pt>
                <c:pt idx="53">
                  <c:v>42724</c:v>
                </c:pt>
                <c:pt idx="54">
                  <c:v>42725</c:v>
                </c:pt>
                <c:pt idx="55">
                  <c:v>42726</c:v>
                </c:pt>
                <c:pt idx="56">
                  <c:v>42727</c:v>
                </c:pt>
                <c:pt idx="57">
                  <c:v>42730</c:v>
                </c:pt>
                <c:pt idx="58">
                  <c:v>42731</c:v>
                </c:pt>
                <c:pt idx="59">
                  <c:v>42732</c:v>
                </c:pt>
                <c:pt idx="60">
                  <c:v>42733</c:v>
                </c:pt>
                <c:pt idx="61">
                  <c:v>42734</c:v>
                </c:pt>
                <c:pt idx="62">
                  <c:v>42737</c:v>
                </c:pt>
                <c:pt idx="63">
                  <c:v>42738</c:v>
                </c:pt>
                <c:pt idx="64">
                  <c:v>42739</c:v>
                </c:pt>
                <c:pt idx="65">
                  <c:v>42740</c:v>
                </c:pt>
                <c:pt idx="66">
                  <c:v>42741</c:v>
                </c:pt>
                <c:pt idx="67">
                  <c:v>42744</c:v>
                </c:pt>
                <c:pt idx="68">
                  <c:v>42745</c:v>
                </c:pt>
                <c:pt idx="69">
                  <c:v>42746</c:v>
                </c:pt>
                <c:pt idx="70">
                  <c:v>42747</c:v>
                </c:pt>
                <c:pt idx="71">
                  <c:v>42748</c:v>
                </c:pt>
                <c:pt idx="72">
                  <c:v>42751</c:v>
                </c:pt>
                <c:pt idx="73">
                  <c:v>42752</c:v>
                </c:pt>
                <c:pt idx="74">
                  <c:v>42753</c:v>
                </c:pt>
                <c:pt idx="75">
                  <c:v>42754</c:v>
                </c:pt>
                <c:pt idx="76">
                  <c:v>42755</c:v>
                </c:pt>
                <c:pt idx="77">
                  <c:v>42758</c:v>
                </c:pt>
                <c:pt idx="78">
                  <c:v>42759</c:v>
                </c:pt>
                <c:pt idx="79">
                  <c:v>42760</c:v>
                </c:pt>
                <c:pt idx="80">
                  <c:v>42762</c:v>
                </c:pt>
                <c:pt idx="81">
                  <c:v>42765</c:v>
                </c:pt>
                <c:pt idx="82">
                  <c:v>42766</c:v>
                </c:pt>
                <c:pt idx="83">
                  <c:v>42767</c:v>
                </c:pt>
                <c:pt idx="84">
                  <c:v>42768</c:v>
                </c:pt>
                <c:pt idx="85">
                  <c:v>42769</c:v>
                </c:pt>
                <c:pt idx="86">
                  <c:v>42772</c:v>
                </c:pt>
                <c:pt idx="87">
                  <c:v>42773</c:v>
                </c:pt>
                <c:pt idx="88">
                  <c:v>42774</c:v>
                </c:pt>
                <c:pt idx="89">
                  <c:v>42775</c:v>
                </c:pt>
                <c:pt idx="90">
                  <c:v>42776</c:v>
                </c:pt>
                <c:pt idx="91">
                  <c:v>42779</c:v>
                </c:pt>
                <c:pt idx="92">
                  <c:v>42780</c:v>
                </c:pt>
                <c:pt idx="93">
                  <c:v>42781</c:v>
                </c:pt>
                <c:pt idx="94">
                  <c:v>42782</c:v>
                </c:pt>
                <c:pt idx="95">
                  <c:v>42783</c:v>
                </c:pt>
                <c:pt idx="96">
                  <c:v>42786</c:v>
                </c:pt>
                <c:pt idx="97">
                  <c:v>42787</c:v>
                </c:pt>
                <c:pt idx="98">
                  <c:v>42788</c:v>
                </c:pt>
                <c:pt idx="99">
                  <c:v>42789</c:v>
                </c:pt>
                <c:pt idx="100">
                  <c:v>42793</c:v>
                </c:pt>
                <c:pt idx="101">
                  <c:v>42794</c:v>
                </c:pt>
                <c:pt idx="102">
                  <c:v>42795</c:v>
                </c:pt>
                <c:pt idx="103">
                  <c:v>42796</c:v>
                </c:pt>
                <c:pt idx="104">
                  <c:v>42797</c:v>
                </c:pt>
                <c:pt idx="105">
                  <c:v>42800</c:v>
                </c:pt>
                <c:pt idx="106">
                  <c:v>42801</c:v>
                </c:pt>
                <c:pt idx="107">
                  <c:v>42802</c:v>
                </c:pt>
                <c:pt idx="108">
                  <c:v>42803</c:v>
                </c:pt>
                <c:pt idx="109">
                  <c:v>42804</c:v>
                </c:pt>
                <c:pt idx="110">
                  <c:v>42808</c:v>
                </c:pt>
                <c:pt idx="111">
                  <c:v>42809</c:v>
                </c:pt>
                <c:pt idx="112">
                  <c:v>42810</c:v>
                </c:pt>
                <c:pt idx="113">
                  <c:v>42811</c:v>
                </c:pt>
                <c:pt idx="114">
                  <c:v>42814</c:v>
                </c:pt>
                <c:pt idx="115">
                  <c:v>42815</c:v>
                </c:pt>
                <c:pt idx="116">
                  <c:v>42816</c:v>
                </c:pt>
                <c:pt idx="117">
                  <c:v>42817</c:v>
                </c:pt>
                <c:pt idx="118">
                  <c:v>42818</c:v>
                </c:pt>
                <c:pt idx="119">
                  <c:v>42821</c:v>
                </c:pt>
                <c:pt idx="120">
                  <c:v>42822</c:v>
                </c:pt>
                <c:pt idx="121">
                  <c:v>42823</c:v>
                </c:pt>
                <c:pt idx="122">
                  <c:v>42824</c:v>
                </c:pt>
                <c:pt idx="123">
                  <c:v>42825</c:v>
                </c:pt>
                <c:pt idx="124">
                  <c:v>42828</c:v>
                </c:pt>
                <c:pt idx="125">
                  <c:v>42830</c:v>
                </c:pt>
                <c:pt idx="126">
                  <c:v>42831</c:v>
                </c:pt>
                <c:pt idx="127">
                  <c:v>42832</c:v>
                </c:pt>
                <c:pt idx="128">
                  <c:v>42835</c:v>
                </c:pt>
                <c:pt idx="129">
                  <c:v>42836</c:v>
                </c:pt>
                <c:pt idx="130">
                  <c:v>42837</c:v>
                </c:pt>
                <c:pt idx="131">
                  <c:v>42838</c:v>
                </c:pt>
                <c:pt idx="132">
                  <c:v>42842</c:v>
                </c:pt>
                <c:pt idx="133">
                  <c:v>42843</c:v>
                </c:pt>
                <c:pt idx="134">
                  <c:v>42844</c:v>
                </c:pt>
                <c:pt idx="135">
                  <c:v>42845</c:v>
                </c:pt>
                <c:pt idx="136">
                  <c:v>42846</c:v>
                </c:pt>
                <c:pt idx="137">
                  <c:v>42849</c:v>
                </c:pt>
                <c:pt idx="138">
                  <c:v>42850</c:v>
                </c:pt>
                <c:pt idx="139">
                  <c:v>42851</c:v>
                </c:pt>
                <c:pt idx="140">
                  <c:v>42852</c:v>
                </c:pt>
                <c:pt idx="141">
                  <c:v>42853</c:v>
                </c:pt>
                <c:pt idx="142">
                  <c:v>42857</c:v>
                </c:pt>
                <c:pt idx="143">
                  <c:v>42858</c:v>
                </c:pt>
                <c:pt idx="144">
                  <c:v>42859</c:v>
                </c:pt>
                <c:pt idx="145">
                  <c:v>42860</c:v>
                </c:pt>
                <c:pt idx="146">
                  <c:v>42863</c:v>
                </c:pt>
                <c:pt idx="147">
                  <c:v>42864</c:v>
                </c:pt>
                <c:pt idx="148">
                  <c:v>42865</c:v>
                </c:pt>
                <c:pt idx="149">
                  <c:v>42866</c:v>
                </c:pt>
                <c:pt idx="150">
                  <c:v>42867</c:v>
                </c:pt>
                <c:pt idx="151">
                  <c:v>42870</c:v>
                </c:pt>
                <c:pt idx="152">
                  <c:v>42871</c:v>
                </c:pt>
                <c:pt idx="153">
                  <c:v>42872</c:v>
                </c:pt>
                <c:pt idx="154">
                  <c:v>42873</c:v>
                </c:pt>
                <c:pt idx="155">
                  <c:v>42874</c:v>
                </c:pt>
                <c:pt idx="156">
                  <c:v>42877</c:v>
                </c:pt>
                <c:pt idx="157">
                  <c:v>42878</c:v>
                </c:pt>
                <c:pt idx="158">
                  <c:v>42879</c:v>
                </c:pt>
                <c:pt idx="159">
                  <c:v>42880</c:v>
                </c:pt>
                <c:pt idx="160">
                  <c:v>42881</c:v>
                </c:pt>
                <c:pt idx="161">
                  <c:v>42884</c:v>
                </c:pt>
                <c:pt idx="162">
                  <c:v>42885</c:v>
                </c:pt>
                <c:pt idx="163">
                  <c:v>42886</c:v>
                </c:pt>
                <c:pt idx="164">
                  <c:v>42887</c:v>
                </c:pt>
                <c:pt idx="165">
                  <c:v>42888</c:v>
                </c:pt>
                <c:pt idx="166">
                  <c:v>42891</c:v>
                </c:pt>
                <c:pt idx="167">
                  <c:v>42892</c:v>
                </c:pt>
                <c:pt idx="168">
                  <c:v>42893</c:v>
                </c:pt>
                <c:pt idx="169">
                  <c:v>42894</c:v>
                </c:pt>
                <c:pt idx="170">
                  <c:v>42895</c:v>
                </c:pt>
                <c:pt idx="171">
                  <c:v>42898</c:v>
                </c:pt>
                <c:pt idx="172">
                  <c:v>42899</c:v>
                </c:pt>
                <c:pt idx="173">
                  <c:v>42900</c:v>
                </c:pt>
                <c:pt idx="174">
                  <c:v>42901</c:v>
                </c:pt>
                <c:pt idx="175">
                  <c:v>42902</c:v>
                </c:pt>
                <c:pt idx="176">
                  <c:v>42905</c:v>
                </c:pt>
                <c:pt idx="177">
                  <c:v>42906</c:v>
                </c:pt>
                <c:pt idx="178">
                  <c:v>42907</c:v>
                </c:pt>
                <c:pt idx="179">
                  <c:v>42908</c:v>
                </c:pt>
                <c:pt idx="180">
                  <c:v>42909</c:v>
                </c:pt>
                <c:pt idx="181">
                  <c:v>42913</c:v>
                </c:pt>
                <c:pt idx="182">
                  <c:v>42914</c:v>
                </c:pt>
                <c:pt idx="183">
                  <c:v>42915</c:v>
                </c:pt>
                <c:pt idx="184">
                  <c:v>42916</c:v>
                </c:pt>
                <c:pt idx="185">
                  <c:v>42919</c:v>
                </c:pt>
                <c:pt idx="186">
                  <c:v>42920</c:v>
                </c:pt>
                <c:pt idx="187">
                  <c:v>42921</c:v>
                </c:pt>
                <c:pt idx="188">
                  <c:v>42922</c:v>
                </c:pt>
                <c:pt idx="189">
                  <c:v>42923</c:v>
                </c:pt>
                <c:pt idx="190">
                  <c:v>42926</c:v>
                </c:pt>
                <c:pt idx="191">
                  <c:v>42927</c:v>
                </c:pt>
                <c:pt idx="192">
                  <c:v>42928</c:v>
                </c:pt>
                <c:pt idx="193">
                  <c:v>42929</c:v>
                </c:pt>
                <c:pt idx="194">
                  <c:v>42930</c:v>
                </c:pt>
                <c:pt idx="195">
                  <c:v>42933</c:v>
                </c:pt>
                <c:pt idx="196">
                  <c:v>42934</c:v>
                </c:pt>
                <c:pt idx="197">
                  <c:v>42935</c:v>
                </c:pt>
                <c:pt idx="198">
                  <c:v>42936</c:v>
                </c:pt>
                <c:pt idx="199">
                  <c:v>42937</c:v>
                </c:pt>
                <c:pt idx="200">
                  <c:v>42940</c:v>
                </c:pt>
                <c:pt idx="201">
                  <c:v>42941</c:v>
                </c:pt>
                <c:pt idx="202">
                  <c:v>42942</c:v>
                </c:pt>
                <c:pt idx="203">
                  <c:v>42943</c:v>
                </c:pt>
                <c:pt idx="204">
                  <c:v>42944</c:v>
                </c:pt>
                <c:pt idx="205">
                  <c:v>42947</c:v>
                </c:pt>
                <c:pt idx="206">
                  <c:v>42948</c:v>
                </c:pt>
                <c:pt idx="207">
                  <c:v>42949</c:v>
                </c:pt>
                <c:pt idx="208">
                  <c:v>42950</c:v>
                </c:pt>
                <c:pt idx="209">
                  <c:v>42951</c:v>
                </c:pt>
                <c:pt idx="210">
                  <c:v>42954</c:v>
                </c:pt>
                <c:pt idx="211">
                  <c:v>42955</c:v>
                </c:pt>
                <c:pt idx="212">
                  <c:v>42956</c:v>
                </c:pt>
                <c:pt idx="213">
                  <c:v>42957</c:v>
                </c:pt>
                <c:pt idx="214">
                  <c:v>42958</c:v>
                </c:pt>
                <c:pt idx="215">
                  <c:v>42961</c:v>
                </c:pt>
                <c:pt idx="216">
                  <c:v>42963</c:v>
                </c:pt>
                <c:pt idx="217">
                  <c:v>42964</c:v>
                </c:pt>
                <c:pt idx="218">
                  <c:v>42965</c:v>
                </c:pt>
                <c:pt idx="219">
                  <c:v>42968</c:v>
                </c:pt>
                <c:pt idx="220">
                  <c:v>42969</c:v>
                </c:pt>
                <c:pt idx="221">
                  <c:v>42970</c:v>
                </c:pt>
                <c:pt idx="222">
                  <c:v>42971</c:v>
                </c:pt>
                <c:pt idx="223">
                  <c:v>42975</c:v>
                </c:pt>
                <c:pt idx="224">
                  <c:v>42976</c:v>
                </c:pt>
                <c:pt idx="225">
                  <c:v>42977</c:v>
                </c:pt>
                <c:pt idx="226">
                  <c:v>42978</c:v>
                </c:pt>
                <c:pt idx="227">
                  <c:v>42979</c:v>
                </c:pt>
                <c:pt idx="228">
                  <c:v>42982</c:v>
                </c:pt>
                <c:pt idx="229">
                  <c:v>42983</c:v>
                </c:pt>
                <c:pt idx="230">
                  <c:v>42984</c:v>
                </c:pt>
                <c:pt idx="231">
                  <c:v>42985</c:v>
                </c:pt>
                <c:pt idx="232">
                  <c:v>42986</c:v>
                </c:pt>
                <c:pt idx="233">
                  <c:v>42989</c:v>
                </c:pt>
                <c:pt idx="234">
                  <c:v>42990</c:v>
                </c:pt>
                <c:pt idx="235">
                  <c:v>42991</c:v>
                </c:pt>
                <c:pt idx="236">
                  <c:v>42992</c:v>
                </c:pt>
                <c:pt idx="237">
                  <c:v>42993</c:v>
                </c:pt>
                <c:pt idx="238">
                  <c:v>42996</c:v>
                </c:pt>
                <c:pt idx="239">
                  <c:v>42997</c:v>
                </c:pt>
                <c:pt idx="240">
                  <c:v>42998</c:v>
                </c:pt>
                <c:pt idx="241">
                  <c:v>42999</c:v>
                </c:pt>
                <c:pt idx="242">
                  <c:v>43000</c:v>
                </c:pt>
                <c:pt idx="243">
                  <c:v>43003</c:v>
                </c:pt>
                <c:pt idx="244">
                  <c:v>43004</c:v>
                </c:pt>
                <c:pt idx="245">
                  <c:v>43005</c:v>
                </c:pt>
                <c:pt idx="246">
                  <c:v>43006</c:v>
                </c:pt>
                <c:pt idx="247">
                  <c:v>43007</c:v>
                </c:pt>
                <c:pt idx="248">
                  <c:v>43011</c:v>
                </c:pt>
                <c:pt idx="249">
                  <c:v>43012</c:v>
                </c:pt>
                <c:pt idx="250">
                  <c:v>43013</c:v>
                </c:pt>
                <c:pt idx="251">
                  <c:v>43014</c:v>
                </c:pt>
                <c:pt idx="252">
                  <c:v>43017</c:v>
                </c:pt>
                <c:pt idx="253">
                  <c:v>43018</c:v>
                </c:pt>
                <c:pt idx="254">
                  <c:v>43019</c:v>
                </c:pt>
                <c:pt idx="255">
                  <c:v>43020</c:v>
                </c:pt>
                <c:pt idx="256">
                  <c:v>43021</c:v>
                </c:pt>
                <c:pt idx="257">
                  <c:v>43024</c:v>
                </c:pt>
                <c:pt idx="258">
                  <c:v>43025</c:v>
                </c:pt>
                <c:pt idx="259">
                  <c:v>43026</c:v>
                </c:pt>
                <c:pt idx="260">
                  <c:v>43027</c:v>
                </c:pt>
                <c:pt idx="261">
                  <c:v>43031</c:v>
                </c:pt>
                <c:pt idx="262">
                  <c:v>43032</c:v>
                </c:pt>
                <c:pt idx="263">
                  <c:v>43033</c:v>
                </c:pt>
                <c:pt idx="264">
                  <c:v>43034</c:v>
                </c:pt>
                <c:pt idx="265">
                  <c:v>43035</c:v>
                </c:pt>
                <c:pt idx="266">
                  <c:v>43038</c:v>
                </c:pt>
                <c:pt idx="267">
                  <c:v>43039</c:v>
                </c:pt>
                <c:pt idx="268">
                  <c:v>43040</c:v>
                </c:pt>
                <c:pt idx="269">
                  <c:v>43041</c:v>
                </c:pt>
                <c:pt idx="270">
                  <c:v>43042</c:v>
                </c:pt>
                <c:pt idx="271">
                  <c:v>43045</c:v>
                </c:pt>
                <c:pt idx="272">
                  <c:v>43046</c:v>
                </c:pt>
                <c:pt idx="273">
                  <c:v>43047</c:v>
                </c:pt>
                <c:pt idx="274">
                  <c:v>43048</c:v>
                </c:pt>
                <c:pt idx="275">
                  <c:v>43049</c:v>
                </c:pt>
                <c:pt idx="276">
                  <c:v>43052</c:v>
                </c:pt>
                <c:pt idx="277">
                  <c:v>43053</c:v>
                </c:pt>
                <c:pt idx="278">
                  <c:v>43054</c:v>
                </c:pt>
                <c:pt idx="279">
                  <c:v>43055</c:v>
                </c:pt>
                <c:pt idx="280">
                  <c:v>43056</c:v>
                </c:pt>
                <c:pt idx="281">
                  <c:v>43059</c:v>
                </c:pt>
                <c:pt idx="282">
                  <c:v>43060</c:v>
                </c:pt>
                <c:pt idx="283">
                  <c:v>43061</c:v>
                </c:pt>
                <c:pt idx="284">
                  <c:v>43062</c:v>
                </c:pt>
                <c:pt idx="285">
                  <c:v>43063</c:v>
                </c:pt>
                <c:pt idx="286">
                  <c:v>43066</c:v>
                </c:pt>
                <c:pt idx="287">
                  <c:v>43067</c:v>
                </c:pt>
                <c:pt idx="288">
                  <c:v>43068</c:v>
                </c:pt>
                <c:pt idx="289">
                  <c:v>43069</c:v>
                </c:pt>
                <c:pt idx="290">
                  <c:v>43070</c:v>
                </c:pt>
                <c:pt idx="291">
                  <c:v>43073</c:v>
                </c:pt>
                <c:pt idx="292">
                  <c:v>43074</c:v>
                </c:pt>
                <c:pt idx="293">
                  <c:v>43075</c:v>
                </c:pt>
                <c:pt idx="294">
                  <c:v>43076</c:v>
                </c:pt>
                <c:pt idx="295">
                  <c:v>43077</c:v>
                </c:pt>
                <c:pt idx="296">
                  <c:v>43080</c:v>
                </c:pt>
                <c:pt idx="297">
                  <c:v>43081</c:v>
                </c:pt>
                <c:pt idx="298">
                  <c:v>43082</c:v>
                </c:pt>
                <c:pt idx="299">
                  <c:v>43083</c:v>
                </c:pt>
                <c:pt idx="300">
                  <c:v>43084</c:v>
                </c:pt>
                <c:pt idx="301">
                  <c:v>43087</c:v>
                </c:pt>
                <c:pt idx="302">
                  <c:v>43088</c:v>
                </c:pt>
                <c:pt idx="303">
                  <c:v>43089</c:v>
                </c:pt>
                <c:pt idx="304">
                  <c:v>43090</c:v>
                </c:pt>
                <c:pt idx="305">
                  <c:v>43091</c:v>
                </c:pt>
                <c:pt idx="306">
                  <c:v>43095</c:v>
                </c:pt>
                <c:pt idx="307">
                  <c:v>43096</c:v>
                </c:pt>
                <c:pt idx="308">
                  <c:v>43097</c:v>
                </c:pt>
                <c:pt idx="309">
                  <c:v>43098</c:v>
                </c:pt>
                <c:pt idx="310">
                  <c:v>43102</c:v>
                </c:pt>
                <c:pt idx="311">
                  <c:v>43103</c:v>
                </c:pt>
                <c:pt idx="312">
                  <c:v>43104</c:v>
                </c:pt>
                <c:pt idx="313">
                  <c:v>43105</c:v>
                </c:pt>
                <c:pt idx="314">
                  <c:v>43108</c:v>
                </c:pt>
                <c:pt idx="315">
                  <c:v>43109</c:v>
                </c:pt>
                <c:pt idx="316">
                  <c:v>43110</c:v>
                </c:pt>
                <c:pt idx="317">
                  <c:v>43111</c:v>
                </c:pt>
                <c:pt idx="318">
                  <c:v>43112</c:v>
                </c:pt>
                <c:pt idx="319">
                  <c:v>43115</c:v>
                </c:pt>
                <c:pt idx="320">
                  <c:v>43116</c:v>
                </c:pt>
                <c:pt idx="321">
                  <c:v>43117</c:v>
                </c:pt>
                <c:pt idx="322">
                  <c:v>43118</c:v>
                </c:pt>
                <c:pt idx="323">
                  <c:v>43119</c:v>
                </c:pt>
                <c:pt idx="324">
                  <c:v>43122</c:v>
                </c:pt>
                <c:pt idx="325">
                  <c:v>43123</c:v>
                </c:pt>
                <c:pt idx="326">
                  <c:v>43124</c:v>
                </c:pt>
                <c:pt idx="327">
                  <c:v>43125</c:v>
                </c:pt>
                <c:pt idx="328">
                  <c:v>43129</c:v>
                </c:pt>
                <c:pt idx="329">
                  <c:v>43130</c:v>
                </c:pt>
                <c:pt idx="330">
                  <c:v>43131</c:v>
                </c:pt>
                <c:pt idx="331">
                  <c:v>43132</c:v>
                </c:pt>
                <c:pt idx="332">
                  <c:v>43133</c:v>
                </c:pt>
                <c:pt idx="333">
                  <c:v>43136</c:v>
                </c:pt>
                <c:pt idx="334">
                  <c:v>43137</c:v>
                </c:pt>
                <c:pt idx="335">
                  <c:v>43138</c:v>
                </c:pt>
                <c:pt idx="336">
                  <c:v>43139</c:v>
                </c:pt>
                <c:pt idx="337">
                  <c:v>43140</c:v>
                </c:pt>
                <c:pt idx="338">
                  <c:v>43143</c:v>
                </c:pt>
                <c:pt idx="339">
                  <c:v>43145</c:v>
                </c:pt>
                <c:pt idx="340">
                  <c:v>43146</c:v>
                </c:pt>
                <c:pt idx="341">
                  <c:v>43147</c:v>
                </c:pt>
                <c:pt idx="342">
                  <c:v>43150</c:v>
                </c:pt>
                <c:pt idx="343">
                  <c:v>43151</c:v>
                </c:pt>
                <c:pt idx="344">
                  <c:v>43152</c:v>
                </c:pt>
                <c:pt idx="345">
                  <c:v>43153</c:v>
                </c:pt>
                <c:pt idx="346">
                  <c:v>43154</c:v>
                </c:pt>
                <c:pt idx="347">
                  <c:v>43157</c:v>
                </c:pt>
                <c:pt idx="348">
                  <c:v>43158</c:v>
                </c:pt>
                <c:pt idx="349">
                  <c:v>43159</c:v>
                </c:pt>
                <c:pt idx="350">
                  <c:v>43160</c:v>
                </c:pt>
                <c:pt idx="351">
                  <c:v>43164</c:v>
                </c:pt>
                <c:pt idx="352">
                  <c:v>43165</c:v>
                </c:pt>
                <c:pt idx="353">
                  <c:v>43166</c:v>
                </c:pt>
                <c:pt idx="354">
                  <c:v>43167</c:v>
                </c:pt>
                <c:pt idx="355">
                  <c:v>43168</c:v>
                </c:pt>
                <c:pt idx="356">
                  <c:v>43171</c:v>
                </c:pt>
                <c:pt idx="357">
                  <c:v>43172</c:v>
                </c:pt>
                <c:pt idx="358">
                  <c:v>43173</c:v>
                </c:pt>
                <c:pt idx="359">
                  <c:v>43174</c:v>
                </c:pt>
                <c:pt idx="360">
                  <c:v>43175</c:v>
                </c:pt>
                <c:pt idx="361">
                  <c:v>43178</c:v>
                </c:pt>
                <c:pt idx="362">
                  <c:v>43179</c:v>
                </c:pt>
                <c:pt idx="363">
                  <c:v>43180</c:v>
                </c:pt>
                <c:pt idx="364">
                  <c:v>43181</c:v>
                </c:pt>
                <c:pt idx="365">
                  <c:v>43182</c:v>
                </c:pt>
                <c:pt idx="366">
                  <c:v>43185</c:v>
                </c:pt>
                <c:pt idx="367">
                  <c:v>43186</c:v>
                </c:pt>
                <c:pt idx="368">
                  <c:v>43187</c:v>
                </c:pt>
                <c:pt idx="369">
                  <c:v>43192</c:v>
                </c:pt>
                <c:pt idx="370">
                  <c:v>43193</c:v>
                </c:pt>
                <c:pt idx="371">
                  <c:v>43194</c:v>
                </c:pt>
                <c:pt idx="372">
                  <c:v>43195</c:v>
                </c:pt>
                <c:pt idx="373">
                  <c:v>43196</c:v>
                </c:pt>
                <c:pt idx="374">
                  <c:v>43199</c:v>
                </c:pt>
                <c:pt idx="375">
                  <c:v>43200</c:v>
                </c:pt>
                <c:pt idx="376">
                  <c:v>43201</c:v>
                </c:pt>
                <c:pt idx="377">
                  <c:v>43202</c:v>
                </c:pt>
                <c:pt idx="378">
                  <c:v>43203</c:v>
                </c:pt>
                <c:pt idx="379">
                  <c:v>43206</c:v>
                </c:pt>
                <c:pt idx="380">
                  <c:v>43207</c:v>
                </c:pt>
                <c:pt idx="381">
                  <c:v>43208</c:v>
                </c:pt>
                <c:pt idx="382">
                  <c:v>43209</c:v>
                </c:pt>
                <c:pt idx="383">
                  <c:v>43210</c:v>
                </c:pt>
                <c:pt idx="384">
                  <c:v>43213</c:v>
                </c:pt>
                <c:pt idx="385">
                  <c:v>43214</c:v>
                </c:pt>
                <c:pt idx="386">
                  <c:v>43215</c:v>
                </c:pt>
                <c:pt idx="387">
                  <c:v>43216</c:v>
                </c:pt>
                <c:pt idx="388">
                  <c:v>43217</c:v>
                </c:pt>
                <c:pt idx="389">
                  <c:v>43220</c:v>
                </c:pt>
                <c:pt idx="390">
                  <c:v>43222</c:v>
                </c:pt>
                <c:pt idx="391">
                  <c:v>43223</c:v>
                </c:pt>
                <c:pt idx="392">
                  <c:v>43224</c:v>
                </c:pt>
                <c:pt idx="393">
                  <c:v>43227</c:v>
                </c:pt>
                <c:pt idx="394">
                  <c:v>43228</c:v>
                </c:pt>
                <c:pt idx="395">
                  <c:v>43229</c:v>
                </c:pt>
                <c:pt idx="396">
                  <c:v>43230</c:v>
                </c:pt>
                <c:pt idx="397">
                  <c:v>43231</c:v>
                </c:pt>
                <c:pt idx="398">
                  <c:v>43234</c:v>
                </c:pt>
                <c:pt idx="399">
                  <c:v>43235</c:v>
                </c:pt>
                <c:pt idx="400">
                  <c:v>43236</c:v>
                </c:pt>
                <c:pt idx="401">
                  <c:v>43237</c:v>
                </c:pt>
                <c:pt idx="402">
                  <c:v>43238</c:v>
                </c:pt>
                <c:pt idx="403">
                  <c:v>43241</c:v>
                </c:pt>
                <c:pt idx="404">
                  <c:v>43242</c:v>
                </c:pt>
                <c:pt idx="405">
                  <c:v>43243</c:v>
                </c:pt>
                <c:pt idx="406">
                  <c:v>43244</c:v>
                </c:pt>
                <c:pt idx="407">
                  <c:v>43245</c:v>
                </c:pt>
                <c:pt idx="408">
                  <c:v>43248</c:v>
                </c:pt>
                <c:pt idx="409">
                  <c:v>43249</c:v>
                </c:pt>
                <c:pt idx="410">
                  <c:v>43250</c:v>
                </c:pt>
                <c:pt idx="411">
                  <c:v>43251</c:v>
                </c:pt>
                <c:pt idx="412">
                  <c:v>43252</c:v>
                </c:pt>
                <c:pt idx="413">
                  <c:v>43255</c:v>
                </c:pt>
                <c:pt idx="414">
                  <c:v>43256</c:v>
                </c:pt>
                <c:pt idx="415">
                  <c:v>43257</c:v>
                </c:pt>
                <c:pt idx="416">
                  <c:v>43258</c:v>
                </c:pt>
                <c:pt idx="417">
                  <c:v>43259</c:v>
                </c:pt>
                <c:pt idx="418">
                  <c:v>43262</c:v>
                </c:pt>
                <c:pt idx="419">
                  <c:v>43263</c:v>
                </c:pt>
                <c:pt idx="420">
                  <c:v>43264</c:v>
                </c:pt>
                <c:pt idx="421">
                  <c:v>43265</c:v>
                </c:pt>
                <c:pt idx="422">
                  <c:v>43266</c:v>
                </c:pt>
                <c:pt idx="423">
                  <c:v>43269</c:v>
                </c:pt>
                <c:pt idx="424">
                  <c:v>43270</c:v>
                </c:pt>
                <c:pt idx="425">
                  <c:v>43271</c:v>
                </c:pt>
                <c:pt idx="426">
                  <c:v>43272</c:v>
                </c:pt>
                <c:pt idx="427">
                  <c:v>43273</c:v>
                </c:pt>
                <c:pt idx="428">
                  <c:v>43276</c:v>
                </c:pt>
                <c:pt idx="429">
                  <c:v>43277</c:v>
                </c:pt>
                <c:pt idx="430">
                  <c:v>43278</c:v>
                </c:pt>
                <c:pt idx="431">
                  <c:v>43279</c:v>
                </c:pt>
                <c:pt idx="432">
                  <c:v>43280</c:v>
                </c:pt>
                <c:pt idx="433">
                  <c:v>43283</c:v>
                </c:pt>
                <c:pt idx="434">
                  <c:v>43284</c:v>
                </c:pt>
                <c:pt idx="435">
                  <c:v>43285</c:v>
                </c:pt>
                <c:pt idx="436">
                  <c:v>43286</c:v>
                </c:pt>
                <c:pt idx="437">
                  <c:v>43287</c:v>
                </c:pt>
                <c:pt idx="438">
                  <c:v>43290</c:v>
                </c:pt>
                <c:pt idx="439">
                  <c:v>43291</c:v>
                </c:pt>
                <c:pt idx="440">
                  <c:v>43292</c:v>
                </c:pt>
                <c:pt idx="441">
                  <c:v>43293</c:v>
                </c:pt>
                <c:pt idx="442">
                  <c:v>43294</c:v>
                </c:pt>
                <c:pt idx="443">
                  <c:v>43297</c:v>
                </c:pt>
                <c:pt idx="444">
                  <c:v>43298</c:v>
                </c:pt>
                <c:pt idx="445">
                  <c:v>43299</c:v>
                </c:pt>
                <c:pt idx="446">
                  <c:v>43300</c:v>
                </c:pt>
                <c:pt idx="447">
                  <c:v>43301</c:v>
                </c:pt>
                <c:pt idx="448">
                  <c:v>43304</c:v>
                </c:pt>
                <c:pt idx="449">
                  <c:v>43305</c:v>
                </c:pt>
                <c:pt idx="450">
                  <c:v>43306</c:v>
                </c:pt>
                <c:pt idx="451">
                  <c:v>43307</c:v>
                </c:pt>
                <c:pt idx="452">
                  <c:v>43308</c:v>
                </c:pt>
                <c:pt idx="453">
                  <c:v>43311</c:v>
                </c:pt>
                <c:pt idx="454">
                  <c:v>43312</c:v>
                </c:pt>
                <c:pt idx="455">
                  <c:v>43313</c:v>
                </c:pt>
                <c:pt idx="456">
                  <c:v>43314</c:v>
                </c:pt>
                <c:pt idx="457">
                  <c:v>43315</c:v>
                </c:pt>
                <c:pt idx="458">
                  <c:v>43318</c:v>
                </c:pt>
                <c:pt idx="459">
                  <c:v>43319</c:v>
                </c:pt>
                <c:pt idx="460">
                  <c:v>43320</c:v>
                </c:pt>
                <c:pt idx="461">
                  <c:v>43321</c:v>
                </c:pt>
                <c:pt idx="462">
                  <c:v>43322</c:v>
                </c:pt>
                <c:pt idx="463">
                  <c:v>43325</c:v>
                </c:pt>
                <c:pt idx="464">
                  <c:v>43326</c:v>
                </c:pt>
                <c:pt idx="465">
                  <c:v>43328</c:v>
                </c:pt>
                <c:pt idx="466">
                  <c:v>43329</c:v>
                </c:pt>
                <c:pt idx="467">
                  <c:v>43332</c:v>
                </c:pt>
                <c:pt idx="468">
                  <c:v>43333</c:v>
                </c:pt>
                <c:pt idx="469">
                  <c:v>43335</c:v>
                </c:pt>
                <c:pt idx="470">
                  <c:v>43336</c:v>
                </c:pt>
                <c:pt idx="471">
                  <c:v>43339</c:v>
                </c:pt>
                <c:pt idx="472">
                  <c:v>43340</c:v>
                </c:pt>
                <c:pt idx="473">
                  <c:v>43341</c:v>
                </c:pt>
                <c:pt idx="474">
                  <c:v>43342</c:v>
                </c:pt>
                <c:pt idx="475">
                  <c:v>43343</c:v>
                </c:pt>
                <c:pt idx="476">
                  <c:v>43346</c:v>
                </c:pt>
                <c:pt idx="477">
                  <c:v>43347</c:v>
                </c:pt>
                <c:pt idx="478">
                  <c:v>43348</c:v>
                </c:pt>
                <c:pt idx="479">
                  <c:v>43349</c:v>
                </c:pt>
                <c:pt idx="480">
                  <c:v>43350</c:v>
                </c:pt>
                <c:pt idx="481">
                  <c:v>43353</c:v>
                </c:pt>
                <c:pt idx="482">
                  <c:v>43354</c:v>
                </c:pt>
                <c:pt idx="483">
                  <c:v>43355</c:v>
                </c:pt>
                <c:pt idx="484">
                  <c:v>43357</c:v>
                </c:pt>
                <c:pt idx="485">
                  <c:v>43360</c:v>
                </c:pt>
                <c:pt idx="486">
                  <c:v>43361</c:v>
                </c:pt>
                <c:pt idx="487">
                  <c:v>43362</c:v>
                </c:pt>
                <c:pt idx="488">
                  <c:v>43364</c:v>
                </c:pt>
                <c:pt idx="489">
                  <c:v>43367</c:v>
                </c:pt>
                <c:pt idx="490">
                  <c:v>43368</c:v>
                </c:pt>
                <c:pt idx="491">
                  <c:v>43369</c:v>
                </c:pt>
                <c:pt idx="492">
                  <c:v>43370</c:v>
                </c:pt>
                <c:pt idx="493">
                  <c:v>43371</c:v>
                </c:pt>
                <c:pt idx="494">
                  <c:v>43374</c:v>
                </c:pt>
                <c:pt idx="495">
                  <c:v>43376</c:v>
                </c:pt>
                <c:pt idx="496">
                  <c:v>43377</c:v>
                </c:pt>
                <c:pt idx="497">
                  <c:v>43378</c:v>
                </c:pt>
                <c:pt idx="498">
                  <c:v>43381</c:v>
                </c:pt>
                <c:pt idx="499">
                  <c:v>43382</c:v>
                </c:pt>
                <c:pt idx="500">
                  <c:v>43383</c:v>
                </c:pt>
                <c:pt idx="501">
                  <c:v>43384</c:v>
                </c:pt>
                <c:pt idx="502">
                  <c:v>43385</c:v>
                </c:pt>
                <c:pt idx="503">
                  <c:v>43388</c:v>
                </c:pt>
                <c:pt idx="504">
                  <c:v>43389</c:v>
                </c:pt>
                <c:pt idx="505">
                  <c:v>43390</c:v>
                </c:pt>
                <c:pt idx="506">
                  <c:v>43392</c:v>
                </c:pt>
                <c:pt idx="507">
                  <c:v>43395</c:v>
                </c:pt>
                <c:pt idx="508">
                  <c:v>43396</c:v>
                </c:pt>
                <c:pt idx="509">
                  <c:v>43397</c:v>
                </c:pt>
                <c:pt idx="510">
                  <c:v>43398</c:v>
                </c:pt>
                <c:pt idx="511">
                  <c:v>43399</c:v>
                </c:pt>
                <c:pt idx="512">
                  <c:v>43402</c:v>
                </c:pt>
                <c:pt idx="513">
                  <c:v>43403</c:v>
                </c:pt>
                <c:pt idx="514">
                  <c:v>43404</c:v>
                </c:pt>
                <c:pt idx="515">
                  <c:v>43405</c:v>
                </c:pt>
                <c:pt idx="516">
                  <c:v>43406</c:v>
                </c:pt>
                <c:pt idx="517">
                  <c:v>43409</c:v>
                </c:pt>
                <c:pt idx="518">
                  <c:v>43410</c:v>
                </c:pt>
                <c:pt idx="519">
                  <c:v>43411</c:v>
                </c:pt>
                <c:pt idx="520">
                  <c:v>43413</c:v>
                </c:pt>
                <c:pt idx="521">
                  <c:v>43416</c:v>
                </c:pt>
                <c:pt idx="522">
                  <c:v>43417</c:v>
                </c:pt>
                <c:pt idx="523">
                  <c:v>43418</c:v>
                </c:pt>
                <c:pt idx="524">
                  <c:v>43419</c:v>
                </c:pt>
                <c:pt idx="525">
                  <c:v>43420</c:v>
                </c:pt>
                <c:pt idx="526">
                  <c:v>43423</c:v>
                </c:pt>
                <c:pt idx="527">
                  <c:v>43424</c:v>
                </c:pt>
                <c:pt idx="528">
                  <c:v>43425</c:v>
                </c:pt>
                <c:pt idx="529">
                  <c:v>43426</c:v>
                </c:pt>
                <c:pt idx="530">
                  <c:v>43430</c:v>
                </c:pt>
                <c:pt idx="531">
                  <c:v>43431</c:v>
                </c:pt>
                <c:pt idx="532">
                  <c:v>43432</c:v>
                </c:pt>
                <c:pt idx="533">
                  <c:v>43433</c:v>
                </c:pt>
                <c:pt idx="534">
                  <c:v>43434</c:v>
                </c:pt>
                <c:pt idx="535">
                  <c:v>43437</c:v>
                </c:pt>
                <c:pt idx="536">
                  <c:v>43438</c:v>
                </c:pt>
                <c:pt idx="537">
                  <c:v>43439</c:v>
                </c:pt>
                <c:pt idx="538">
                  <c:v>43440</c:v>
                </c:pt>
                <c:pt idx="539">
                  <c:v>43441</c:v>
                </c:pt>
                <c:pt idx="540">
                  <c:v>43444</c:v>
                </c:pt>
                <c:pt idx="541">
                  <c:v>43445</c:v>
                </c:pt>
                <c:pt idx="542">
                  <c:v>43446</c:v>
                </c:pt>
                <c:pt idx="543">
                  <c:v>43447</c:v>
                </c:pt>
                <c:pt idx="544">
                  <c:v>43448</c:v>
                </c:pt>
                <c:pt idx="545">
                  <c:v>43451</c:v>
                </c:pt>
                <c:pt idx="546">
                  <c:v>43452</c:v>
                </c:pt>
                <c:pt idx="547">
                  <c:v>43453</c:v>
                </c:pt>
                <c:pt idx="548">
                  <c:v>43454</c:v>
                </c:pt>
                <c:pt idx="549">
                  <c:v>43455</c:v>
                </c:pt>
                <c:pt idx="550">
                  <c:v>43458</c:v>
                </c:pt>
                <c:pt idx="551">
                  <c:v>43460</c:v>
                </c:pt>
                <c:pt idx="552">
                  <c:v>43461</c:v>
                </c:pt>
                <c:pt idx="553">
                  <c:v>43462</c:v>
                </c:pt>
                <c:pt idx="554">
                  <c:v>43465</c:v>
                </c:pt>
                <c:pt idx="555">
                  <c:v>43467</c:v>
                </c:pt>
                <c:pt idx="556">
                  <c:v>43468</c:v>
                </c:pt>
                <c:pt idx="557">
                  <c:v>43469</c:v>
                </c:pt>
                <c:pt idx="558">
                  <c:v>43472</c:v>
                </c:pt>
                <c:pt idx="559">
                  <c:v>43473</c:v>
                </c:pt>
                <c:pt idx="560">
                  <c:v>43474</c:v>
                </c:pt>
                <c:pt idx="561">
                  <c:v>43475</c:v>
                </c:pt>
                <c:pt idx="562">
                  <c:v>43476</c:v>
                </c:pt>
                <c:pt idx="563">
                  <c:v>43479</c:v>
                </c:pt>
                <c:pt idx="564">
                  <c:v>43480</c:v>
                </c:pt>
                <c:pt idx="565">
                  <c:v>43481</c:v>
                </c:pt>
                <c:pt idx="566">
                  <c:v>43482</c:v>
                </c:pt>
                <c:pt idx="567">
                  <c:v>43483</c:v>
                </c:pt>
                <c:pt idx="568">
                  <c:v>43486</c:v>
                </c:pt>
                <c:pt idx="569">
                  <c:v>43487</c:v>
                </c:pt>
                <c:pt idx="570">
                  <c:v>43488</c:v>
                </c:pt>
                <c:pt idx="571">
                  <c:v>43489</c:v>
                </c:pt>
                <c:pt idx="572">
                  <c:v>43490</c:v>
                </c:pt>
                <c:pt idx="573">
                  <c:v>43493</c:v>
                </c:pt>
                <c:pt idx="574">
                  <c:v>43494</c:v>
                </c:pt>
                <c:pt idx="575">
                  <c:v>43495</c:v>
                </c:pt>
                <c:pt idx="576">
                  <c:v>43496</c:v>
                </c:pt>
                <c:pt idx="577">
                  <c:v>43497</c:v>
                </c:pt>
                <c:pt idx="578">
                  <c:v>43500</c:v>
                </c:pt>
                <c:pt idx="579">
                  <c:v>43501</c:v>
                </c:pt>
                <c:pt idx="580">
                  <c:v>43502</c:v>
                </c:pt>
                <c:pt idx="581">
                  <c:v>43503</c:v>
                </c:pt>
                <c:pt idx="582">
                  <c:v>43504</c:v>
                </c:pt>
                <c:pt idx="583">
                  <c:v>43507</c:v>
                </c:pt>
                <c:pt idx="584">
                  <c:v>43508</c:v>
                </c:pt>
                <c:pt idx="585">
                  <c:v>43510</c:v>
                </c:pt>
                <c:pt idx="586">
                  <c:v>43511</c:v>
                </c:pt>
                <c:pt idx="587">
                  <c:v>43514</c:v>
                </c:pt>
                <c:pt idx="588">
                  <c:v>43515</c:v>
                </c:pt>
                <c:pt idx="589">
                  <c:v>43516</c:v>
                </c:pt>
                <c:pt idx="590">
                  <c:v>43517</c:v>
                </c:pt>
                <c:pt idx="591">
                  <c:v>43518</c:v>
                </c:pt>
                <c:pt idx="592">
                  <c:v>43521</c:v>
                </c:pt>
                <c:pt idx="593">
                  <c:v>43522</c:v>
                </c:pt>
                <c:pt idx="594">
                  <c:v>43523</c:v>
                </c:pt>
                <c:pt idx="595">
                  <c:v>43524</c:v>
                </c:pt>
                <c:pt idx="596">
                  <c:v>43525</c:v>
                </c:pt>
                <c:pt idx="597">
                  <c:v>43529</c:v>
                </c:pt>
                <c:pt idx="598">
                  <c:v>43530</c:v>
                </c:pt>
                <c:pt idx="599">
                  <c:v>43531</c:v>
                </c:pt>
                <c:pt idx="600">
                  <c:v>43532</c:v>
                </c:pt>
                <c:pt idx="601">
                  <c:v>43535</c:v>
                </c:pt>
                <c:pt idx="602">
                  <c:v>43536</c:v>
                </c:pt>
                <c:pt idx="603">
                  <c:v>43537</c:v>
                </c:pt>
                <c:pt idx="604">
                  <c:v>43538</c:v>
                </c:pt>
                <c:pt idx="605">
                  <c:v>43539</c:v>
                </c:pt>
                <c:pt idx="606">
                  <c:v>43542</c:v>
                </c:pt>
                <c:pt idx="607">
                  <c:v>43543</c:v>
                </c:pt>
                <c:pt idx="608">
                  <c:v>43544</c:v>
                </c:pt>
                <c:pt idx="609">
                  <c:v>43546</c:v>
                </c:pt>
                <c:pt idx="610">
                  <c:v>43549</c:v>
                </c:pt>
                <c:pt idx="611">
                  <c:v>43550</c:v>
                </c:pt>
                <c:pt idx="612">
                  <c:v>43551</c:v>
                </c:pt>
                <c:pt idx="613">
                  <c:v>43552</c:v>
                </c:pt>
                <c:pt idx="614">
                  <c:v>43553</c:v>
                </c:pt>
                <c:pt idx="615">
                  <c:v>43556</c:v>
                </c:pt>
                <c:pt idx="616">
                  <c:v>43557</c:v>
                </c:pt>
                <c:pt idx="617">
                  <c:v>43558</c:v>
                </c:pt>
                <c:pt idx="618">
                  <c:v>43559</c:v>
                </c:pt>
                <c:pt idx="619">
                  <c:v>43560</c:v>
                </c:pt>
                <c:pt idx="620">
                  <c:v>43563</c:v>
                </c:pt>
                <c:pt idx="621">
                  <c:v>43564</c:v>
                </c:pt>
                <c:pt idx="622">
                  <c:v>43565</c:v>
                </c:pt>
                <c:pt idx="623">
                  <c:v>43566</c:v>
                </c:pt>
                <c:pt idx="624">
                  <c:v>43567</c:v>
                </c:pt>
                <c:pt idx="625">
                  <c:v>43570</c:v>
                </c:pt>
                <c:pt idx="626">
                  <c:v>43571</c:v>
                </c:pt>
                <c:pt idx="627">
                  <c:v>43573</c:v>
                </c:pt>
                <c:pt idx="628">
                  <c:v>43577</c:v>
                </c:pt>
                <c:pt idx="629">
                  <c:v>43578</c:v>
                </c:pt>
                <c:pt idx="630">
                  <c:v>43579</c:v>
                </c:pt>
                <c:pt idx="631">
                  <c:v>43580</c:v>
                </c:pt>
                <c:pt idx="632">
                  <c:v>43581</c:v>
                </c:pt>
                <c:pt idx="633">
                  <c:v>43585</c:v>
                </c:pt>
                <c:pt idx="634">
                  <c:v>43587</c:v>
                </c:pt>
                <c:pt idx="635">
                  <c:v>43588</c:v>
                </c:pt>
                <c:pt idx="636">
                  <c:v>43591</c:v>
                </c:pt>
                <c:pt idx="637">
                  <c:v>43592</c:v>
                </c:pt>
                <c:pt idx="638">
                  <c:v>43593</c:v>
                </c:pt>
                <c:pt idx="639">
                  <c:v>43594</c:v>
                </c:pt>
                <c:pt idx="640">
                  <c:v>43595</c:v>
                </c:pt>
                <c:pt idx="641">
                  <c:v>43598</c:v>
                </c:pt>
                <c:pt idx="642">
                  <c:v>43599</c:v>
                </c:pt>
                <c:pt idx="643">
                  <c:v>43600</c:v>
                </c:pt>
                <c:pt idx="644">
                  <c:v>43601</c:v>
                </c:pt>
                <c:pt idx="645">
                  <c:v>43602</c:v>
                </c:pt>
                <c:pt idx="646">
                  <c:v>43605</c:v>
                </c:pt>
                <c:pt idx="647">
                  <c:v>43606</c:v>
                </c:pt>
                <c:pt idx="648">
                  <c:v>43607</c:v>
                </c:pt>
                <c:pt idx="649">
                  <c:v>43608</c:v>
                </c:pt>
                <c:pt idx="650">
                  <c:v>43609</c:v>
                </c:pt>
                <c:pt idx="651">
                  <c:v>43612</c:v>
                </c:pt>
                <c:pt idx="652">
                  <c:v>43613</c:v>
                </c:pt>
                <c:pt idx="653">
                  <c:v>43614</c:v>
                </c:pt>
                <c:pt idx="654">
                  <c:v>43615</c:v>
                </c:pt>
                <c:pt idx="655">
                  <c:v>43616</c:v>
                </c:pt>
                <c:pt idx="656">
                  <c:v>43619</c:v>
                </c:pt>
                <c:pt idx="657">
                  <c:v>43620</c:v>
                </c:pt>
                <c:pt idx="658">
                  <c:v>43622</c:v>
                </c:pt>
                <c:pt idx="659">
                  <c:v>43623</c:v>
                </c:pt>
                <c:pt idx="660">
                  <c:v>43626</c:v>
                </c:pt>
                <c:pt idx="661">
                  <c:v>43627</c:v>
                </c:pt>
                <c:pt idx="662">
                  <c:v>43628</c:v>
                </c:pt>
                <c:pt idx="663">
                  <c:v>43629</c:v>
                </c:pt>
                <c:pt idx="664">
                  <c:v>43630</c:v>
                </c:pt>
                <c:pt idx="665">
                  <c:v>43633</c:v>
                </c:pt>
                <c:pt idx="666">
                  <c:v>43634</c:v>
                </c:pt>
                <c:pt idx="667">
                  <c:v>43635</c:v>
                </c:pt>
                <c:pt idx="668">
                  <c:v>43636</c:v>
                </c:pt>
                <c:pt idx="669">
                  <c:v>43637</c:v>
                </c:pt>
                <c:pt idx="670">
                  <c:v>43640</c:v>
                </c:pt>
                <c:pt idx="671">
                  <c:v>43641</c:v>
                </c:pt>
                <c:pt idx="672">
                  <c:v>43642</c:v>
                </c:pt>
                <c:pt idx="673">
                  <c:v>43643</c:v>
                </c:pt>
                <c:pt idx="674">
                  <c:v>43644</c:v>
                </c:pt>
                <c:pt idx="675">
                  <c:v>43647</c:v>
                </c:pt>
                <c:pt idx="676">
                  <c:v>43648</c:v>
                </c:pt>
                <c:pt idx="677">
                  <c:v>43649</c:v>
                </c:pt>
                <c:pt idx="678">
                  <c:v>43650</c:v>
                </c:pt>
                <c:pt idx="679">
                  <c:v>43651</c:v>
                </c:pt>
                <c:pt idx="680">
                  <c:v>43654</c:v>
                </c:pt>
                <c:pt idx="681">
                  <c:v>43655</c:v>
                </c:pt>
                <c:pt idx="682">
                  <c:v>43656</c:v>
                </c:pt>
                <c:pt idx="683">
                  <c:v>43657</c:v>
                </c:pt>
                <c:pt idx="684">
                  <c:v>43658</c:v>
                </c:pt>
                <c:pt idx="685">
                  <c:v>43661</c:v>
                </c:pt>
                <c:pt idx="686">
                  <c:v>43662</c:v>
                </c:pt>
                <c:pt idx="687">
                  <c:v>43663</c:v>
                </c:pt>
                <c:pt idx="688">
                  <c:v>43664</c:v>
                </c:pt>
                <c:pt idx="689">
                  <c:v>43665</c:v>
                </c:pt>
                <c:pt idx="690">
                  <c:v>43668</c:v>
                </c:pt>
                <c:pt idx="691">
                  <c:v>43669</c:v>
                </c:pt>
                <c:pt idx="692">
                  <c:v>43670</c:v>
                </c:pt>
                <c:pt idx="693">
                  <c:v>43671</c:v>
                </c:pt>
                <c:pt idx="694">
                  <c:v>43672</c:v>
                </c:pt>
                <c:pt idx="695">
                  <c:v>43675</c:v>
                </c:pt>
                <c:pt idx="696">
                  <c:v>43676</c:v>
                </c:pt>
                <c:pt idx="697">
                  <c:v>43677</c:v>
                </c:pt>
                <c:pt idx="698">
                  <c:v>43678</c:v>
                </c:pt>
                <c:pt idx="699">
                  <c:v>43679</c:v>
                </c:pt>
                <c:pt idx="700">
                  <c:v>43682</c:v>
                </c:pt>
                <c:pt idx="701">
                  <c:v>43683</c:v>
                </c:pt>
                <c:pt idx="702">
                  <c:v>43684</c:v>
                </c:pt>
                <c:pt idx="703">
                  <c:v>43685</c:v>
                </c:pt>
                <c:pt idx="704">
                  <c:v>43686</c:v>
                </c:pt>
                <c:pt idx="705">
                  <c:v>43690</c:v>
                </c:pt>
                <c:pt idx="706">
                  <c:v>43691</c:v>
                </c:pt>
                <c:pt idx="707">
                  <c:v>43693</c:v>
                </c:pt>
                <c:pt idx="708">
                  <c:v>43696</c:v>
                </c:pt>
                <c:pt idx="709">
                  <c:v>43697</c:v>
                </c:pt>
                <c:pt idx="710">
                  <c:v>43698</c:v>
                </c:pt>
                <c:pt idx="711">
                  <c:v>43699</c:v>
                </c:pt>
                <c:pt idx="712">
                  <c:v>43700</c:v>
                </c:pt>
                <c:pt idx="713">
                  <c:v>43703</c:v>
                </c:pt>
                <c:pt idx="714">
                  <c:v>43704</c:v>
                </c:pt>
                <c:pt idx="715">
                  <c:v>43705</c:v>
                </c:pt>
                <c:pt idx="716">
                  <c:v>43706</c:v>
                </c:pt>
                <c:pt idx="717">
                  <c:v>43707</c:v>
                </c:pt>
                <c:pt idx="718">
                  <c:v>43711</c:v>
                </c:pt>
                <c:pt idx="719">
                  <c:v>43712</c:v>
                </c:pt>
                <c:pt idx="720">
                  <c:v>43713</c:v>
                </c:pt>
                <c:pt idx="721">
                  <c:v>43714</c:v>
                </c:pt>
                <c:pt idx="722">
                  <c:v>43717</c:v>
                </c:pt>
                <c:pt idx="723">
                  <c:v>43719</c:v>
                </c:pt>
                <c:pt idx="724">
                  <c:v>43720</c:v>
                </c:pt>
                <c:pt idx="725">
                  <c:v>43721</c:v>
                </c:pt>
                <c:pt idx="726">
                  <c:v>43724</c:v>
                </c:pt>
                <c:pt idx="727">
                  <c:v>43725</c:v>
                </c:pt>
                <c:pt idx="728">
                  <c:v>43726</c:v>
                </c:pt>
                <c:pt idx="729">
                  <c:v>43727</c:v>
                </c:pt>
                <c:pt idx="730">
                  <c:v>43728</c:v>
                </c:pt>
                <c:pt idx="731">
                  <c:v>43731</c:v>
                </c:pt>
                <c:pt idx="732">
                  <c:v>43732</c:v>
                </c:pt>
                <c:pt idx="733">
                  <c:v>43733</c:v>
                </c:pt>
                <c:pt idx="734">
                  <c:v>43734</c:v>
                </c:pt>
                <c:pt idx="735">
                  <c:v>43735</c:v>
                </c:pt>
                <c:pt idx="736">
                  <c:v>43738</c:v>
                </c:pt>
                <c:pt idx="737">
                  <c:v>43739</c:v>
                </c:pt>
                <c:pt idx="738">
                  <c:v>43741</c:v>
                </c:pt>
                <c:pt idx="739">
                  <c:v>43742</c:v>
                </c:pt>
                <c:pt idx="740">
                  <c:v>43745</c:v>
                </c:pt>
                <c:pt idx="741">
                  <c:v>43747</c:v>
                </c:pt>
                <c:pt idx="742">
                  <c:v>43748</c:v>
                </c:pt>
                <c:pt idx="743">
                  <c:v>43749</c:v>
                </c:pt>
                <c:pt idx="744">
                  <c:v>43752</c:v>
                </c:pt>
                <c:pt idx="745">
                  <c:v>43753</c:v>
                </c:pt>
                <c:pt idx="746">
                  <c:v>43754</c:v>
                </c:pt>
                <c:pt idx="747">
                  <c:v>43755</c:v>
                </c:pt>
                <c:pt idx="748">
                  <c:v>43756</c:v>
                </c:pt>
                <c:pt idx="749">
                  <c:v>43760</c:v>
                </c:pt>
                <c:pt idx="750">
                  <c:v>43761</c:v>
                </c:pt>
                <c:pt idx="751">
                  <c:v>43762</c:v>
                </c:pt>
                <c:pt idx="752">
                  <c:v>43763</c:v>
                </c:pt>
                <c:pt idx="753">
                  <c:v>43767</c:v>
                </c:pt>
                <c:pt idx="754">
                  <c:v>43768</c:v>
                </c:pt>
                <c:pt idx="755">
                  <c:v>43769</c:v>
                </c:pt>
                <c:pt idx="756">
                  <c:v>43770</c:v>
                </c:pt>
                <c:pt idx="757">
                  <c:v>43773</c:v>
                </c:pt>
                <c:pt idx="758">
                  <c:v>43774</c:v>
                </c:pt>
                <c:pt idx="759">
                  <c:v>43775</c:v>
                </c:pt>
                <c:pt idx="760">
                  <c:v>43776</c:v>
                </c:pt>
                <c:pt idx="761">
                  <c:v>43777</c:v>
                </c:pt>
                <c:pt idx="762">
                  <c:v>43780</c:v>
                </c:pt>
                <c:pt idx="763">
                  <c:v>43782</c:v>
                </c:pt>
                <c:pt idx="764">
                  <c:v>43783</c:v>
                </c:pt>
                <c:pt idx="765">
                  <c:v>43784</c:v>
                </c:pt>
                <c:pt idx="766">
                  <c:v>43787</c:v>
                </c:pt>
                <c:pt idx="767">
                  <c:v>43788</c:v>
                </c:pt>
                <c:pt idx="768">
                  <c:v>43789</c:v>
                </c:pt>
                <c:pt idx="769">
                  <c:v>43790</c:v>
                </c:pt>
                <c:pt idx="770">
                  <c:v>43791</c:v>
                </c:pt>
                <c:pt idx="771">
                  <c:v>43794</c:v>
                </c:pt>
                <c:pt idx="772">
                  <c:v>43795</c:v>
                </c:pt>
                <c:pt idx="773">
                  <c:v>43796</c:v>
                </c:pt>
                <c:pt idx="774">
                  <c:v>43797</c:v>
                </c:pt>
                <c:pt idx="775">
                  <c:v>43798</c:v>
                </c:pt>
                <c:pt idx="776">
                  <c:v>43801</c:v>
                </c:pt>
                <c:pt idx="777">
                  <c:v>43802</c:v>
                </c:pt>
                <c:pt idx="778">
                  <c:v>43803</c:v>
                </c:pt>
                <c:pt idx="779">
                  <c:v>43804</c:v>
                </c:pt>
                <c:pt idx="780">
                  <c:v>43805</c:v>
                </c:pt>
                <c:pt idx="781">
                  <c:v>43808</c:v>
                </c:pt>
                <c:pt idx="782">
                  <c:v>43809</c:v>
                </c:pt>
                <c:pt idx="783">
                  <c:v>43810</c:v>
                </c:pt>
                <c:pt idx="784">
                  <c:v>43811</c:v>
                </c:pt>
                <c:pt idx="785">
                  <c:v>43812</c:v>
                </c:pt>
                <c:pt idx="786">
                  <c:v>43815</c:v>
                </c:pt>
                <c:pt idx="787">
                  <c:v>43816</c:v>
                </c:pt>
                <c:pt idx="788">
                  <c:v>43817</c:v>
                </c:pt>
                <c:pt idx="789">
                  <c:v>43818</c:v>
                </c:pt>
                <c:pt idx="790">
                  <c:v>43819</c:v>
                </c:pt>
                <c:pt idx="791">
                  <c:v>43822</c:v>
                </c:pt>
                <c:pt idx="792">
                  <c:v>43823</c:v>
                </c:pt>
                <c:pt idx="793">
                  <c:v>43825</c:v>
                </c:pt>
                <c:pt idx="794">
                  <c:v>43826</c:v>
                </c:pt>
                <c:pt idx="795">
                  <c:v>43829</c:v>
                </c:pt>
                <c:pt idx="796">
                  <c:v>43830</c:v>
                </c:pt>
                <c:pt idx="797">
                  <c:v>43831</c:v>
                </c:pt>
                <c:pt idx="798">
                  <c:v>43832</c:v>
                </c:pt>
                <c:pt idx="799">
                  <c:v>43833</c:v>
                </c:pt>
                <c:pt idx="800">
                  <c:v>43836</c:v>
                </c:pt>
                <c:pt idx="801">
                  <c:v>43837</c:v>
                </c:pt>
                <c:pt idx="802">
                  <c:v>43838</c:v>
                </c:pt>
                <c:pt idx="803">
                  <c:v>43839</c:v>
                </c:pt>
                <c:pt idx="804">
                  <c:v>43840</c:v>
                </c:pt>
                <c:pt idx="805">
                  <c:v>43843</c:v>
                </c:pt>
                <c:pt idx="806">
                  <c:v>43844</c:v>
                </c:pt>
                <c:pt idx="807">
                  <c:v>43845</c:v>
                </c:pt>
                <c:pt idx="808">
                  <c:v>43846</c:v>
                </c:pt>
                <c:pt idx="809">
                  <c:v>43847</c:v>
                </c:pt>
                <c:pt idx="810">
                  <c:v>43850</c:v>
                </c:pt>
                <c:pt idx="811">
                  <c:v>43851</c:v>
                </c:pt>
                <c:pt idx="812">
                  <c:v>43852</c:v>
                </c:pt>
                <c:pt idx="813">
                  <c:v>43853</c:v>
                </c:pt>
                <c:pt idx="814">
                  <c:v>43854</c:v>
                </c:pt>
                <c:pt idx="815">
                  <c:v>43857</c:v>
                </c:pt>
                <c:pt idx="816">
                  <c:v>43858</c:v>
                </c:pt>
                <c:pt idx="817">
                  <c:v>43859</c:v>
                </c:pt>
                <c:pt idx="818">
                  <c:v>43860</c:v>
                </c:pt>
                <c:pt idx="819">
                  <c:v>43861</c:v>
                </c:pt>
                <c:pt idx="820">
                  <c:v>43864</c:v>
                </c:pt>
                <c:pt idx="821">
                  <c:v>43865</c:v>
                </c:pt>
                <c:pt idx="822">
                  <c:v>43866</c:v>
                </c:pt>
                <c:pt idx="823">
                  <c:v>43867</c:v>
                </c:pt>
                <c:pt idx="824">
                  <c:v>43868</c:v>
                </c:pt>
                <c:pt idx="825">
                  <c:v>43871</c:v>
                </c:pt>
                <c:pt idx="826">
                  <c:v>43872</c:v>
                </c:pt>
                <c:pt idx="827">
                  <c:v>43873</c:v>
                </c:pt>
                <c:pt idx="828">
                  <c:v>43874</c:v>
                </c:pt>
                <c:pt idx="829">
                  <c:v>43875</c:v>
                </c:pt>
                <c:pt idx="830">
                  <c:v>43878</c:v>
                </c:pt>
                <c:pt idx="831">
                  <c:v>43879</c:v>
                </c:pt>
                <c:pt idx="832">
                  <c:v>43880</c:v>
                </c:pt>
                <c:pt idx="833">
                  <c:v>43881</c:v>
                </c:pt>
                <c:pt idx="834">
                  <c:v>43885</c:v>
                </c:pt>
                <c:pt idx="835">
                  <c:v>43886</c:v>
                </c:pt>
                <c:pt idx="836">
                  <c:v>43887</c:v>
                </c:pt>
                <c:pt idx="837">
                  <c:v>43888</c:v>
                </c:pt>
                <c:pt idx="838">
                  <c:v>43889</c:v>
                </c:pt>
                <c:pt idx="839">
                  <c:v>43892</c:v>
                </c:pt>
                <c:pt idx="840">
                  <c:v>43893</c:v>
                </c:pt>
                <c:pt idx="841">
                  <c:v>43894</c:v>
                </c:pt>
                <c:pt idx="842">
                  <c:v>43895</c:v>
                </c:pt>
                <c:pt idx="843">
                  <c:v>43896</c:v>
                </c:pt>
                <c:pt idx="844">
                  <c:v>43899</c:v>
                </c:pt>
                <c:pt idx="845">
                  <c:v>43901</c:v>
                </c:pt>
                <c:pt idx="846">
                  <c:v>43902</c:v>
                </c:pt>
                <c:pt idx="847">
                  <c:v>43903</c:v>
                </c:pt>
                <c:pt idx="848">
                  <c:v>43906</c:v>
                </c:pt>
                <c:pt idx="849">
                  <c:v>43907</c:v>
                </c:pt>
                <c:pt idx="850">
                  <c:v>43908</c:v>
                </c:pt>
                <c:pt idx="851">
                  <c:v>43909</c:v>
                </c:pt>
                <c:pt idx="852">
                  <c:v>43910</c:v>
                </c:pt>
                <c:pt idx="853">
                  <c:v>43913</c:v>
                </c:pt>
                <c:pt idx="854">
                  <c:v>43914</c:v>
                </c:pt>
                <c:pt idx="855">
                  <c:v>43915</c:v>
                </c:pt>
                <c:pt idx="856">
                  <c:v>43916</c:v>
                </c:pt>
                <c:pt idx="857">
                  <c:v>43917</c:v>
                </c:pt>
                <c:pt idx="858">
                  <c:v>43920</c:v>
                </c:pt>
                <c:pt idx="859">
                  <c:v>43921</c:v>
                </c:pt>
                <c:pt idx="860">
                  <c:v>43922</c:v>
                </c:pt>
                <c:pt idx="861">
                  <c:v>43924</c:v>
                </c:pt>
                <c:pt idx="862">
                  <c:v>43928</c:v>
                </c:pt>
                <c:pt idx="863">
                  <c:v>43929</c:v>
                </c:pt>
                <c:pt idx="864">
                  <c:v>43930</c:v>
                </c:pt>
                <c:pt idx="865">
                  <c:v>43934</c:v>
                </c:pt>
                <c:pt idx="866">
                  <c:v>43936</c:v>
                </c:pt>
                <c:pt idx="867">
                  <c:v>43937</c:v>
                </c:pt>
                <c:pt idx="868">
                  <c:v>43938</c:v>
                </c:pt>
                <c:pt idx="869">
                  <c:v>43941</c:v>
                </c:pt>
                <c:pt idx="870">
                  <c:v>43942</c:v>
                </c:pt>
                <c:pt idx="871">
                  <c:v>43943</c:v>
                </c:pt>
                <c:pt idx="872">
                  <c:v>43944</c:v>
                </c:pt>
                <c:pt idx="873">
                  <c:v>43945</c:v>
                </c:pt>
                <c:pt idx="874">
                  <c:v>43948</c:v>
                </c:pt>
                <c:pt idx="875">
                  <c:v>43949</c:v>
                </c:pt>
                <c:pt idx="876">
                  <c:v>43950</c:v>
                </c:pt>
                <c:pt idx="877">
                  <c:v>43951</c:v>
                </c:pt>
                <c:pt idx="878">
                  <c:v>43955</c:v>
                </c:pt>
                <c:pt idx="879">
                  <c:v>43956</c:v>
                </c:pt>
                <c:pt idx="880">
                  <c:v>43957</c:v>
                </c:pt>
                <c:pt idx="881">
                  <c:v>43958</c:v>
                </c:pt>
                <c:pt idx="882">
                  <c:v>43959</c:v>
                </c:pt>
                <c:pt idx="883">
                  <c:v>43962</c:v>
                </c:pt>
                <c:pt idx="884">
                  <c:v>43963</c:v>
                </c:pt>
                <c:pt idx="885">
                  <c:v>43964</c:v>
                </c:pt>
                <c:pt idx="886">
                  <c:v>43965</c:v>
                </c:pt>
                <c:pt idx="887">
                  <c:v>43966</c:v>
                </c:pt>
                <c:pt idx="888">
                  <c:v>43969</c:v>
                </c:pt>
                <c:pt idx="889">
                  <c:v>43970</c:v>
                </c:pt>
                <c:pt idx="890">
                  <c:v>43971</c:v>
                </c:pt>
                <c:pt idx="891">
                  <c:v>43972</c:v>
                </c:pt>
                <c:pt idx="892">
                  <c:v>43973</c:v>
                </c:pt>
                <c:pt idx="893">
                  <c:v>43977</c:v>
                </c:pt>
                <c:pt idx="894">
                  <c:v>43978</c:v>
                </c:pt>
                <c:pt idx="895">
                  <c:v>43979</c:v>
                </c:pt>
                <c:pt idx="896">
                  <c:v>43980</c:v>
                </c:pt>
                <c:pt idx="897">
                  <c:v>43983</c:v>
                </c:pt>
                <c:pt idx="898">
                  <c:v>43984</c:v>
                </c:pt>
                <c:pt idx="899">
                  <c:v>43985</c:v>
                </c:pt>
                <c:pt idx="900">
                  <c:v>43986</c:v>
                </c:pt>
                <c:pt idx="901">
                  <c:v>43987</c:v>
                </c:pt>
                <c:pt idx="902">
                  <c:v>43990</c:v>
                </c:pt>
                <c:pt idx="903">
                  <c:v>43991</c:v>
                </c:pt>
                <c:pt idx="904">
                  <c:v>43992</c:v>
                </c:pt>
                <c:pt idx="905">
                  <c:v>43993</c:v>
                </c:pt>
                <c:pt idx="906">
                  <c:v>43994</c:v>
                </c:pt>
                <c:pt idx="907">
                  <c:v>43997</c:v>
                </c:pt>
                <c:pt idx="908">
                  <c:v>43998</c:v>
                </c:pt>
                <c:pt idx="909">
                  <c:v>43999</c:v>
                </c:pt>
                <c:pt idx="910">
                  <c:v>44000</c:v>
                </c:pt>
                <c:pt idx="911">
                  <c:v>44001</c:v>
                </c:pt>
                <c:pt idx="912">
                  <c:v>44004</c:v>
                </c:pt>
                <c:pt idx="913">
                  <c:v>44005</c:v>
                </c:pt>
                <c:pt idx="914">
                  <c:v>44006</c:v>
                </c:pt>
                <c:pt idx="915">
                  <c:v>44007</c:v>
                </c:pt>
                <c:pt idx="916">
                  <c:v>44008</c:v>
                </c:pt>
                <c:pt idx="917">
                  <c:v>44011</c:v>
                </c:pt>
                <c:pt idx="918">
                  <c:v>44012</c:v>
                </c:pt>
                <c:pt idx="919">
                  <c:v>44013</c:v>
                </c:pt>
                <c:pt idx="920">
                  <c:v>44014</c:v>
                </c:pt>
                <c:pt idx="921">
                  <c:v>44015</c:v>
                </c:pt>
                <c:pt idx="922">
                  <c:v>44018</c:v>
                </c:pt>
                <c:pt idx="923">
                  <c:v>44019</c:v>
                </c:pt>
                <c:pt idx="924">
                  <c:v>44020</c:v>
                </c:pt>
                <c:pt idx="925">
                  <c:v>44021</c:v>
                </c:pt>
                <c:pt idx="926">
                  <c:v>44022</c:v>
                </c:pt>
                <c:pt idx="927">
                  <c:v>44025</c:v>
                </c:pt>
                <c:pt idx="928">
                  <c:v>44026</c:v>
                </c:pt>
                <c:pt idx="929">
                  <c:v>44027</c:v>
                </c:pt>
                <c:pt idx="930">
                  <c:v>44028</c:v>
                </c:pt>
                <c:pt idx="931">
                  <c:v>44029</c:v>
                </c:pt>
                <c:pt idx="932">
                  <c:v>44032</c:v>
                </c:pt>
                <c:pt idx="933">
                  <c:v>44033</c:v>
                </c:pt>
                <c:pt idx="934">
                  <c:v>44034</c:v>
                </c:pt>
                <c:pt idx="935">
                  <c:v>44035</c:v>
                </c:pt>
                <c:pt idx="936">
                  <c:v>44036</c:v>
                </c:pt>
                <c:pt idx="937">
                  <c:v>44039</c:v>
                </c:pt>
                <c:pt idx="938">
                  <c:v>44040</c:v>
                </c:pt>
                <c:pt idx="939">
                  <c:v>44041</c:v>
                </c:pt>
                <c:pt idx="940">
                  <c:v>44042</c:v>
                </c:pt>
                <c:pt idx="941">
                  <c:v>44043</c:v>
                </c:pt>
                <c:pt idx="942">
                  <c:v>44046</c:v>
                </c:pt>
                <c:pt idx="943">
                  <c:v>44047</c:v>
                </c:pt>
                <c:pt idx="944">
                  <c:v>44048</c:v>
                </c:pt>
                <c:pt idx="945">
                  <c:v>44049</c:v>
                </c:pt>
                <c:pt idx="946">
                  <c:v>44050</c:v>
                </c:pt>
                <c:pt idx="947">
                  <c:v>44053</c:v>
                </c:pt>
                <c:pt idx="948">
                  <c:v>44054</c:v>
                </c:pt>
                <c:pt idx="949">
                  <c:v>44055</c:v>
                </c:pt>
                <c:pt idx="950">
                  <c:v>44056</c:v>
                </c:pt>
                <c:pt idx="951">
                  <c:v>44057</c:v>
                </c:pt>
                <c:pt idx="952">
                  <c:v>44060</c:v>
                </c:pt>
                <c:pt idx="953">
                  <c:v>44061</c:v>
                </c:pt>
                <c:pt idx="954">
                  <c:v>44062</c:v>
                </c:pt>
                <c:pt idx="955">
                  <c:v>44063</c:v>
                </c:pt>
                <c:pt idx="956">
                  <c:v>44064</c:v>
                </c:pt>
                <c:pt idx="957">
                  <c:v>44067</c:v>
                </c:pt>
                <c:pt idx="958">
                  <c:v>44068</c:v>
                </c:pt>
                <c:pt idx="959">
                  <c:v>44069</c:v>
                </c:pt>
                <c:pt idx="960">
                  <c:v>44070</c:v>
                </c:pt>
                <c:pt idx="961">
                  <c:v>44071</c:v>
                </c:pt>
                <c:pt idx="962">
                  <c:v>44074</c:v>
                </c:pt>
                <c:pt idx="963">
                  <c:v>44075</c:v>
                </c:pt>
                <c:pt idx="964">
                  <c:v>44076</c:v>
                </c:pt>
                <c:pt idx="965">
                  <c:v>44077</c:v>
                </c:pt>
                <c:pt idx="966">
                  <c:v>44078</c:v>
                </c:pt>
                <c:pt idx="967">
                  <c:v>44081</c:v>
                </c:pt>
                <c:pt idx="968">
                  <c:v>44082</c:v>
                </c:pt>
                <c:pt idx="969">
                  <c:v>44083</c:v>
                </c:pt>
                <c:pt idx="970">
                  <c:v>44084</c:v>
                </c:pt>
                <c:pt idx="971">
                  <c:v>44085</c:v>
                </c:pt>
                <c:pt idx="972">
                  <c:v>44088</c:v>
                </c:pt>
                <c:pt idx="973">
                  <c:v>44089</c:v>
                </c:pt>
                <c:pt idx="974">
                  <c:v>44090</c:v>
                </c:pt>
                <c:pt idx="975">
                  <c:v>44091</c:v>
                </c:pt>
                <c:pt idx="976">
                  <c:v>44092</c:v>
                </c:pt>
                <c:pt idx="977">
                  <c:v>44095</c:v>
                </c:pt>
                <c:pt idx="978">
                  <c:v>44096</c:v>
                </c:pt>
                <c:pt idx="979">
                  <c:v>44097</c:v>
                </c:pt>
                <c:pt idx="980">
                  <c:v>44098</c:v>
                </c:pt>
                <c:pt idx="981">
                  <c:v>44099</c:v>
                </c:pt>
                <c:pt idx="982">
                  <c:v>44102</c:v>
                </c:pt>
                <c:pt idx="983">
                  <c:v>44103</c:v>
                </c:pt>
                <c:pt idx="984">
                  <c:v>44104</c:v>
                </c:pt>
                <c:pt idx="985">
                  <c:v>44105</c:v>
                </c:pt>
                <c:pt idx="986">
                  <c:v>44109</c:v>
                </c:pt>
                <c:pt idx="987">
                  <c:v>44110</c:v>
                </c:pt>
                <c:pt idx="988">
                  <c:v>44111</c:v>
                </c:pt>
                <c:pt idx="989">
                  <c:v>44112</c:v>
                </c:pt>
                <c:pt idx="990">
                  <c:v>44113</c:v>
                </c:pt>
                <c:pt idx="991">
                  <c:v>44116</c:v>
                </c:pt>
                <c:pt idx="992">
                  <c:v>44117</c:v>
                </c:pt>
                <c:pt idx="993">
                  <c:v>44118</c:v>
                </c:pt>
                <c:pt idx="994">
                  <c:v>44119</c:v>
                </c:pt>
                <c:pt idx="995">
                  <c:v>44120</c:v>
                </c:pt>
                <c:pt idx="996">
                  <c:v>44123</c:v>
                </c:pt>
                <c:pt idx="997">
                  <c:v>44124</c:v>
                </c:pt>
                <c:pt idx="998">
                  <c:v>44125</c:v>
                </c:pt>
                <c:pt idx="999">
                  <c:v>44126</c:v>
                </c:pt>
                <c:pt idx="1000">
                  <c:v>44127</c:v>
                </c:pt>
                <c:pt idx="1001">
                  <c:v>44130</c:v>
                </c:pt>
                <c:pt idx="1002">
                  <c:v>44131</c:v>
                </c:pt>
                <c:pt idx="1003">
                  <c:v>44132</c:v>
                </c:pt>
                <c:pt idx="1004">
                  <c:v>44133</c:v>
                </c:pt>
                <c:pt idx="1005">
                  <c:v>44134</c:v>
                </c:pt>
                <c:pt idx="1006">
                  <c:v>44137</c:v>
                </c:pt>
                <c:pt idx="1007">
                  <c:v>44138</c:v>
                </c:pt>
                <c:pt idx="1008">
                  <c:v>44139</c:v>
                </c:pt>
                <c:pt idx="1009">
                  <c:v>44140</c:v>
                </c:pt>
                <c:pt idx="1010">
                  <c:v>44141</c:v>
                </c:pt>
                <c:pt idx="1011">
                  <c:v>44144</c:v>
                </c:pt>
                <c:pt idx="1012">
                  <c:v>44145</c:v>
                </c:pt>
                <c:pt idx="1013">
                  <c:v>44146</c:v>
                </c:pt>
                <c:pt idx="1014">
                  <c:v>44147</c:v>
                </c:pt>
                <c:pt idx="1015">
                  <c:v>44148</c:v>
                </c:pt>
                <c:pt idx="1016">
                  <c:v>44152</c:v>
                </c:pt>
                <c:pt idx="1017">
                  <c:v>44153</c:v>
                </c:pt>
                <c:pt idx="1018">
                  <c:v>44154</c:v>
                </c:pt>
                <c:pt idx="1019">
                  <c:v>44155</c:v>
                </c:pt>
                <c:pt idx="1020">
                  <c:v>44158</c:v>
                </c:pt>
                <c:pt idx="1021">
                  <c:v>44159</c:v>
                </c:pt>
                <c:pt idx="1022">
                  <c:v>44160</c:v>
                </c:pt>
                <c:pt idx="1023">
                  <c:v>44161</c:v>
                </c:pt>
                <c:pt idx="1024">
                  <c:v>44162</c:v>
                </c:pt>
                <c:pt idx="1025">
                  <c:v>44166</c:v>
                </c:pt>
                <c:pt idx="1026">
                  <c:v>44167</c:v>
                </c:pt>
                <c:pt idx="1027">
                  <c:v>44168</c:v>
                </c:pt>
                <c:pt idx="1028">
                  <c:v>44169</c:v>
                </c:pt>
                <c:pt idx="1029">
                  <c:v>44172</c:v>
                </c:pt>
                <c:pt idx="1030">
                  <c:v>44173</c:v>
                </c:pt>
                <c:pt idx="1031">
                  <c:v>44174</c:v>
                </c:pt>
                <c:pt idx="1032">
                  <c:v>44175</c:v>
                </c:pt>
                <c:pt idx="1033">
                  <c:v>44176</c:v>
                </c:pt>
                <c:pt idx="1034">
                  <c:v>44179</c:v>
                </c:pt>
                <c:pt idx="1035">
                  <c:v>44180</c:v>
                </c:pt>
                <c:pt idx="1036">
                  <c:v>44181</c:v>
                </c:pt>
                <c:pt idx="1037">
                  <c:v>44182</c:v>
                </c:pt>
                <c:pt idx="1038">
                  <c:v>44183</c:v>
                </c:pt>
                <c:pt idx="1039">
                  <c:v>44186</c:v>
                </c:pt>
                <c:pt idx="1040">
                  <c:v>44187</c:v>
                </c:pt>
                <c:pt idx="1041">
                  <c:v>44188</c:v>
                </c:pt>
                <c:pt idx="1042">
                  <c:v>44189</c:v>
                </c:pt>
                <c:pt idx="1043">
                  <c:v>44193</c:v>
                </c:pt>
                <c:pt idx="1044">
                  <c:v>44194</c:v>
                </c:pt>
                <c:pt idx="1045">
                  <c:v>44195</c:v>
                </c:pt>
                <c:pt idx="1046">
                  <c:v>44196</c:v>
                </c:pt>
                <c:pt idx="1047">
                  <c:v>44197</c:v>
                </c:pt>
                <c:pt idx="1048">
                  <c:v>44200</c:v>
                </c:pt>
                <c:pt idx="1049">
                  <c:v>44201</c:v>
                </c:pt>
                <c:pt idx="1050">
                  <c:v>44202</c:v>
                </c:pt>
                <c:pt idx="1051">
                  <c:v>44203</c:v>
                </c:pt>
                <c:pt idx="1052">
                  <c:v>44204</c:v>
                </c:pt>
                <c:pt idx="1053">
                  <c:v>44207</c:v>
                </c:pt>
                <c:pt idx="1054">
                  <c:v>44208</c:v>
                </c:pt>
                <c:pt idx="1055">
                  <c:v>44209</c:v>
                </c:pt>
                <c:pt idx="1056">
                  <c:v>44210</c:v>
                </c:pt>
                <c:pt idx="1057">
                  <c:v>44211</c:v>
                </c:pt>
                <c:pt idx="1058">
                  <c:v>44214</c:v>
                </c:pt>
                <c:pt idx="1059">
                  <c:v>44215</c:v>
                </c:pt>
                <c:pt idx="1060">
                  <c:v>44216</c:v>
                </c:pt>
                <c:pt idx="1061">
                  <c:v>44217</c:v>
                </c:pt>
                <c:pt idx="1062">
                  <c:v>44218</c:v>
                </c:pt>
                <c:pt idx="1063">
                  <c:v>44221</c:v>
                </c:pt>
                <c:pt idx="1064">
                  <c:v>44223</c:v>
                </c:pt>
                <c:pt idx="1065">
                  <c:v>44224</c:v>
                </c:pt>
                <c:pt idx="1066">
                  <c:v>44225</c:v>
                </c:pt>
                <c:pt idx="1067">
                  <c:v>44228</c:v>
                </c:pt>
                <c:pt idx="1068">
                  <c:v>44229</c:v>
                </c:pt>
                <c:pt idx="1069">
                  <c:v>44230</c:v>
                </c:pt>
                <c:pt idx="1070">
                  <c:v>44231</c:v>
                </c:pt>
                <c:pt idx="1071">
                  <c:v>44232</c:v>
                </c:pt>
                <c:pt idx="1072">
                  <c:v>44235</c:v>
                </c:pt>
                <c:pt idx="1073">
                  <c:v>44236</c:v>
                </c:pt>
                <c:pt idx="1074">
                  <c:v>44237</c:v>
                </c:pt>
                <c:pt idx="1075">
                  <c:v>44238</c:v>
                </c:pt>
                <c:pt idx="1076">
                  <c:v>44239</c:v>
                </c:pt>
                <c:pt idx="1077">
                  <c:v>44242</c:v>
                </c:pt>
                <c:pt idx="1078">
                  <c:v>44243</c:v>
                </c:pt>
                <c:pt idx="1079">
                  <c:v>44244</c:v>
                </c:pt>
                <c:pt idx="1080">
                  <c:v>44245</c:v>
                </c:pt>
                <c:pt idx="1081">
                  <c:v>44246</c:v>
                </c:pt>
                <c:pt idx="1082">
                  <c:v>44249</c:v>
                </c:pt>
                <c:pt idx="1083">
                  <c:v>44250</c:v>
                </c:pt>
                <c:pt idx="1084">
                  <c:v>44251</c:v>
                </c:pt>
                <c:pt idx="1085">
                  <c:v>44252</c:v>
                </c:pt>
                <c:pt idx="1086">
                  <c:v>44253</c:v>
                </c:pt>
                <c:pt idx="1087">
                  <c:v>44256</c:v>
                </c:pt>
                <c:pt idx="1088">
                  <c:v>44257</c:v>
                </c:pt>
                <c:pt idx="1089">
                  <c:v>44258</c:v>
                </c:pt>
                <c:pt idx="1090">
                  <c:v>44259</c:v>
                </c:pt>
                <c:pt idx="1091">
                  <c:v>44260</c:v>
                </c:pt>
                <c:pt idx="1092">
                  <c:v>44263</c:v>
                </c:pt>
                <c:pt idx="1093">
                  <c:v>44264</c:v>
                </c:pt>
                <c:pt idx="1094">
                  <c:v>44265</c:v>
                </c:pt>
                <c:pt idx="1095">
                  <c:v>44267</c:v>
                </c:pt>
                <c:pt idx="1096">
                  <c:v>44270</c:v>
                </c:pt>
                <c:pt idx="1097">
                  <c:v>44271</c:v>
                </c:pt>
                <c:pt idx="1098">
                  <c:v>44272</c:v>
                </c:pt>
                <c:pt idx="1099">
                  <c:v>44273</c:v>
                </c:pt>
                <c:pt idx="1100">
                  <c:v>44274</c:v>
                </c:pt>
                <c:pt idx="1101">
                  <c:v>44277</c:v>
                </c:pt>
                <c:pt idx="1102">
                  <c:v>44278</c:v>
                </c:pt>
                <c:pt idx="1103">
                  <c:v>44279</c:v>
                </c:pt>
                <c:pt idx="1104">
                  <c:v>44280</c:v>
                </c:pt>
                <c:pt idx="1105">
                  <c:v>44281</c:v>
                </c:pt>
                <c:pt idx="1106">
                  <c:v>44285</c:v>
                </c:pt>
                <c:pt idx="1107">
                  <c:v>44286</c:v>
                </c:pt>
                <c:pt idx="1108">
                  <c:v>44287</c:v>
                </c:pt>
                <c:pt idx="1109">
                  <c:v>44291</c:v>
                </c:pt>
                <c:pt idx="1110">
                  <c:v>44292</c:v>
                </c:pt>
                <c:pt idx="1111">
                  <c:v>44293</c:v>
                </c:pt>
                <c:pt idx="1112">
                  <c:v>44294</c:v>
                </c:pt>
                <c:pt idx="1113">
                  <c:v>44295</c:v>
                </c:pt>
                <c:pt idx="1114">
                  <c:v>44298</c:v>
                </c:pt>
                <c:pt idx="1115">
                  <c:v>44299</c:v>
                </c:pt>
                <c:pt idx="1116">
                  <c:v>44301</c:v>
                </c:pt>
                <c:pt idx="1117">
                  <c:v>44302</c:v>
                </c:pt>
                <c:pt idx="1118">
                  <c:v>44305</c:v>
                </c:pt>
                <c:pt idx="1119">
                  <c:v>44306</c:v>
                </c:pt>
                <c:pt idx="1120">
                  <c:v>44308</c:v>
                </c:pt>
                <c:pt idx="1121">
                  <c:v>44309</c:v>
                </c:pt>
                <c:pt idx="1122">
                  <c:v>44312</c:v>
                </c:pt>
                <c:pt idx="1123">
                  <c:v>44313</c:v>
                </c:pt>
                <c:pt idx="1124">
                  <c:v>44314</c:v>
                </c:pt>
                <c:pt idx="1125">
                  <c:v>44315</c:v>
                </c:pt>
                <c:pt idx="1126">
                  <c:v>44316</c:v>
                </c:pt>
                <c:pt idx="1127">
                  <c:v>44319</c:v>
                </c:pt>
                <c:pt idx="1128">
                  <c:v>44320</c:v>
                </c:pt>
                <c:pt idx="1129">
                  <c:v>44321</c:v>
                </c:pt>
                <c:pt idx="1130">
                  <c:v>44322</c:v>
                </c:pt>
                <c:pt idx="1131">
                  <c:v>44323</c:v>
                </c:pt>
                <c:pt idx="1132">
                  <c:v>44326</c:v>
                </c:pt>
                <c:pt idx="1133">
                  <c:v>44327</c:v>
                </c:pt>
                <c:pt idx="1134">
                  <c:v>44328</c:v>
                </c:pt>
                <c:pt idx="1135">
                  <c:v>44330</c:v>
                </c:pt>
                <c:pt idx="1136">
                  <c:v>44333</c:v>
                </c:pt>
                <c:pt idx="1137">
                  <c:v>44334</c:v>
                </c:pt>
                <c:pt idx="1138">
                  <c:v>44335</c:v>
                </c:pt>
                <c:pt idx="1139">
                  <c:v>44336</c:v>
                </c:pt>
                <c:pt idx="1140">
                  <c:v>44337</c:v>
                </c:pt>
                <c:pt idx="1141">
                  <c:v>44340</c:v>
                </c:pt>
                <c:pt idx="1142">
                  <c:v>44341</c:v>
                </c:pt>
                <c:pt idx="1143">
                  <c:v>44342</c:v>
                </c:pt>
                <c:pt idx="1144">
                  <c:v>44343</c:v>
                </c:pt>
                <c:pt idx="1145">
                  <c:v>44344</c:v>
                </c:pt>
                <c:pt idx="1146">
                  <c:v>44347</c:v>
                </c:pt>
                <c:pt idx="1147">
                  <c:v>44348</c:v>
                </c:pt>
                <c:pt idx="1148">
                  <c:v>44349</c:v>
                </c:pt>
                <c:pt idx="1149">
                  <c:v>44350</c:v>
                </c:pt>
                <c:pt idx="1150">
                  <c:v>44351</c:v>
                </c:pt>
                <c:pt idx="1151">
                  <c:v>44354</c:v>
                </c:pt>
                <c:pt idx="1152">
                  <c:v>44355</c:v>
                </c:pt>
                <c:pt idx="1153">
                  <c:v>44356</c:v>
                </c:pt>
                <c:pt idx="1154">
                  <c:v>44357</c:v>
                </c:pt>
                <c:pt idx="1155">
                  <c:v>44358</c:v>
                </c:pt>
                <c:pt idx="1156">
                  <c:v>44361</c:v>
                </c:pt>
                <c:pt idx="1157">
                  <c:v>44362</c:v>
                </c:pt>
                <c:pt idx="1158">
                  <c:v>44363</c:v>
                </c:pt>
                <c:pt idx="1159">
                  <c:v>44364</c:v>
                </c:pt>
                <c:pt idx="1160">
                  <c:v>44365</c:v>
                </c:pt>
                <c:pt idx="1161">
                  <c:v>44368</c:v>
                </c:pt>
                <c:pt idx="1162">
                  <c:v>44369</c:v>
                </c:pt>
                <c:pt idx="1163">
                  <c:v>44370</c:v>
                </c:pt>
                <c:pt idx="1164">
                  <c:v>44371</c:v>
                </c:pt>
                <c:pt idx="1165">
                  <c:v>44372</c:v>
                </c:pt>
                <c:pt idx="1166">
                  <c:v>44375</c:v>
                </c:pt>
                <c:pt idx="1167">
                  <c:v>44376</c:v>
                </c:pt>
                <c:pt idx="1168">
                  <c:v>44377</c:v>
                </c:pt>
                <c:pt idx="1169">
                  <c:v>44378</c:v>
                </c:pt>
                <c:pt idx="1170">
                  <c:v>44379</c:v>
                </c:pt>
                <c:pt idx="1171">
                  <c:v>44382</c:v>
                </c:pt>
                <c:pt idx="1172">
                  <c:v>44383</c:v>
                </c:pt>
                <c:pt idx="1173">
                  <c:v>44384</c:v>
                </c:pt>
                <c:pt idx="1174">
                  <c:v>44385</c:v>
                </c:pt>
                <c:pt idx="1175">
                  <c:v>44386</c:v>
                </c:pt>
                <c:pt idx="1176">
                  <c:v>44389</c:v>
                </c:pt>
                <c:pt idx="1177">
                  <c:v>44390</c:v>
                </c:pt>
                <c:pt idx="1178">
                  <c:v>44391</c:v>
                </c:pt>
                <c:pt idx="1179">
                  <c:v>44392</c:v>
                </c:pt>
                <c:pt idx="1180">
                  <c:v>44393</c:v>
                </c:pt>
                <c:pt idx="1181">
                  <c:v>44396</c:v>
                </c:pt>
                <c:pt idx="1182">
                  <c:v>44397</c:v>
                </c:pt>
                <c:pt idx="1183">
                  <c:v>44399</c:v>
                </c:pt>
                <c:pt idx="1184">
                  <c:v>44400</c:v>
                </c:pt>
                <c:pt idx="1185">
                  <c:v>44403</c:v>
                </c:pt>
                <c:pt idx="1186">
                  <c:v>44404</c:v>
                </c:pt>
                <c:pt idx="1187">
                  <c:v>44405</c:v>
                </c:pt>
                <c:pt idx="1188">
                  <c:v>44406</c:v>
                </c:pt>
                <c:pt idx="1189">
                  <c:v>44407</c:v>
                </c:pt>
                <c:pt idx="1190">
                  <c:v>44410</c:v>
                </c:pt>
                <c:pt idx="1191">
                  <c:v>44411</c:v>
                </c:pt>
                <c:pt idx="1192">
                  <c:v>44412</c:v>
                </c:pt>
                <c:pt idx="1193">
                  <c:v>44413</c:v>
                </c:pt>
                <c:pt idx="1194">
                  <c:v>44414</c:v>
                </c:pt>
                <c:pt idx="1195">
                  <c:v>44417</c:v>
                </c:pt>
                <c:pt idx="1196">
                  <c:v>44418</c:v>
                </c:pt>
                <c:pt idx="1197">
                  <c:v>44419</c:v>
                </c:pt>
                <c:pt idx="1198">
                  <c:v>44420</c:v>
                </c:pt>
                <c:pt idx="1199">
                  <c:v>44421</c:v>
                </c:pt>
                <c:pt idx="1200">
                  <c:v>44424</c:v>
                </c:pt>
                <c:pt idx="1201">
                  <c:v>44425</c:v>
                </c:pt>
                <c:pt idx="1202">
                  <c:v>44426</c:v>
                </c:pt>
                <c:pt idx="1203">
                  <c:v>44428</c:v>
                </c:pt>
                <c:pt idx="1204">
                  <c:v>44431</c:v>
                </c:pt>
                <c:pt idx="1205">
                  <c:v>44432</c:v>
                </c:pt>
                <c:pt idx="1206">
                  <c:v>44433</c:v>
                </c:pt>
                <c:pt idx="1207">
                  <c:v>44434</c:v>
                </c:pt>
                <c:pt idx="1208">
                  <c:v>44435</c:v>
                </c:pt>
                <c:pt idx="1209">
                  <c:v>44438</c:v>
                </c:pt>
                <c:pt idx="1210">
                  <c:v>44439</c:v>
                </c:pt>
                <c:pt idx="1211">
                  <c:v>44440</c:v>
                </c:pt>
                <c:pt idx="1212">
                  <c:v>44441</c:v>
                </c:pt>
                <c:pt idx="1213">
                  <c:v>44442</c:v>
                </c:pt>
                <c:pt idx="1214">
                  <c:v>44445</c:v>
                </c:pt>
                <c:pt idx="1215">
                  <c:v>44446</c:v>
                </c:pt>
                <c:pt idx="1216">
                  <c:v>44447</c:v>
                </c:pt>
                <c:pt idx="1217">
                  <c:v>44448</c:v>
                </c:pt>
                <c:pt idx="1218">
                  <c:v>44452</c:v>
                </c:pt>
                <c:pt idx="1219">
                  <c:v>44453</c:v>
                </c:pt>
                <c:pt idx="1220">
                  <c:v>44454</c:v>
                </c:pt>
                <c:pt idx="1221">
                  <c:v>44455</c:v>
                </c:pt>
                <c:pt idx="1222">
                  <c:v>44456</c:v>
                </c:pt>
                <c:pt idx="1223">
                  <c:v>44459</c:v>
                </c:pt>
                <c:pt idx="1224">
                  <c:v>44460</c:v>
                </c:pt>
                <c:pt idx="1225">
                  <c:v>44461</c:v>
                </c:pt>
                <c:pt idx="1226">
                  <c:v>44462</c:v>
                </c:pt>
                <c:pt idx="1227">
                  <c:v>44463</c:v>
                </c:pt>
                <c:pt idx="1228">
                  <c:v>44466</c:v>
                </c:pt>
                <c:pt idx="1229">
                  <c:v>44467</c:v>
                </c:pt>
                <c:pt idx="1230">
                  <c:v>44468</c:v>
                </c:pt>
                <c:pt idx="1231">
                  <c:v>44469</c:v>
                </c:pt>
                <c:pt idx="1232">
                  <c:v>44470</c:v>
                </c:pt>
                <c:pt idx="1233">
                  <c:v>44473</c:v>
                </c:pt>
                <c:pt idx="1234">
                  <c:v>44474</c:v>
                </c:pt>
                <c:pt idx="1235">
                  <c:v>44475</c:v>
                </c:pt>
                <c:pt idx="1236">
                  <c:v>44476</c:v>
                </c:pt>
                <c:pt idx="1237">
                  <c:v>44477</c:v>
                </c:pt>
                <c:pt idx="1238">
                  <c:v>44480</c:v>
                </c:pt>
                <c:pt idx="1239">
                  <c:v>44481</c:v>
                </c:pt>
                <c:pt idx="1240">
                  <c:v>44482</c:v>
                </c:pt>
                <c:pt idx="1241">
                  <c:v>44483</c:v>
                </c:pt>
                <c:pt idx="1242">
                  <c:v>44487</c:v>
                </c:pt>
                <c:pt idx="1243">
                  <c:v>44488</c:v>
                </c:pt>
                <c:pt idx="1244">
                  <c:v>44489</c:v>
                </c:pt>
                <c:pt idx="1245">
                  <c:v>44490</c:v>
                </c:pt>
                <c:pt idx="1246">
                  <c:v>44491</c:v>
                </c:pt>
                <c:pt idx="1247">
                  <c:v>44494</c:v>
                </c:pt>
                <c:pt idx="1248">
                  <c:v>44495</c:v>
                </c:pt>
                <c:pt idx="1249">
                  <c:v>44496</c:v>
                </c:pt>
                <c:pt idx="1250">
                  <c:v>44497</c:v>
                </c:pt>
                <c:pt idx="1251">
                  <c:v>44498</c:v>
                </c:pt>
                <c:pt idx="1252">
                  <c:v>44501</c:v>
                </c:pt>
                <c:pt idx="1253">
                  <c:v>44502</c:v>
                </c:pt>
                <c:pt idx="1254">
                  <c:v>44503</c:v>
                </c:pt>
                <c:pt idx="1255">
                  <c:v>44504</c:v>
                </c:pt>
                <c:pt idx="1256">
                  <c:v>44508</c:v>
                </c:pt>
                <c:pt idx="1257">
                  <c:v>44509</c:v>
                </c:pt>
                <c:pt idx="1258">
                  <c:v>44510</c:v>
                </c:pt>
                <c:pt idx="1259">
                  <c:v>44511</c:v>
                </c:pt>
                <c:pt idx="1260">
                  <c:v>44512</c:v>
                </c:pt>
                <c:pt idx="1261">
                  <c:v>44515</c:v>
                </c:pt>
                <c:pt idx="1262">
                  <c:v>44516</c:v>
                </c:pt>
                <c:pt idx="1263">
                  <c:v>44517</c:v>
                </c:pt>
                <c:pt idx="1264">
                  <c:v>44518</c:v>
                </c:pt>
                <c:pt idx="1265">
                  <c:v>44522</c:v>
                </c:pt>
                <c:pt idx="1266">
                  <c:v>44523</c:v>
                </c:pt>
                <c:pt idx="1267">
                  <c:v>44524</c:v>
                </c:pt>
                <c:pt idx="1268">
                  <c:v>44525</c:v>
                </c:pt>
                <c:pt idx="1269">
                  <c:v>44526</c:v>
                </c:pt>
                <c:pt idx="1270">
                  <c:v>44529</c:v>
                </c:pt>
                <c:pt idx="1271">
                  <c:v>44530</c:v>
                </c:pt>
                <c:pt idx="1272">
                  <c:v>44531</c:v>
                </c:pt>
                <c:pt idx="1273">
                  <c:v>44532</c:v>
                </c:pt>
                <c:pt idx="1274">
                  <c:v>44533</c:v>
                </c:pt>
                <c:pt idx="1275">
                  <c:v>44536</c:v>
                </c:pt>
                <c:pt idx="1276">
                  <c:v>44537</c:v>
                </c:pt>
                <c:pt idx="1277">
                  <c:v>44538</c:v>
                </c:pt>
                <c:pt idx="1278">
                  <c:v>44539</c:v>
                </c:pt>
                <c:pt idx="1279">
                  <c:v>44540</c:v>
                </c:pt>
                <c:pt idx="1280">
                  <c:v>44543</c:v>
                </c:pt>
                <c:pt idx="1281">
                  <c:v>44544</c:v>
                </c:pt>
                <c:pt idx="1282">
                  <c:v>44545</c:v>
                </c:pt>
                <c:pt idx="1283">
                  <c:v>44546</c:v>
                </c:pt>
                <c:pt idx="1284">
                  <c:v>44547</c:v>
                </c:pt>
                <c:pt idx="1285">
                  <c:v>44550</c:v>
                </c:pt>
                <c:pt idx="1286">
                  <c:v>44551</c:v>
                </c:pt>
                <c:pt idx="1287">
                  <c:v>44552</c:v>
                </c:pt>
                <c:pt idx="1288">
                  <c:v>44553</c:v>
                </c:pt>
                <c:pt idx="1289">
                  <c:v>44554</c:v>
                </c:pt>
                <c:pt idx="1290">
                  <c:v>44557</c:v>
                </c:pt>
                <c:pt idx="1291">
                  <c:v>44558</c:v>
                </c:pt>
                <c:pt idx="1292">
                  <c:v>44559</c:v>
                </c:pt>
                <c:pt idx="1293">
                  <c:v>44560</c:v>
                </c:pt>
                <c:pt idx="1294">
                  <c:v>44561</c:v>
                </c:pt>
                <c:pt idx="1295">
                  <c:v>44564</c:v>
                </c:pt>
                <c:pt idx="1296">
                  <c:v>44565</c:v>
                </c:pt>
                <c:pt idx="1297">
                  <c:v>44566</c:v>
                </c:pt>
                <c:pt idx="1298">
                  <c:v>44567</c:v>
                </c:pt>
                <c:pt idx="1299">
                  <c:v>44568</c:v>
                </c:pt>
                <c:pt idx="1300">
                  <c:v>44571</c:v>
                </c:pt>
                <c:pt idx="1301">
                  <c:v>44572</c:v>
                </c:pt>
                <c:pt idx="1302">
                  <c:v>44573</c:v>
                </c:pt>
                <c:pt idx="1303">
                  <c:v>44574</c:v>
                </c:pt>
                <c:pt idx="1304">
                  <c:v>44575</c:v>
                </c:pt>
                <c:pt idx="1305">
                  <c:v>44578</c:v>
                </c:pt>
                <c:pt idx="1306">
                  <c:v>44579</c:v>
                </c:pt>
                <c:pt idx="1307">
                  <c:v>44580</c:v>
                </c:pt>
                <c:pt idx="1308">
                  <c:v>44581</c:v>
                </c:pt>
                <c:pt idx="1309">
                  <c:v>44582</c:v>
                </c:pt>
                <c:pt idx="1310">
                  <c:v>44585</c:v>
                </c:pt>
                <c:pt idx="1311">
                  <c:v>44586</c:v>
                </c:pt>
                <c:pt idx="1312">
                  <c:v>44588</c:v>
                </c:pt>
                <c:pt idx="1313">
                  <c:v>44589</c:v>
                </c:pt>
                <c:pt idx="1314">
                  <c:v>44592</c:v>
                </c:pt>
                <c:pt idx="1315">
                  <c:v>44593</c:v>
                </c:pt>
                <c:pt idx="1316">
                  <c:v>44594</c:v>
                </c:pt>
                <c:pt idx="1317">
                  <c:v>44595</c:v>
                </c:pt>
                <c:pt idx="1318">
                  <c:v>44596</c:v>
                </c:pt>
                <c:pt idx="1319">
                  <c:v>44599</c:v>
                </c:pt>
                <c:pt idx="1320">
                  <c:v>44600</c:v>
                </c:pt>
                <c:pt idx="1321">
                  <c:v>44601</c:v>
                </c:pt>
                <c:pt idx="1322">
                  <c:v>44602</c:v>
                </c:pt>
                <c:pt idx="1323">
                  <c:v>44603</c:v>
                </c:pt>
                <c:pt idx="1324">
                  <c:v>44606</c:v>
                </c:pt>
                <c:pt idx="1325">
                  <c:v>44607</c:v>
                </c:pt>
                <c:pt idx="1326">
                  <c:v>44608</c:v>
                </c:pt>
                <c:pt idx="1327">
                  <c:v>44609</c:v>
                </c:pt>
                <c:pt idx="1328">
                  <c:v>44610</c:v>
                </c:pt>
                <c:pt idx="1329">
                  <c:v>44613</c:v>
                </c:pt>
                <c:pt idx="1330">
                  <c:v>44614</c:v>
                </c:pt>
                <c:pt idx="1331">
                  <c:v>44615</c:v>
                </c:pt>
                <c:pt idx="1332">
                  <c:v>44616</c:v>
                </c:pt>
                <c:pt idx="1333">
                  <c:v>44617</c:v>
                </c:pt>
                <c:pt idx="1334">
                  <c:v>44620</c:v>
                </c:pt>
                <c:pt idx="1335">
                  <c:v>44622</c:v>
                </c:pt>
                <c:pt idx="1336">
                  <c:v>44623</c:v>
                </c:pt>
                <c:pt idx="1337">
                  <c:v>44624</c:v>
                </c:pt>
                <c:pt idx="1338">
                  <c:v>44627</c:v>
                </c:pt>
                <c:pt idx="1339">
                  <c:v>44628</c:v>
                </c:pt>
                <c:pt idx="1340">
                  <c:v>44629</c:v>
                </c:pt>
                <c:pt idx="1341">
                  <c:v>44630</c:v>
                </c:pt>
                <c:pt idx="1342">
                  <c:v>44631</c:v>
                </c:pt>
                <c:pt idx="1343">
                  <c:v>44634</c:v>
                </c:pt>
                <c:pt idx="1344">
                  <c:v>44635</c:v>
                </c:pt>
                <c:pt idx="1345">
                  <c:v>44636</c:v>
                </c:pt>
                <c:pt idx="1346">
                  <c:v>44637</c:v>
                </c:pt>
                <c:pt idx="1347">
                  <c:v>44641</c:v>
                </c:pt>
                <c:pt idx="1348">
                  <c:v>44642</c:v>
                </c:pt>
                <c:pt idx="1349">
                  <c:v>44643</c:v>
                </c:pt>
                <c:pt idx="1350">
                  <c:v>44644</c:v>
                </c:pt>
                <c:pt idx="1351">
                  <c:v>44645</c:v>
                </c:pt>
                <c:pt idx="1352">
                  <c:v>44648</c:v>
                </c:pt>
                <c:pt idx="1353">
                  <c:v>44649</c:v>
                </c:pt>
                <c:pt idx="1354">
                  <c:v>44650</c:v>
                </c:pt>
                <c:pt idx="1355">
                  <c:v>44651</c:v>
                </c:pt>
                <c:pt idx="1356">
                  <c:v>44652</c:v>
                </c:pt>
                <c:pt idx="1357">
                  <c:v>44655</c:v>
                </c:pt>
                <c:pt idx="1358">
                  <c:v>44656</c:v>
                </c:pt>
                <c:pt idx="1359">
                  <c:v>44657</c:v>
                </c:pt>
                <c:pt idx="1360">
                  <c:v>44658</c:v>
                </c:pt>
                <c:pt idx="1361">
                  <c:v>44659</c:v>
                </c:pt>
                <c:pt idx="1362">
                  <c:v>44662</c:v>
                </c:pt>
                <c:pt idx="1363">
                  <c:v>44663</c:v>
                </c:pt>
                <c:pt idx="1364">
                  <c:v>44664</c:v>
                </c:pt>
                <c:pt idx="1365">
                  <c:v>44669</c:v>
                </c:pt>
                <c:pt idx="1366">
                  <c:v>44670</c:v>
                </c:pt>
                <c:pt idx="1367">
                  <c:v>44671</c:v>
                </c:pt>
                <c:pt idx="1368">
                  <c:v>44672</c:v>
                </c:pt>
                <c:pt idx="1369">
                  <c:v>44673</c:v>
                </c:pt>
                <c:pt idx="1370">
                  <c:v>44676</c:v>
                </c:pt>
                <c:pt idx="1371">
                  <c:v>44677</c:v>
                </c:pt>
                <c:pt idx="1372">
                  <c:v>44678</c:v>
                </c:pt>
                <c:pt idx="1373">
                  <c:v>44679</c:v>
                </c:pt>
                <c:pt idx="1374">
                  <c:v>44680</c:v>
                </c:pt>
                <c:pt idx="1375">
                  <c:v>44683</c:v>
                </c:pt>
                <c:pt idx="1376">
                  <c:v>44685</c:v>
                </c:pt>
                <c:pt idx="1377">
                  <c:v>44686</c:v>
                </c:pt>
                <c:pt idx="1378">
                  <c:v>44687</c:v>
                </c:pt>
                <c:pt idx="1379">
                  <c:v>44690</c:v>
                </c:pt>
                <c:pt idx="1380">
                  <c:v>44691</c:v>
                </c:pt>
                <c:pt idx="1381">
                  <c:v>44692</c:v>
                </c:pt>
                <c:pt idx="1382">
                  <c:v>44693</c:v>
                </c:pt>
                <c:pt idx="1383">
                  <c:v>44694</c:v>
                </c:pt>
                <c:pt idx="1384">
                  <c:v>44697</c:v>
                </c:pt>
                <c:pt idx="1385">
                  <c:v>44698</c:v>
                </c:pt>
                <c:pt idx="1386">
                  <c:v>44699</c:v>
                </c:pt>
                <c:pt idx="1387">
                  <c:v>44700</c:v>
                </c:pt>
                <c:pt idx="1388">
                  <c:v>44701</c:v>
                </c:pt>
                <c:pt idx="1389">
                  <c:v>44704</c:v>
                </c:pt>
                <c:pt idx="1390">
                  <c:v>44705</c:v>
                </c:pt>
                <c:pt idx="1391">
                  <c:v>44706</c:v>
                </c:pt>
                <c:pt idx="1392">
                  <c:v>44707</c:v>
                </c:pt>
                <c:pt idx="1393">
                  <c:v>44708</c:v>
                </c:pt>
                <c:pt idx="1394">
                  <c:v>44711</c:v>
                </c:pt>
                <c:pt idx="1395">
                  <c:v>44712</c:v>
                </c:pt>
                <c:pt idx="1396">
                  <c:v>44713</c:v>
                </c:pt>
                <c:pt idx="1397">
                  <c:v>44714</c:v>
                </c:pt>
                <c:pt idx="1398">
                  <c:v>44715</c:v>
                </c:pt>
                <c:pt idx="1399">
                  <c:v>44718</c:v>
                </c:pt>
                <c:pt idx="1400">
                  <c:v>44719</c:v>
                </c:pt>
                <c:pt idx="1401">
                  <c:v>44720</c:v>
                </c:pt>
                <c:pt idx="1402">
                  <c:v>44721</c:v>
                </c:pt>
                <c:pt idx="1403">
                  <c:v>44722</c:v>
                </c:pt>
                <c:pt idx="1404">
                  <c:v>44725</c:v>
                </c:pt>
                <c:pt idx="1405">
                  <c:v>44726</c:v>
                </c:pt>
                <c:pt idx="1406">
                  <c:v>44727</c:v>
                </c:pt>
                <c:pt idx="1407">
                  <c:v>44728</c:v>
                </c:pt>
                <c:pt idx="1408">
                  <c:v>44729</c:v>
                </c:pt>
                <c:pt idx="1409">
                  <c:v>44732</c:v>
                </c:pt>
                <c:pt idx="1410">
                  <c:v>44733</c:v>
                </c:pt>
                <c:pt idx="1411">
                  <c:v>44734</c:v>
                </c:pt>
                <c:pt idx="1412">
                  <c:v>44735</c:v>
                </c:pt>
                <c:pt idx="1413">
                  <c:v>44736</c:v>
                </c:pt>
                <c:pt idx="1414">
                  <c:v>44739</c:v>
                </c:pt>
                <c:pt idx="1415">
                  <c:v>44740</c:v>
                </c:pt>
                <c:pt idx="1416">
                  <c:v>44741</c:v>
                </c:pt>
                <c:pt idx="1417">
                  <c:v>44742</c:v>
                </c:pt>
                <c:pt idx="1418">
                  <c:v>44743</c:v>
                </c:pt>
                <c:pt idx="1419">
                  <c:v>44746</c:v>
                </c:pt>
                <c:pt idx="1420">
                  <c:v>44747</c:v>
                </c:pt>
                <c:pt idx="1421">
                  <c:v>44748</c:v>
                </c:pt>
                <c:pt idx="1422">
                  <c:v>44749</c:v>
                </c:pt>
                <c:pt idx="1423">
                  <c:v>44750</c:v>
                </c:pt>
                <c:pt idx="1424">
                  <c:v>44753</c:v>
                </c:pt>
                <c:pt idx="1425">
                  <c:v>44754</c:v>
                </c:pt>
                <c:pt idx="1426">
                  <c:v>44755</c:v>
                </c:pt>
                <c:pt idx="1427">
                  <c:v>44756</c:v>
                </c:pt>
                <c:pt idx="1428">
                  <c:v>44757</c:v>
                </c:pt>
                <c:pt idx="1429">
                  <c:v>44760</c:v>
                </c:pt>
                <c:pt idx="1430">
                  <c:v>44761</c:v>
                </c:pt>
                <c:pt idx="1431">
                  <c:v>44762</c:v>
                </c:pt>
                <c:pt idx="1432">
                  <c:v>44763</c:v>
                </c:pt>
                <c:pt idx="1433">
                  <c:v>44764</c:v>
                </c:pt>
                <c:pt idx="1434">
                  <c:v>44767</c:v>
                </c:pt>
                <c:pt idx="1435">
                  <c:v>44768</c:v>
                </c:pt>
                <c:pt idx="1436">
                  <c:v>44769</c:v>
                </c:pt>
                <c:pt idx="1437">
                  <c:v>44770</c:v>
                </c:pt>
                <c:pt idx="1438">
                  <c:v>44771</c:v>
                </c:pt>
                <c:pt idx="1439">
                  <c:v>44774</c:v>
                </c:pt>
                <c:pt idx="1440">
                  <c:v>44775</c:v>
                </c:pt>
                <c:pt idx="1441">
                  <c:v>44776</c:v>
                </c:pt>
                <c:pt idx="1442">
                  <c:v>44777</c:v>
                </c:pt>
                <c:pt idx="1443">
                  <c:v>44778</c:v>
                </c:pt>
                <c:pt idx="1444">
                  <c:v>44781</c:v>
                </c:pt>
                <c:pt idx="1445">
                  <c:v>44783</c:v>
                </c:pt>
                <c:pt idx="1446">
                  <c:v>44784</c:v>
                </c:pt>
                <c:pt idx="1447">
                  <c:v>44785</c:v>
                </c:pt>
                <c:pt idx="1448">
                  <c:v>44789</c:v>
                </c:pt>
                <c:pt idx="1449">
                  <c:v>44790</c:v>
                </c:pt>
                <c:pt idx="1450">
                  <c:v>44791</c:v>
                </c:pt>
                <c:pt idx="1451">
                  <c:v>44792</c:v>
                </c:pt>
                <c:pt idx="1452">
                  <c:v>44795</c:v>
                </c:pt>
                <c:pt idx="1453">
                  <c:v>44796</c:v>
                </c:pt>
                <c:pt idx="1454">
                  <c:v>44797</c:v>
                </c:pt>
                <c:pt idx="1455">
                  <c:v>44798</c:v>
                </c:pt>
                <c:pt idx="1456">
                  <c:v>44799</c:v>
                </c:pt>
                <c:pt idx="1457">
                  <c:v>44802</c:v>
                </c:pt>
                <c:pt idx="1458">
                  <c:v>44803</c:v>
                </c:pt>
                <c:pt idx="1459">
                  <c:v>44805</c:v>
                </c:pt>
                <c:pt idx="1460">
                  <c:v>44806</c:v>
                </c:pt>
                <c:pt idx="1461">
                  <c:v>44809</c:v>
                </c:pt>
                <c:pt idx="1462">
                  <c:v>44810</c:v>
                </c:pt>
                <c:pt idx="1463">
                  <c:v>44811</c:v>
                </c:pt>
                <c:pt idx="1464">
                  <c:v>44812</c:v>
                </c:pt>
                <c:pt idx="1465">
                  <c:v>44813</c:v>
                </c:pt>
                <c:pt idx="1466">
                  <c:v>44816</c:v>
                </c:pt>
                <c:pt idx="1467">
                  <c:v>44817</c:v>
                </c:pt>
                <c:pt idx="1468">
                  <c:v>44818</c:v>
                </c:pt>
                <c:pt idx="1469">
                  <c:v>44819</c:v>
                </c:pt>
                <c:pt idx="1470">
                  <c:v>44820</c:v>
                </c:pt>
                <c:pt idx="1471">
                  <c:v>44823</c:v>
                </c:pt>
                <c:pt idx="1472">
                  <c:v>44824</c:v>
                </c:pt>
                <c:pt idx="1473">
                  <c:v>44825</c:v>
                </c:pt>
                <c:pt idx="1474">
                  <c:v>44826</c:v>
                </c:pt>
                <c:pt idx="1475">
                  <c:v>44827</c:v>
                </c:pt>
                <c:pt idx="1476">
                  <c:v>44830</c:v>
                </c:pt>
                <c:pt idx="1477">
                  <c:v>44831</c:v>
                </c:pt>
                <c:pt idx="1478">
                  <c:v>44832</c:v>
                </c:pt>
                <c:pt idx="1479">
                  <c:v>44833</c:v>
                </c:pt>
                <c:pt idx="1480">
                  <c:v>44834</c:v>
                </c:pt>
                <c:pt idx="1481">
                  <c:v>44837</c:v>
                </c:pt>
                <c:pt idx="1482">
                  <c:v>44838</c:v>
                </c:pt>
                <c:pt idx="1483">
                  <c:v>44840</c:v>
                </c:pt>
                <c:pt idx="1484">
                  <c:v>44841</c:v>
                </c:pt>
                <c:pt idx="1485">
                  <c:v>44844</c:v>
                </c:pt>
                <c:pt idx="1486">
                  <c:v>44845</c:v>
                </c:pt>
                <c:pt idx="1487">
                  <c:v>44846</c:v>
                </c:pt>
                <c:pt idx="1488">
                  <c:v>44847</c:v>
                </c:pt>
                <c:pt idx="1489">
                  <c:v>44848</c:v>
                </c:pt>
                <c:pt idx="1490">
                  <c:v>44851</c:v>
                </c:pt>
                <c:pt idx="1491">
                  <c:v>44852</c:v>
                </c:pt>
                <c:pt idx="1492">
                  <c:v>44853</c:v>
                </c:pt>
                <c:pt idx="1493">
                  <c:v>44854</c:v>
                </c:pt>
                <c:pt idx="1494">
                  <c:v>44855</c:v>
                </c:pt>
                <c:pt idx="1495">
                  <c:v>44858</c:v>
                </c:pt>
                <c:pt idx="1496">
                  <c:v>44859</c:v>
                </c:pt>
                <c:pt idx="1497">
                  <c:v>44861</c:v>
                </c:pt>
                <c:pt idx="1498">
                  <c:v>44862</c:v>
                </c:pt>
                <c:pt idx="1499">
                  <c:v>44865</c:v>
                </c:pt>
                <c:pt idx="1500">
                  <c:v>44866</c:v>
                </c:pt>
                <c:pt idx="1501">
                  <c:v>44867</c:v>
                </c:pt>
                <c:pt idx="1502">
                  <c:v>44868</c:v>
                </c:pt>
                <c:pt idx="1503">
                  <c:v>44869</c:v>
                </c:pt>
                <c:pt idx="1504">
                  <c:v>44872</c:v>
                </c:pt>
                <c:pt idx="1505">
                  <c:v>44874</c:v>
                </c:pt>
                <c:pt idx="1506">
                  <c:v>44875</c:v>
                </c:pt>
                <c:pt idx="1507">
                  <c:v>44876</c:v>
                </c:pt>
                <c:pt idx="1508">
                  <c:v>44879</c:v>
                </c:pt>
                <c:pt idx="1509">
                  <c:v>44880</c:v>
                </c:pt>
                <c:pt idx="1510">
                  <c:v>44881</c:v>
                </c:pt>
                <c:pt idx="1511">
                  <c:v>44882</c:v>
                </c:pt>
                <c:pt idx="1512">
                  <c:v>44883</c:v>
                </c:pt>
                <c:pt idx="1513">
                  <c:v>44886</c:v>
                </c:pt>
                <c:pt idx="1514">
                  <c:v>44887</c:v>
                </c:pt>
                <c:pt idx="1515">
                  <c:v>44888</c:v>
                </c:pt>
                <c:pt idx="1516">
                  <c:v>44889</c:v>
                </c:pt>
                <c:pt idx="1517">
                  <c:v>44890</c:v>
                </c:pt>
                <c:pt idx="1518">
                  <c:v>44893</c:v>
                </c:pt>
                <c:pt idx="1519">
                  <c:v>44894</c:v>
                </c:pt>
                <c:pt idx="1520">
                  <c:v>44895</c:v>
                </c:pt>
                <c:pt idx="1521">
                  <c:v>44896</c:v>
                </c:pt>
                <c:pt idx="1522">
                  <c:v>44897</c:v>
                </c:pt>
                <c:pt idx="1523">
                  <c:v>44900</c:v>
                </c:pt>
                <c:pt idx="1524">
                  <c:v>44901</c:v>
                </c:pt>
                <c:pt idx="1525">
                  <c:v>44902</c:v>
                </c:pt>
                <c:pt idx="1526">
                  <c:v>44903</c:v>
                </c:pt>
                <c:pt idx="1527">
                  <c:v>44904</c:v>
                </c:pt>
                <c:pt idx="1528">
                  <c:v>44907</c:v>
                </c:pt>
                <c:pt idx="1529">
                  <c:v>44908</c:v>
                </c:pt>
                <c:pt idx="1530">
                  <c:v>44909</c:v>
                </c:pt>
                <c:pt idx="1531">
                  <c:v>44910</c:v>
                </c:pt>
                <c:pt idx="1532">
                  <c:v>44911</c:v>
                </c:pt>
                <c:pt idx="1533">
                  <c:v>44914</c:v>
                </c:pt>
                <c:pt idx="1534">
                  <c:v>44915</c:v>
                </c:pt>
                <c:pt idx="1535">
                  <c:v>44916</c:v>
                </c:pt>
                <c:pt idx="1536">
                  <c:v>44917</c:v>
                </c:pt>
                <c:pt idx="1537">
                  <c:v>44918</c:v>
                </c:pt>
                <c:pt idx="1538">
                  <c:v>44921</c:v>
                </c:pt>
                <c:pt idx="1539">
                  <c:v>44922</c:v>
                </c:pt>
                <c:pt idx="1540">
                  <c:v>44923</c:v>
                </c:pt>
                <c:pt idx="1541">
                  <c:v>44924</c:v>
                </c:pt>
                <c:pt idx="1542">
                  <c:v>44925</c:v>
                </c:pt>
                <c:pt idx="1543">
                  <c:v>44928</c:v>
                </c:pt>
                <c:pt idx="1544">
                  <c:v>44929</c:v>
                </c:pt>
                <c:pt idx="1545">
                  <c:v>44930</c:v>
                </c:pt>
                <c:pt idx="1546">
                  <c:v>44931</c:v>
                </c:pt>
                <c:pt idx="1547">
                  <c:v>44932</c:v>
                </c:pt>
                <c:pt idx="1548">
                  <c:v>44935</c:v>
                </c:pt>
                <c:pt idx="1549">
                  <c:v>44936</c:v>
                </c:pt>
                <c:pt idx="1550">
                  <c:v>44937</c:v>
                </c:pt>
                <c:pt idx="1551">
                  <c:v>44938</c:v>
                </c:pt>
                <c:pt idx="1552">
                  <c:v>44939</c:v>
                </c:pt>
                <c:pt idx="1553">
                  <c:v>44942</c:v>
                </c:pt>
                <c:pt idx="1554">
                  <c:v>44943</c:v>
                </c:pt>
                <c:pt idx="1555">
                  <c:v>44944</c:v>
                </c:pt>
                <c:pt idx="1556">
                  <c:v>44945</c:v>
                </c:pt>
                <c:pt idx="1557">
                  <c:v>44946</c:v>
                </c:pt>
                <c:pt idx="1558">
                  <c:v>44949</c:v>
                </c:pt>
                <c:pt idx="1559">
                  <c:v>44950</c:v>
                </c:pt>
                <c:pt idx="1560">
                  <c:v>44951</c:v>
                </c:pt>
                <c:pt idx="1561">
                  <c:v>44953</c:v>
                </c:pt>
                <c:pt idx="1562">
                  <c:v>44956</c:v>
                </c:pt>
                <c:pt idx="1563">
                  <c:v>44957</c:v>
                </c:pt>
                <c:pt idx="1564">
                  <c:v>44958</c:v>
                </c:pt>
                <c:pt idx="1565">
                  <c:v>44959</c:v>
                </c:pt>
                <c:pt idx="1566">
                  <c:v>44960</c:v>
                </c:pt>
                <c:pt idx="1567">
                  <c:v>44963</c:v>
                </c:pt>
                <c:pt idx="1568">
                  <c:v>44964</c:v>
                </c:pt>
                <c:pt idx="1569">
                  <c:v>44965</c:v>
                </c:pt>
                <c:pt idx="1570">
                  <c:v>44966</c:v>
                </c:pt>
                <c:pt idx="1571">
                  <c:v>44967</c:v>
                </c:pt>
                <c:pt idx="1572">
                  <c:v>44970</c:v>
                </c:pt>
                <c:pt idx="1573">
                  <c:v>44971</c:v>
                </c:pt>
                <c:pt idx="1574">
                  <c:v>44972</c:v>
                </c:pt>
                <c:pt idx="1575">
                  <c:v>44973</c:v>
                </c:pt>
                <c:pt idx="1576">
                  <c:v>44974</c:v>
                </c:pt>
                <c:pt idx="1577">
                  <c:v>44977</c:v>
                </c:pt>
                <c:pt idx="1578">
                  <c:v>44978</c:v>
                </c:pt>
                <c:pt idx="1579">
                  <c:v>44979</c:v>
                </c:pt>
                <c:pt idx="1580">
                  <c:v>44980</c:v>
                </c:pt>
                <c:pt idx="1581">
                  <c:v>44981</c:v>
                </c:pt>
                <c:pt idx="1582">
                  <c:v>44984</c:v>
                </c:pt>
                <c:pt idx="1583">
                  <c:v>44985</c:v>
                </c:pt>
                <c:pt idx="1584">
                  <c:v>44986</c:v>
                </c:pt>
                <c:pt idx="1585">
                  <c:v>44987</c:v>
                </c:pt>
                <c:pt idx="1586">
                  <c:v>44988</c:v>
                </c:pt>
                <c:pt idx="1587">
                  <c:v>44991</c:v>
                </c:pt>
                <c:pt idx="1588">
                  <c:v>44993</c:v>
                </c:pt>
                <c:pt idx="1589">
                  <c:v>44994</c:v>
                </c:pt>
                <c:pt idx="1590">
                  <c:v>44995</c:v>
                </c:pt>
                <c:pt idx="1591">
                  <c:v>44998</c:v>
                </c:pt>
                <c:pt idx="1592">
                  <c:v>44999</c:v>
                </c:pt>
                <c:pt idx="1593">
                  <c:v>45000</c:v>
                </c:pt>
                <c:pt idx="1594">
                  <c:v>45001</c:v>
                </c:pt>
                <c:pt idx="1595">
                  <c:v>45002</c:v>
                </c:pt>
                <c:pt idx="1596">
                  <c:v>45005</c:v>
                </c:pt>
                <c:pt idx="1597">
                  <c:v>45006</c:v>
                </c:pt>
                <c:pt idx="1598">
                  <c:v>45007</c:v>
                </c:pt>
                <c:pt idx="1599">
                  <c:v>45008</c:v>
                </c:pt>
                <c:pt idx="1600">
                  <c:v>45009</c:v>
                </c:pt>
                <c:pt idx="1601">
                  <c:v>45012</c:v>
                </c:pt>
                <c:pt idx="1602">
                  <c:v>45013</c:v>
                </c:pt>
                <c:pt idx="1603">
                  <c:v>45014</c:v>
                </c:pt>
                <c:pt idx="1604">
                  <c:v>45016</c:v>
                </c:pt>
                <c:pt idx="1605">
                  <c:v>45019</c:v>
                </c:pt>
                <c:pt idx="1606">
                  <c:v>45021</c:v>
                </c:pt>
                <c:pt idx="1607">
                  <c:v>45022</c:v>
                </c:pt>
                <c:pt idx="1608">
                  <c:v>45026</c:v>
                </c:pt>
                <c:pt idx="1609">
                  <c:v>45027</c:v>
                </c:pt>
                <c:pt idx="1610">
                  <c:v>45028</c:v>
                </c:pt>
                <c:pt idx="1611">
                  <c:v>45029</c:v>
                </c:pt>
                <c:pt idx="1612">
                  <c:v>45033</c:v>
                </c:pt>
                <c:pt idx="1613">
                  <c:v>45034</c:v>
                </c:pt>
                <c:pt idx="1614">
                  <c:v>45035</c:v>
                </c:pt>
                <c:pt idx="1615">
                  <c:v>45036</c:v>
                </c:pt>
                <c:pt idx="1616">
                  <c:v>45037</c:v>
                </c:pt>
                <c:pt idx="1617">
                  <c:v>45040</c:v>
                </c:pt>
                <c:pt idx="1618">
                  <c:v>45041</c:v>
                </c:pt>
                <c:pt idx="1619">
                  <c:v>45042</c:v>
                </c:pt>
                <c:pt idx="1620">
                  <c:v>45043</c:v>
                </c:pt>
                <c:pt idx="1621">
                  <c:v>45044</c:v>
                </c:pt>
                <c:pt idx="1622">
                  <c:v>45048</c:v>
                </c:pt>
                <c:pt idx="1623">
                  <c:v>45049</c:v>
                </c:pt>
                <c:pt idx="1624">
                  <c:v>45050</c:v>
                </c:pt>
                <c:pt idx="1625">
                  <c:v>45051</c:v>
                </c:pt>
                <c:pt idx="1626">
                  <c:v>45054</c:v>
                </c:pt>
                <c:pt idx="1627">
                  <c:v>45055</c:v>
                </c:pt>
                <c:pt idx="1628">
                  <c:v>45056</c:v>
                </c:pt>
                <c:pt idx="1629">
                  <c:v>45057</c:v>
                </c:pt>
                <c:pt idx="1630">
                  <c:v>45058</c:v>
                </c:pt>
                <c:pt idx="1631">
                  <c:v>45061</c:v>
                </c:pt>
                <c:pt idx="1632">
                  <c:v>45062</c:v>
                </c:pt>
                <c:pt idx="1633">
                  <c:v>45063</c:v>
                </c:pt>
                <c:pt idx="1634">
                  <c:v>45064</c:v>
                </c:pt>
                <c:pt idx="1635">
                  <c:v>45065</c:v>
                </c:pt>
                <c:pt idx="1636">
                  <c:v>45068</c:v>
                </c:pt>
                <c:pt idx="1637">
                  <c:v>45069</c:v>
                </c:pt>
                <c:pt idx="1638">
                  <c:v>45070</c:v>
                </c:pt>
                <c:pt idx="1639">
                  <c:v>45071</c:v>
                </c:pt>
                <c:pt idx="1640">
                  <c:v>45072</c:v>
                </c:pt>
                <c:pt idx="1641">
                  <c:v>45075</c:v>
                </c:pt>
                <c:pt idx="1642">
                  <c:v>45076</c:v>
                </c:pt>
                <c:pt idx="1643">
                  <c:v>45077</c:v>
                </c:pt>
                <c:pt idx="1644">
                  <c:v>45078</c:v>
                </c:pt>
                <c:pt idx="1645">
                  <c:v>45079</c:v>
                </c:pt>
                <c:pt idx="1646">
                  <c:v>45082</c:v>
                </c:pt>
                <c:pt idx="1647">
                  <c:v>45083</c:v>
                </c:pt>
                <c:pt idx="1648">
                  <c:v>45084</c:v>
                </c:pt>
                <c:pt idx="1649">
                  <c:v>45085</c:v>
                </c:pt>
                <c:pt idx="1650">
                  <c:v>45086</c:v>
                </c:pt>
                <c:pt idx="1651">
                  <c:v>45089</c:v>
                </c:pt>
                <c:pt idx="1652">
                  <c:v>45090</c:v>
                </c:pt>
                <c:pt idx="1653">
                  <c:v>45091</c:v>
                </c:pt>
                <c:pt idx="1654">
                  <c:v>45092</c:v>
                </c:pt>
                <c:pt idx="1655">
                  <c:v>45093</c:v>
                </c:pt>
                <c:pt idx="1656">
                  <c:v>45096</c:v>
                </c:pt>
                <c:pt idx="1657">
                  <c:v>45097</c:v>
                </c:pt>
                <c:pt idx="1658">
                  <c:v>45098</c:v>
                </c:pt>
                <c:pt idx="1659">
                  <c:v>45099</c:v>
                </c:pt>
                <c:pt idx="1660">
                  <c:v>45100</c:v>
                </c:pt>
                <c:pt idx="1661">
                  <c:v>45103</c:v>
                </c:pt>
                <c:pt idx="1662">
                  <c:v>45104</c:v>
                </c:pt>
                <c:pt idx="1663">
                  <c:v>45105</c:v>
                </c:pt>
                <c:pt idx="1664">
                  <c:v>45107</c:v>
                </c:pt>
                <c:pt idx="1665">
                  <c:v>45110</c:v>
                </c:pt>
                <c:pt idx="1666">
                  <c:v>45111</c:v>
                </c:pt>
                <c:pt idx="1667">
                  <c:v>45112</c:v>
                </c:pt>
                <c:pt idx="1668">
                  <c:v>45113</c:v>
                </c:pt>
                <c:pt idx="1669">
                  <c:v>45114</c:v>
                </c:pt>
                <c:pt idx="1670">
                  <c:v>45117</c:v>
                </c:pt>
                <c:pt idx="1671">
                  <c:v>45118</c:v>
                </c:pt>
                <c:pt idx="1672">
                  <c:v>45119</c:v>
                </c:pt>
                <c:pt idx="1673">
                  <c:v>45120</c:v>
                </c:pt>
                <c:pt idx="1674">
                  <c:v>45121</c:v>
                </c:pt>
                <c:pt idx="1675">
                  <c:v>45124</c:v>
                </c:pt>
                <c:pt idx="1676">
                  <c:v>45125</c:v>
                </c:pt>
                <c:pt idx="1677">
                  <c:v>45126</c:v>
                </c:pt>
                <c:pt idx="1678">
                  <c:v>45127</c:v>
                </c:pt>
                <c:pt idx="1679">
                  <c:v>45128</c:v>
                </c:pt>
                <c:pt idx="1680">
                  <c:v>45131</c:v>
                </c:pt>
                <c:pt idx="1681">
                  <c:v>45132</c:v>
                </c:pt>
                <c:pt idx="1682">
                  <c:v>45133</c:v>
                </c:pt>
                <c:pt idx="1683">
                  <c:v>45134</c:v>
                </c:pt>
                <c:pt idx="1684">
                  <c:v>45135</c:v>
                </c:pt>
                <c:pt idx="1685">
                  <c:v>45138</c:v>
                </c:pt>
                <c:pt idx="1686">
                  <c:v>45139</c:v>
                </c:pt>
                <c:pt idx="1687">
                  <c:v>45140</c:v>
                </c:pt>
                <c:pt idx="1688">
                  <c:v>45141</c:v>
                </c:pt>
                <c:pt idx="1689">
                  <c:v>45142</c:v>
                </c:pt>
                <c:pt idx="1690">
                  <c:v>45145</c:v>
                </c:pt>
                <c:pt idx="1691">
                  <c:v>45146</c:v>
                </c:pt>
                <c:pt idx="1692">
                  <c:v>45147</c:v>
                </c:pt>
                <c:pt idx="1693">
                  <c:v>45148</c:v>
                </c:pt>
                <c:pt idx="1694">
                  <c:v>45149</c:v>
                </c:pt>
                <c:pt idx="1695">
                  <c:v>45152</c:v>
                </c:pt>
                <c:pt idx="1696">
                  <c:v>45154</c:v>
                </c:pt>
                <c:pt idx="1697">
                  <c:v>45155</c:v>
                </c:pt>
                <c:pt idx="1698">
                  <c:v>45156</c:v>
                </c:pt>
                <c:pt idx="1699">
                  <c:v>45159</c:v>
                </c:pt>
                <c:pt idx="1700">
                  <c:v>45160</c:v>
                </c:pt>
                <c:pt idx="1701">
                  <c:v>45161</c:v>
                </c:pt>
                <c:pt idx="1702">
                  <c:v>45162</c:v>
                </c:pt>
                <c:pt idx="1703">
                  <c:v>45163</c:v>
                </c:pt>
                <c:pt idx="1704">
                  <c:v>45166</c:v>
                </c:pt>
                <c:pt idx="1705">
                  <c:v>45167</c:v>
                </c:pt>
                <c:pt idx="1706">
                  <c:v>45168</c:v>
                </c:pt>
                <c:pt idx="1707">
                  <c:v>45169</c:v>
                </c:pt>
                <c:pt idx="1708">
                  <c:v>45170</c:v>
                </c:pt>
                <c:pt idx="1709">
                  <c:v>45173</c:v>
                </c:pt>
                <c:pt idx="1710">
                  <c:v>45174</c:v>
                </c:pt>
                <c:pt idx="1711">
                  <c:v>45175</c:v>
                </c:pt>
                <c:pt idx="1712">
                  <c:v>45176</c:v>
                </c:pt>
                <c:pt idx="1713">
                  <c:v>45177</c:v>
                </c:pt>
                <c:pt idx="1714">
                  <c:v>45180</c:v>
                </c:pt>
                <c:pt idx="1715">
                  <c:v>45181</c:v>
                </c:pt>
                <c:pt idx="1716">
                  <c:v>45182</c:v>
                </c:pt>
                <c:pt idx="1717">
                  <c:v>45183</c:v>
                </c:pt>
                <c:pt idx="1718">
                  <c:v>45184</c:v>
                </c:pt>
                <c:pt idx="1719">
                  <c:v>45187</c:v>
                </c:pt>
                <c:pt idx="1720">
                  <c:v>45189</c:v>
                </c:pt>
                <c:pt idx="1721">
                  <c:v>45190</c:v>
                </c:pt>
                <c:pt idx="1722">
                  <c:v>45191</c:v>
                </c:pt>
                <c:pt idx="1723">
                  <c:v>45194</c:v>
                </c:pt>
                <c:pt idx="1724">
                  <c:v>45195</c:v>
                </c:pt>
                <c:pt idx="1725">
                  <c:v>45196</c:v>
                </c:pt>
                <c:pt idx="1726">
                  <c:v>45197</c:v>
                </c:pt>
                <c:pt idx="1727">
                  <c:v>45198</c:v>
                </c:pt>
                <c:pt idx="1728">
                  <c:v>45202</c:v>
                </c:pt>
                <c:pt idx="1729">
                  <c:v>45203</c:v>
                </c:pt>
                <c:pt idx="1730">
                  <c:v>45204</c:v>
                </c:pt>
                <c:pt idx="1731">
                  <c:v>45205</c:v>
                </c:pt>
                <c:pt idx="1732">
                  <c:v>45208</c:v>
                </c:pt>
                <c:pt idx="1733">
                  <c:v>45209</c:v>
                </c:pt>
                <c:pt idx="1734">
                  <c:v>45210</c:v>
                </c:pt>
                <c:pt idx="1735">
                  <c:v>45211</c:v>
                </c:pt>
                <c:pt idx="1736">
                  <c:v>45212</c:v>
                </c:pt>
                <c:pt idx="1737">
                  <c:v>45215</c:v>
                </c:pt>
                <c:pt idx="1738">
                  <c:v>45216</c:v>
                </c:pt>
                <c:pt idx="1739">
                  <c:v>45217</c:v>
                </c:pt>
                <c:pt idx="1740">
                  <c:v>45218</c:v>
                </c:pt>
                <c:pt idx="1741">
                  <c:v>45219</c:v>
                </c:pt>
                <c:pt idx="1742">
                  <c:v>45222</c:v>
                </c:pt>
                <c:pt idx="1743">
                  <c:v>45224</c:v>
                </c:pt>
                <c:pt idx="1744">
                  <c:v>45225</c:v>
                </c:pt>
                <c:pt idx="1745">
                  <c:v>45226</c:v>
                </c:pt>
                <c:pt idx="1746">
                  <c:v>45229</c:v>
                </c:pt>
                <c:pt idx="1747">
                  <c:v>45230</c:v>
                </c:pt>
                <c:pt idx="1748">
                  <c:v>45231</c:v>
                </c:pt>
                <c:pt idx="1749">
                  <c:v>45232</c:v>
                </c:pt>
                <c:pt idx="1750">
                  <c:v>45233</c:v>
                </c:pt>
                <c:pt idx="1751">
                  <c:v>45236</c:v>
                </c:pt>
                <c:pt idx="1752">
                  <c:v>45237</c:v>
                </c:pt>
                <c:pt idx="1753">
                  <c:v>45238</c:v>
                </c:pt>
                <c:pt idx="1754">
                  <c:v>45239</c:v>
                </c:pt>
                <c:pt idx="1755">
                  <c:v>45240</c:v>
                </c:pt>
                <c:pt idx="1756">
                  <c:v>45243</c:v>
                </c:pt>
                <c:pt idx="1757">
                  <c:v>45245</c:v>
                </c:pt>
                <c:pt idx="1758">
                  <c:v>45246</c:v>
                </c:pt>
                <c:pt idx="1759">
                  <c:v>45247</c:v>
                </c:pt>
                <c:pt idx="1760">
                  <c:v>45250</c:v>
                </c:pt>
                <c:pt idx="1761">
                  <c:v>45251</c:v>
                </c:pt>
                <c:pt idx="1762">
                  <c:v>45252</c:v>
                </c:pt>
                <c:pt idx="1763">
                  <c:v>45253</c:v>
                </c:pt>
                <c:pt idx="1764">
                  <c:v>45254</c:v>
                </c:pt>
                <c:pt idx="1765">
                  <c:v>45258</c:v>
                </c:pt>
                <c:pt idx="1766">
                  <c:v>45259</c:v>
                </c:pt>
                <c:pt idx="1767">
                  <c:v>45260</c:v>
                </c:pt>
                <c:pt idx="1768">
                  <c:v>45261</c:v>
                </c:pt>
                <c:pt idx="1769">
                  <c:v>45264</c:v>
                </c:pt>
                <c:pt idx="1770">
                  <c:v>45265</c:v>
                </c:pt>
                <c:pt idx="1771">
                  <c:v>45266</c:v>
                </c:pt>
                <c:pt idx="1772">
                  <c:v>45267</c:v>
                </c:pt>
                <c:pt idx="1773">
                  <c:v>45268</c:v>
                </c:pt>
                <c:pt idx="1774">
                  <c:v>45271</c:v>
                </c:pt>
                <c:pt idx="1775">
                  <c:v>45272</c:v>
                </c:pt>
                <c:pt idx="1776">
                  <c:v>45273</c:v>
                </c:pt>
                <c:pt idx="1777">
                  <c:v>45274</c:v>
                </c:pt>
                <c:pt idx="1778">
                  <c:v>45275</c:v>
                </c:pt>
                <c:pt idx="1779">
                  <c:v>45278</c:v>
                </c:pt>
                <c:pt idx="1780">
                  <c:v>45279</c:v>
                </c:pt>
                <c:pt idx="1781">
                  <c:v>45280</c:v>
                </c:pt>
                <c:pt idx="1782">
                  <c:v>45281</c:v>
                </c:pt>
                <c:pt idx="1783">
                  <c:v>45282</c:v>
                </c:pt>
                <c:pt idx="1784">
                  <c:v>45286</c:v>
                </c:pt>
                <c:pt idx="1785">
                  <c:v>45287</c:v>
                </c:pt>
                <c:pt idx="1786">
                  <c:v>45288</c:v>
                </c:pt>
                <c:pt idx="1787">
                  <c:v>45289</c:v>
                </c:pt>
                <c:pt idx="1788">
                  <c:v>45292</c:v>
                </c:pt>
                <c:pt idx="1789">
                  <c:v>45293</c:v>
                </c:pt>
                <c:pt idx="1790">
                  <c:v>45294</c:v>
                </c:pt>
                <c:pt idx="1791">
                  <c:v>45295</c:v>
                </c:pt>
                <c:pt idx="1792">
                  <c:v>45296</c:v>
                </c:pt>
                <c:pt idx="1793">
                  <c:v>45299</c:v>
                </c:pt>
                <c:pt idx="1794">
                  <c:v>45300</c:v>
                </c:pt>
                <c:pt idx="1795">
                  <c:v>45301</c:v>
                </c:pt>
                <c:pt idx="1796">
                  <c:v>45302</c:v>
                </c:pt>
                <c:pt idx="1797">
                  <c:v>45303</c:v>
                </c:pt>
                <c:pt idx="1798">
                  <c:v>45306</c:v>
                </c:pt>
                <c:pt idx="1799">
                  <c:v>45307</c:v>
                </c:pt>
                <c:pt idx="1800">
                  <c:v>45308</c:v>
                </c:pt>
                <c:pt idx="1801">
                  <c:v>45309</c:v>
                </c:pt>
                <c:pt idx="1802">
                  <c:v>45310</c:v>
                </c:pt>
                <c:pt idx="1803">
                  <c:v>45314</c:v>
                </c:pt>
                <c:pt idx="1804">
                  <c:v>45315</c:v>
                </c:pt>
                <c:pt idx="1805">
                  <c:v>45316</c:v>
                </c:pt>
                <c:pt idx="1806">
                  <c:v>45320</c:v>
                </c:pt>
                <c:pt idx="1807">
                  <c:v>45321</c:v>
                </c:pt>
                <c:pt idx="1808">
                  <c:v>45322</c:v>
                </c:pt>
                <c:pt idx="1809">
                  <c:v>45323</c:v>
                </c:pt>
                <c:pt idx="1810">
                  <c:v>45324</c:v>
                </c:pt>
                <c:pt idx="1811">
                  <c:v>45327</c:v>
                </c:pt>
                <c:pt idx="1812">
                  <c:v>45328</c:v>
                </c:pt>
                <c:pt idx="1813">
                  <c:v>45329</c:v>
                </c:pt>
                <c:pt idx="1814">
                  <c:v>45330</c:v>
                </c:pt>
                <c:pt idx="1815">
                  <c:v>45331</c:v>
                </c:pt>
                <c:pt idx="1816">
                  <c:v>45334</c:v>
                </c:pt>
                <c:pt idx="1817">
                  <c:v>45335</c:v>
                </c:pt>
                <c:pt idx="1818">
                  <c:v>45336</c:v>
                </c:pt>
                <c:pt idx="1819">
                  <c:v>45337</c:v>
                </c:pt>
                <c:pt idx="1820">
                  <c:v>45338</c:v>
                </c:pt>
                <c:pt idx="1821">
                  <c:v>45341</c:v>
                </c:pt>
                <c:pt idx="1822">
                  <c:v>45342</c:v>
                </c:pt>
                <c:pt idx="1823">
                  <c:v>45343</c:v>
                </c:pt>
                <c:pt idx="1824">
                  <c:v>45344</c:v>
                </c:pt>
                <c:pt idx="1825">
                  <c:v>45345</c:v>
                </c:pt>
                <c:pt idx="1826">
                  <c:v>45348</c:v>
                </c:pt>
                <c:pt idx="1827">
                  <c:v>45349</c:v>
                </c:pt>
                <c:pt idx="1828">
                  <c:v>45350</c:v>
                </c:pt>
                <c:pt idx="1829">
                  <c:v>45351</c:v>
                </c:pt>
                <c:pt idx="1830">
                  <c:v>45352</c:v>
                </c:pt>
                <c:pt idx="1831">
                  <c:v>45355</c:v>
                </c:pt>
                <c:pt idx="1832">
                  <c:v>45356</c:v>
                </c:pt>
                <c:pt idx="1833">
                  <c:v>45357</c:v>
                </c:pt>
                <c:pt idx="1834">
                  <c:v>45358</c:v>
                </c:pt>
                <c:pt idx="1835">
                  <c:v>45362</c:v>
                </c:pt>
                <c:pt idx="1836">
                  <c:v>45363</c:v>
                </c:pt>
                <c:pt idx="1837">
                  <c:v>45364</c:v>
                </c:pt>
                <c:pt idx="1838">
                  <c:v>45365</c:v>
                </c:pt>
                <c:pt idx="1839">
                  <c:v>45366</c:v>
                </c:pt>
                <c:pt idx="1840">
                  <c:v>45369</c:v>
                </c:pt>
                <c:pt idx="1841">
                  <c:v>45370</c:v>
                </c:pt>
                <c:pt idx="1842">
                  <c:v>45371</c:v>
                </c:pt>
                <c:pt idx="1843">
                  <c:v>45372</c:v>
                </c:pt>
                <c:pt idx="1844">
                  <c:v>45373</c:v>
                </c:pt>
                <c:pt idx="1845">
                  <c:v>45377</c:v>
                </c:pt>
                <c:pt idx="1846">
                  <c:v>45378</c:v>
                </c:pt>
                <c:pt idx="1847">
                  <c:v>45379</c:v>
                </c:pt>
                <c:pt idx="1848">
                  <c:v>45383</c:v>
                </c:pt>
                <c:pt idx="1849">
                  <c:v>45384</c:v>
                </c:pt>
                <c:pt idx="1850">
                  <c:v>45385</c:v>
                </c:pt>
                <c:pt idx="1851">
                  <c:v>45386</c:v>
                </c:pt>
                <c:pt idx="1852">
                  <c:v>45387</c:v>
                </c:pt>
                <c:pt idx="1853">
                  <c:v>45390</c:v>
                </c:pt>
                <c:pt idx="1854">
                  <c:v>45391</c:v>
                </c:pt>
                <c:pt idx="1855">
                  <c:v>45392</c:v>
                </c:pt>
                <c:pt idx="1856">
                  <c:v>45394</c:v>
                </c:pt>
                <c:pt idx="1857">
                  <c:v>45397</c:v>
                </c:pt>
                <c:pt idx="1858">
                  <c:v>45398</c:v>
                </c:pt>
                <c:pt idx="1859">
                  <c:v>45400</c:v>
                </c:pt>
                <c:pt idx="1860">
                  <c:v>45401</c:v>
                </c:pt>
                <c:pt idx="1861">
                  <c:v>45404</c:v>
                </c:pt>
                <c:pt idx="1862">
                  <c:v>45405</c:v>
                </c:pt>
                <c:pt idx="1863">
                  <c:v>45406</c:v>
                </c:pt>
                <c:pt idx="1864">
                  <c:v>45407</c:v>
                </c:pt>
                <c:pt idx="1865">
                  <c:v>45408</c:v>
                </c:pt>
                <c:pt idx="1866">
                  <c:v>45411</c:v>
                </c:pt>
                <c:pt idx="1867">
                  <c:v>45412</c:v>
                </c:pt>
                <c:pt idx="1868">
                  <c:v>45414</c:v>
                </c:pt>
                <c:pt idx="1869">
                  <c:v>45415</c:v>
                </c:pt>
                <c:pt idx="1870">
                  <c:v>45418</c:v>
                </c:pt>
                <c:pt idx="1871">
                  <c:v>45419</c:v>
                </c:pt>
                <c:pt idx="1872">
                  <c:v>45420</c:v>
                </c:pt>
                <c:pt idx="1873">
                  <c:v>45421</c:v>
                </c:pt>
                <c:pt idx="1874">
                  <c:v>45422</c:v>
                </c:pt>
                <c:pt idx="1875">
                  <c:v>45425</c:v>
                </c:pt>
                <c:pt idx="1876">
                  <c:v>45426</c:v>
                </c:pt>
                <c:pt idx="1877">
                  <c:v>45427</c:v>
                </c:pt>
                <c:pt idx="1878">
                  <c:v>45428</c:v>
                </c:pt>
                <c:pt idx="1879">
                  <c:v>45429</c:v>
                </c:pt>
                <c:pt idx="1880">
                  <c:v>45433</c:v>
                </c:pt>
                <c:pt idx="1881">
                  <c:v>45434</c:v>
                </c:pt>
                <c:pt idx="1882">
                  <c:v>45435</c:v>
                </c:pt>
                <c:pt idx="1883">
                  <c:v>45436</c:v>
                </c:pt>
                <c:pt idx="1884">
                  <c:v>45439</c:v>
                </c:pt>
                <c:pt idx="1885">
                  <c:v>45440</c:v>
                </c:pt>
                <c:pt idx="1886">
                  <c:v>45441</c:v>
                </c:pt>
                <c:pt idx="1887">
                  <c:v>45442</c:v>
                </c:pt>
                <c:pt idx="1888">
                  <c:v>45443</c:v>
                </c:pt>
                <c:pt idx="1889">
                  <c:v>45446</c:v>
                </c:pt>
                <c:pt idx="1890">
                  <c:v>45447</c:v>
                </c:pt>
                <c:pt idx="1891">
                  <c:v>45448</c:v>
                </c:pt>
                <c:pt idx="1892">
                  <c:v>45449</c:v>
                </c:pt>
                <c:pt idx="1893">
                  <c:v>45450</c:v>
                </c:pt>
                <c:pt idx="1894">
                  <c:v>45453</c:v>
                </c:pt>
                <c:pt idx="1895">
                  <c:v>45454</c:v>
                </c:pt>
                <c:pt idx="1896">
                  <c:v>45455</c:v>
                </c:pt>
                <c:pt idx="1897">
                  <c:v>45456</c:v>
                </c:pt>
                <c:pt idx="1898">
                  <c:v>45457</c:v>
                </c:pt>
                <c:pt idx="1899">
                  <c:v>45461</c:v>
                </c:pt>
                <c:pt idx="1900">
                  <c:v>45462</c:v>
                </c:pt>
                <c:pt idx="1901">
                  <c:v>45463</c:v>
                </c:pt>
                <c:pt idx="1902">
                  <c:v>45464</c:v>
                </c:pt>
                <c:pt idx="1903">
                  <c:v>45467</c:v>
                </c:pt>
                <c:pt idx="1904">
                  <c:v>45468</c:v>
                </c:pt>
                <c:pt idx="1905">
                  <c:v>45469</c:v>
                </c:pt>
                <c:pt idx="1906">
                  <c:v>45470</c:v>
                </c:pt>
                <c:pt idx="1907">
                  <c:v>45471</c:v>
                </c:pt>
                <c:pt idx="1908">
                  <c:v>45474</c:v>
                </c:pt>
                <c:pt idx="1909">
                  <c:v>45475</c:v>
                </c:pt>
                <c:pt idx="1910">
                  <c:v>45476</c:v>
                </c:pt>
                <c:pt idx="1911">
                  <c:v>45477</c:v>
                </c:pt>
                <c:pt idx="1912">
                  <c:v>45478</c:v>
                </c:pt>
                <c:pt idx="1913">
                  <c:v>45481</c:v>
                </c:pt>
                <c:pt idx="1914">
                  <c:v>45482</c:v>
                </c:pt>
                <c:pt idx="1915">
                  <c:v>45483</c:v>
                </c:pt>
                <c:pt idx="1916">
                  <c:v>45484</c:v>
                </c:pt>
                <c:pt idx="1917">
                  <c:v>45485</c:v>
                </c:pt>
                <c:pt idx="1918">
                  <c:v>45488</c:v>
                </c:pt>
                <c:pt idx="1919">
                  <c:v>45489</c:v>
                </c:pt>
                <c:pt idx="1920">
                  <c:v>45491</c:v>
                </c:pt>
                <c:pt idx="1921">
                  <c:v>45492</c:v>
                </c:pt>
                <c:pt idx="1922">
                  <c:v>45495</c:v>
                </c:pt>
                <c:pt idx="1923">
                  <c:v>45496</c:v>
                </c:pt>
                <c:pt idx="1924">
                  <c:v>45497</c:v>
                </c:pt>
                <c:pt idx="1925">
                  <c:v>45498</c:v>
                </c:pt>
                <c:pt idx="1926">
                  <c:v>45499</c:v>
                </c:pt>
                <c:pt idx="1927">
                  <c:v>45502</c:v>
                </c:pt>
                <c:pt idx="1928">
                  <c:v>45503</c:v>
                </c:pt>
                <c:pt idx="1929">
                  <c:v>45504</c:v>
                </c:pt>
                <c:pt idx="1930">
                  <c:v>45505</c:v>
                </c:pt>
                <c:pt idx="1931">
                  <c:v>45506</c:v>
                </c:pt>
                <c:pt idx="1932">
                  <c:v>45509</c:v>
                </c:pt>
                <c:pt idx="1933">
                  <c:v>45510</c:v>
                </c:pt>
                <c:pt idx="1934">
                  <c:v>45511</c:v>
                </c:pt>
                <c:pt idx="1935">
                  <c:v>45512</c:v>
                </c:pt>
                <c:pt idx="1936">
                  <c:v>45513</c:v>
                </c:pt>
                <c:pt idx="1937">
                  <c:v>45516</c:v>
                </c:pt>
                <c:pt idx="1938">
                  <c:v>45517</c:v>
                </c:pt>
                <c:pt idx="1939">
                  <c:v>45518</c:v>
                </c:pt>
                <c:pt idx="1940">
                  <c:v>45520</c:v>
                </c:pt>
                <c:pt idx="1941">
                  <c:v>45523</c:v>
                </c:pt>
                <c:pt idx="1942">
                  <c:v>45524</c:v>
                </c:pt>
                <c:pt idx="1943">
                  <c:v>45525</c:v>
                </c:pt>
                <c:pt idx="1944">
                  <c:v>45526</c:v>
                </c:pt>
                <c:pt idx="1945">
                  <c:v>45527</c:v>
                </c:pt>
                <c:pt idx="1946">
                  <c:v>45530</c:v>
                </c:pt>
                <c:pt idx="1947">
                  <c:v>45531</c:v>
                </c:pt>
                <c:pt idx="1948">
                  <c:v>45532</c:v>
                </c:pt>
                <c:pt idx="1949">
                  <c:v>45533</c:v>
                </c:pt>
                <c:pt idx="1950">
                  <c:v>45534</c:v>
                </c:pt>
                <c:pt idx="1951">
                  <c:v>45537</c:v>
                </c:pt>
                <c:pt idx="1952">
                  <c:v>45538</c:v>
                </c:pt>
                <c:pt idx="1953">
                  <c:v>45539</c:v>
                </c:pt>
                <c:pt idx="1954">
                  <c:v>45540</c:v>
                </c:pt>
                <c:pt idx="1955">
                  <c:v>45541</c:v>
                </c:pt>
                <c:pt idx="1956">
                  <c:v>45544</c:v>
                </c:pt>
                <c:pt idx="1957">
                  <c:v>45545</c:v>
                </c:pt>
                <c:pt idx="1958">
                  <c:v>45546</c:v>
                </c:pt>
                <c:pt idx="1959">
                  <c:v>45547</c:v>
                </c:pt>
                <c:pt idx="1960">
                  <c:v>45548</c:v>
                </c:pt>
                <c:pt idx="1961">
                  <c:v>45551</c:v>
                </c:pt>
                <c:pt idx="1962">
                  <c:v>45552</c:v>
                </c:pt>
                <c:pt idx="1963">
                  <c:v>45553</c:v>
                </c:pt>
                <c:pt idx="1964">
                  <c:v>45554</c:v>
                </c:pt>
                <c:pt idx="1965">
                  <c:v>45555</c:v>
                </c:pt>
                <c:pt idx="1966">
                  <c:v>45558</c:v>
                </c:pt>
                <c:pt idx="1967">
                  <c:v>45559</c:v>
                </c:pt>
                <c:pt idx="1968">
                  <c:v>45560</c:v>
                </c:pt>
                <c:pt idx="1969">
                  <c:v>45561</c:v>
                </c:pt>
                <c:pt idx="1970">
                  <c:v>45562</c:v>
                </c:pt>
                <c:pt idx="1971">
                  <c:v>45565</c:v>
                </c:pt>
                <c:pt idx="1972">
                  <c:v>45566</c:v>
                </c:pt>
                <c:pt idx="1973">
                  <c:v>45568</c:v>
                </c:pt>
                <c:pt idx="1974">
                  <c:v>45569</c:v>
                </c:pt>
                <c:pt idx="1975">
                  <c:v>45572</c:v>
                </c:pt>
                <c:pt idx="1976">
                  <c:v>45573</c:v>
                </c:pt>
                <c:pt idx="1977">
                  <c:v>45574</c:v>
                </c:pt>
                <c:pt idx="1978">
                  <c:v>45575</c:v>
                </c:pt>
                <c:pt idx="1979">
                  <c:v>45576</c:v>
                </c:pt>
                <c:pt idx="1980">
                  <c:v>45579</c:v>
                </c:pt>
                <c:pt idx="1981">
                  <c:v>45580</c:v>
                </c:pt>
                <c:pt idx="1982">
                  <c:v>45581</c:v>
                </c:pt>
                <c:pt idx="1983">
                  <c:v>45582</c:v>
                </c:pt>
                <c:pt idx="1984">
                  <c:v>45583</c:v>
                </c:pt>
                <c:pt idx="1985">
                  <c:v>45586</c:v>
                </c:pt>
                <c:pt idx="1986">
                  <c:v>45587</c:v>
                </c:pt>
                <c:pt idx="1987">
                  <c:v>45588</c:v>
                </c:pt>
                <c:pt idx="1988">
                  <c:v>45589</c:v>
                </c:pt>
                <c:pt idx="1989">
                  <c:v>45590</c:v>
                </c:pt>
                <c:pt idx="1990">
                  <c:v>45593</c:v>
                </c:pt>
                <c:pt idx="1991">
                  <c:v>45594</c:v>
                </c:pt>
                <c:pt idx="1992">
                  <c:v>45595</c:v>
                </c:pt>
                <c:pt idx="1993">
                  <c:v>45596</c:v>
                </c:pt>
                <c:pt idx="1994">
                  <c:v>45597</c:v>
                </c:pt>
                <c:pt idx="1995">
                  <c:v>45600</c:v>
                </c:pt>
                <c:pt idx="1996">
                  <c:v>45601</c:v>
                </c:pt>
                <c:pt idx="1997">
                  <c:v>45602</c:v>
                </c:pt>
                <c:pt idx="1998">
                  <c:v>45603</c:v>
                </c:pt>
                <c:pt idx="1999">
                  <c:v>45604</c:v>
                </c:pt>
                <c:pt idx="2000">
                  <c:v>45607</c:v>
                </c:pt>
                <c:pt idx="2001">
                  <c:v>45608</c:v>
                </c:pt>
                <c:pt idx="2002">
                  <c:v>45609</c:v>
                </c:pt>
                <c:pt idx="2003">
                  <c:v>45610</c:v>
                </c:pt>
                <c:pt idx="2004">
                  <c:v>45614</c:v>
                </c:pt>
                <c:pt idx="2005">
                  <c:v>45615</c:v>
                </c:pt>
                <c:pt idx="2006">
                  <c:v>45617</c:v>
                </c:pt>
                <c:pt idx="2007">
                  <c:v>45618</c:v>
                </c:pt>
                <c:pt idx="2008">
                  <c:v>45621</c:v>
                </c:pt>
                <c:pt idx="2009">
                  <c:v>45622</c:v>
                </c:pt>
                <c:pt idx="2010">
                  <c:v>45623</c:v>
                </c:pt>
                <c:pt idx="2011">
                  <c:v>45624</c:v>
                </c:pt>
                <c:pt idx="2012">
                  <c:v>45625</c:v>
                </c:pt>
                <c:pt idx="2013">
                  <c:v>45628</c:v>
                </c:pt>
                <c:pt idx="2014">
                  <c:v>45629</c:v>
                </c:pt>
                <c:pt idx="2015">
                  <c:v>45630</c:v>
                </c:pt>
                <c:pt idx="2016">
                  <c:v>45631</c:v>
                </c:pt>
                <c:pt idx="2017">
                  <c:v>45632</c:v>
                </c:pt>
                <c:pt idx="2018">
                  <c:v>45635</c:v>
                </c:pt>
                <c:pt idx="2019">
                  <c:v>45636</c:v>
                </c:pt>
                <c:pt idx="2020">
                  <c:v>45637</c:v>
                </c:pt>
                <c:pt idx="2021">
                  <c:v>45638</c:v>
                </c:pt>
                <c:pt idx="2022">
                  <c:v>45639</c:v>
                </c:pt>
                <c:pt idx="2023">
                  <c:v>45642</c:v>
                </c:pt>
                <c:pt idx="2024">
                  <c:v>45643</c:v>
                </c:pt>
                <c:pt idx="2025">
                  <c:v>45644</c:v>
                </c:pt>
                <c:pt idx="2026">
                  <c:v>45645</c:v>
                </c:pt>
                <c:pt idx="2027">
                  <c:v>45646</c:v>
                </c:pt>
                <c:pt idx="2028">
                  <c:v>45649</c:v>
                </c:pt>
                <c:pt idx="2029">
                  <c:v>45650</c:v>
                </c:pt>
                <c:pt idx="2030">
                  <c:v>45652</c:v>
                </c:pt>
                <c:pt idx="2031">
                  <c:v>45653</c:v>
                </c:pt>
                <c:pt idx="2032">
                  <c:v>45656</c:v>
                </c:pt>
                <c:pt idx="2033">
                  <c:v>45657</c:v>
                </c:pt>
                <c:pt idx="2034">
                  <c:v>45658</c:v>
                </c:pt>
                <c:pt idx="2035">
                  <c:v>45659</c:v>
                </c:pt>
                <c:pt idx="2036">
                  <c:v>45660</c:v>
                </c:pt>
                <c:pt idx="2037">
                  <c:v>45663</c:v>
                </c:pt>
                <c:pt idx="2038">
                  <c:v>45664</c:v>
                </c:pt>
                <c:pt idx="2039">
                  <c:v>45665</c:v>
                </c:pt>
                <c:pt idx="2040">
                  <c:v>45666</c:v>
                </c:pt>
                <c:pt idx="2041">
                  <c:v>45667</c:v>
                </c:pt>
                <c:pt idx="2042">
                  <c:v>45670</c:v>
                </c:pt>
                <c:pt idx="2043">
                  <c:v>45671</c:v>
                </c:pt>
                <c:pt idx="2044">
                  <c:v>45672</c:v>
                </c:pt>
                <c:pt idx="2045">
                  <c:v>45673</c:v>
                </c:pt>
                <c:pt idx="2046">
                  <c:v>45674</c:v>
                </c:pt>
                <c:pt idx="2047">
                  <c:v>45677</c:v>
                </c:pt>
                <c:pt idx="2048">
                  <c:v>45678</c:v>
                </c:pt>
                <c:pt idx="2049">
                  <c:v>45679</c:v>
                </c:pt>
                <c:pt idx="2050">
                  <c:v>45680</c:v>
                </c:pt>
                <c:pt idx="2051">
                  <c:v>45681</c:v>
                </c:pt>
                <c:pt idx="2052">
                  <c:v>45684</c:v>
                </c:pt>
                <c:pt idx="2053">
                  <c:v>45685</c:v>
                </c:pt>
                <c:pt idx="2054">
                  <c:v>45686</c:v>
                </c:pt>
                <c:pt idx="2055">
                  <c:v>45687</c:v>
                </c:pt>
                <c:pt idx="2056">
                  <c:v>45688</c:v>
                </c:pt>
                <c:pt idx="2057">
                  <c:v>45689</c:v>
                </c:pt>
                <c:pt idx="2058">
                  <c:v>45691</c:v>
                </c:pt>
                <c:pt idx="2059">
                  <c:v>45692</c:v>
                </c:pt>
                <c:pt idx="2060">
                  <c:v>45693</c:v>
                </c:pt>
                <c:pt idx="2061">
                  <c:v>45694</c:v>
                </c:pt>
                <c:pt idx="2062">
                  <c:v>45695</c:v>
                </c:pt>
                <c:pt idx="2063">
                  <c:v>45698</c:v>
                </c:pt>
                <c:pt idx="2064">
                  <c:v>45699</c:v>
                </c:pt>
                <c:pt idx="2065">
                  <c:v>45700</c:v>
                </c:pt>
                <c:pt idx="2066">
                  <c:v>45701</c:v>
                </c:pt>
                <c:pt idx="2067">
                  <c:v>45702</c:v>
                </c:pt>
                <c:pt idx="2068">
                  <c:v>45705</c:v>
                </c:pt>
                <c:pt idx="2069">
                  <c:v>45706</c:v>
                </c:pt>
                <c:pt idx="2070">
                  <c:v>45707</c:v>
                </c:pt>
                <c:pt idx="2071">
                  <c:v>45708</c:v>
                </c:pt>
                <c:pt idx="2072">
                  <c:v>45709</c:v>
                </c:pt>
                <c:pt idx="2073">
                  <c:v>45712</c:v>
                </c:pt>
                <c:pt idx="2074">
                  <c:v>45713</c:v>
                </c:pt>
                <c:pt idx="2075">
                  <c:v>45715</c:v>
                </c:pt>
                <c:pt idx="2076">
                  <c:v>45716</c:v>
                </c:pt>
                <c:pt idx="2077">
                  <c:v>45719</c:v>
                </c:pt>
                <c:pt idx="2078">
                  <c:v>45720</c:v>
                </c:pt>
                <c:pt idx="2079">
                  <c:v>45721</c:v>
                </c:pt>
                <c:pt idx="2080">
                  <c:v>45722</c:v>
                </c:pt>
                <c:pt idx="2081">
                  <c:v>45723</c:v>
                </c:pt>
                <c:pt idx="2082">
                  <c:v>45726</c:v>
                </c:pt>
                <c:pt idx="2083">
                  <c:v>45727</c:v>
                </c:pt>
                <c:pt idx="2084">
                  <c:v>45728</c:v>
                </c:pt>
                <c:pt idx="2085">
                  <c:v>45729</c:v>
                </c:pt>
                <c:pt idx="2086">
                  <c:v>45733</c:v>
                </c:pt>
                <c:pt idx="2087">
                  <c:v>45734</c:v>
                </c:pt>
                <c:pt idx="2088">
                  <c:v>45735</c:v>
                </c:pt>
                <c:pt idx="2089">
                  <c:v>45736</c:v>
                </c:pt>
                <c:pt idx="2090">
                  <c:v>45737</c:v>
                </c:pt>
                <c:pt idx="2091">
                  <c:v>45740</c:v>
                </c:pt>
                <c:pt idx="2092">
                  <c:v>45741</c:v>
                </c:pt>
                <c:pt idx="2093">
                  <c:v>45742</c:v>
                </c:pt>
                <c:pt idx="2094">
                  <c:v>45743</c:v>
                </c:pt>
                <c:pt idx="2095">
                  <c:v>45744</c:v>
                </c:pt>
                <c:pt idx="2096">
                  <c:v>45748</c:v>
                </c:pt>
                <c:pt idx="2097">
                  <c:v>45749</c:v>
                </c:pt>
                <c:pt idx="2098">
                  <c:v>45750</c:v>
                </c:pt>
                <c:pt idx="2099">
                  <c:v>45751</c:v>
                </c:pt>
                <c:pt idx="2100">
                  <c:v>45754</c:v>
                </c:pt>
                <c:pt idx="2101">
                  <c:v>45755</c:v>
                </c:pt>
                <c:pt idx="2102">
                  <c:v>45756</c:v>
                </c:pt>
                <c:pt idx="2103">
                  <c:v>45758</c:v>
                </c:pt>
                <c:pt idx="2104">
                  <c:v>45762</c:v>
                </c:pt>
                <c:pt idx="2105">
                  <c:v>45763</c:v>
                </c:pt>
                <c:pt idx="2106">
                  <c:v>45764</c:v>
                </c:pt>
                <c:pt idx="2107">
                  <c:v>45768</c:v>
                </c:pt>
                <c:pt idx="2108">
                  <c:v>45769</c:v>
                </c:pt>
                <c:pt idx="2109">
                  <c:v>45770</c:v>
                </c:pt>
                <c:pt idx="2110">
                  <c:v>45771</c:v>
                </c:pt>
                <c:pt idx="2111">
                  <c:v>45772</c:v>
                </c:pt>
                <c:pt idx="2112">
                  <c:v>45775</c:v>
                </c:pt>
                <c:pt idx="2113">
                  <c:v>45776</c:v>
                </c:pt>
                <c:pt idx="2114">
                  <c:v>45777</c:v>
                </c:pt>
                <c:pt idx="2115">
                  <c:v>45779</c:v>
                </c:pt>
                <c:pt idx="2116">
                  <c:v>45782</c:v>
                </c:pt>
                <c:pt idx="2117">
                  <c:v>45783</c:v>
                </c:pt>
                <c:pt idx="2118">
                  <c:v>45784</c:v>
                </c:pt>
                <c:pt idx="2119">
                  <c:v>45785</c:v>
                </c:pt>
                <c:pt idx="2120">
                  <c:v>45786</c:v>
                </c:pt>
                <c:pt idx="2121">
                  <c:v>45789</c:v>
                </c:pt>
                <c:pt idx="2122">
                  <c:v>45790</c:v>
                </c:pt>
                <c:pt idx="2123">
                  <c:v>45791</c:v>
                </c:pt>
                <c:pt idx="2124">
                  <c:v>45792</c:v>
                </c:pt>
                <c:pt idx="2125">
                  <c:v>45793</c:v>
                </c:pt>
                <c:pt idx="2126">
                  <c:v>45796</c:v>
                </c:pt>
                <c:pt idx="2127">
                  <c:v>45797</c:v>
                </c:pt>
                <c:pt idx="2128">
                  <c:v>45798</c:v>
                </c:pt>
                <c:pt idx="2129">
                  <c:v>45799</c:v>
                </c:pt>
                <c:pt idx="2130">
                  <c:v>45800</c:v>
                </c:pt>
                <c:pt idx="2131">
                  <c:v>45803</c:v>
                </c:pt>
                <c:pt idx="2132">
                  <c:v>45804</c:v>
                </c:pt>
                <c:pt idx="2133">
                  <c:v>45805</c:v>
                </c:pt>
                <c:pt idx="2134">
                  <c:v>45806</c:v>
                </c:pt>
                <c:pt idx="2135">
                  <c:v>45807</c:v>
                </c:pt>
                <c:pt idx="2136">
                  <c:v>45810</c:v>
                </c:pt>
                <c:pt idx="2137">
                  <c:v>45811</c:v>
                </c:pt>
                <c:pt idx="2138">
                  <c:v>45812</c:v>
                </c:pt>
                <c:pt idx="2139">
                  <c:v>45813</c:v>
                </c:pt>
                <c:pt idx="2140">
                  <c:v>45814</c:v>
                </c:pt>
                <c:pt idx="2141">
                  <c:v>45817</c:v>
                </c:pt>
                <c:pt idx="2142">
                  <c:v>45818</c:v>
                </c:pt>
                <c:pt idx="2143">
                  <c:v>45819</c:v>
                </c:pt>
                <c:pt idx="2144">
                  <c:v>45820</c:v>
                </c:pt>
                <c:pt idx="2145">
                  <c:v>45821</c:v>
                </c:pt>
                <c:pt idx="2146">
                  <c:v>45824</c:v>
                </c:pt>
                <c:pt idx="2147">
                  <c:v>45825</c:v>
                </c:pt>
                <c:pt idx="2148">
                  <c:v>45826</c:v>
                </c:pt>
                <c:pt idx="2149">
                  <c:v>45827</c:v>
                </c:pt>
                <c:pt idx="2150">
                  <c:v>45828</c:v>
                </c:pt>
                <c:pt idx="2151">
                  <c:v>45831</c:v>
                </c:pt>
                <c:pt idx="2152">
                  <c:v>45832</c:v>
                </c:pt>
                <c:pt idx="2153">
                  <c:v>45833</c:v>
                </c:pt>
                <c:pt idx="2154">
                  <c:v>45834</c:v>
                </c:pt>
                <c:pt idx="2155">
                  <c:v>45835</c:v>
                </c:pt>
                <c:pt idx="2156">
                  <c:v>45838</c:v>
                </c:pt>
                <c:pt idx="2157">
                  <c:v>45839</c:v>
                </c:pt>
                <c:pt idx="2158">
                  <c:v>45840</c:v>
                </c:pt>
                <c:pt idx="2159">
                  <c:v>45841</c:v>
                </c:pt>
                <c:pt idx="2160">
                  <c:v>45842</c:v>
                </c:pt>
                <c:pt idx="2161">
                  <c:v>45845</c:v>
                </c:pt>
                <c:pt idx="2162">
                  <c:v>45846</c:v>
                </c:pt>
                <c:pt idx="2163">
                  <c:v>45847</c:v>
                </c:pt>
                <c:pt idx="2164">
                  <c:v>45848</c:v>
                </c:pt>
                <c:pt idx="2165">
                  <c:v>45849</c:v>
                </c:pt>
                <c:pt idx="2166">
                  <c:v>45852</c:v>
                </c:pt>
                <c:pt idx="2167">
                  <c:v>45853</c:v>
                </c:pt>
                <c:pt idx="2168">
                  <c:v>45854</c:v>
                </c:pt>
                <c:pt idx="2169">
                  <c:v>45855</c:v>
                </c:pt>
                <c:pt idx="2170">
                  <c:v>45856</c:v>
                </c:pt>
                <c:pt idx="2171">
                  <c:v>45859</c:v>
                </c:pt>
                <c:pt idx="2172">
                  <c:v>45860</c:v>
                </c:pt>
                <c:pt idx="2173">
                  <c:v>45861</c:v>
                </c:pt>
                <c:pt idx="2174">
                  <c:v>45862</c:v>
                </c:pt>
                <c:pt idx="2175">
                  <c:v>45863</c:v>
                </c:pt>
                <c:pt idx="2176">
                  <c:v>45866</c:v>
                </c:pt>
                <c:pt idx="2177">
                  <c:v>45867</c:v>
                </c:pt>
                <c:pt idx="2178">
                  <c:v>45868</c:v>
                </c:pt>
                <c:pt idx="2179">
                  <c:v>45869</c:v>
                </c:pt>
                <c:pt idx="2180">
                  <c:v>45870</c:v>
                </c:pt>
                <c:pt idx="2181">
                  <c:v>45873</c:v>
                </c:pt>
                <c:pt idx="2182">
                  <c:v>45874</c:v>
                </c:pt>
                <c:pt idx="2183">
                  <c:v>45875</c:v>
                </c:pt>
                <c:pt idx="2184">
                  <c:v>45876</c:v>
                </c:pt>
                <c:pt idx="2185">
                  <c:v>45877</c:v>
                </c:pt>
                <c:pt idx="2186">
                  <c:v>45880</c:v>
                </c:pt>
                <c:pt idx="2187">
                  <c:v>45881</c:v>
                </c:pt>
                <c:pt idx="2188">
                  <c:v>45882</c:v>
                </c:pt>
                <c:pt idx="2189">
                  <c:v>45883</c:v>
                </c:pt>
                <c:pt idx="2190">
                  <c:v>45887</c:v>
                </c:pt>
                <c:pt idx="2191">
                  <c:v>45888</c:v>
                </c:pt>
                <c:pt idx="2192">
                  <c:v>45889</c:v>
                </c:pt>
                <c:pt idx="2193">
                  <c:v>45890</c:v>
                </c:pt>
                <c:pt idx="2194">
                  <c:v>45891</c:v>
                </c:pt>
                <c:pt idx="2195">
                  <c:v>45894</c:v>
                </c:pt>
                <c:pt idx="2196">
                  <c:v>45895</c:v>
                </c:pt>
                <c:pt idx="2197">
                  <c:v>45897</c:v>
                </c:pt>
                <c:pt idx="2198">
                  <c:v>45898</c:v>
                </c:pt>
                <c:pt idx="2199">
                  <c:v>45901</c:v>
                </c:pt>
                <c:pt idx="2200">
                  <c:v>45902</c:v>
                </c:pt>
                <c:pt idx="2201">
                  <c:v>45903</c:v>
                </c:pt>
                <c:pt idx="2202">
                  <c:v>45904</c:v>
                </c:pt>
                <c:pt idx="2203">
                  <c:v>45905</c:v>
                </c:pt>
                <c:pt idx="2204">
                  <c:v>45908</c:v>
                </c:pt>
                <c:pt idx="2205">
                  <c:v>45909</c:v>
                </c:pt>
                <c:pt idx="2206">
                  <c:v>45910</c:v>
                </c:pt>
                <c:pt idx="2207">
                  <c:v>45911</c:v>
                </c:pt>
                <c:pt idx="2208">
                  <c:v>45912</c:v>
                </c:pt>
                <c:pt idx="2209">
                  <c:v>45915</c:v>
                </c:pt>
                <c:pt idx="2210">
                  <c:v>45916</c:v>
                </c:pt>
                <c:pt idx="2211">
                  <c:v>45917</c:v>
                </c:pt>
                <c:pt idx="2212">
                  <c:v>45918</c:v>
                </c:pt>
                <c:pt idx="2213">
                  <c:v>45919</c:v>
                </c:pt>
                <c:pt idx="2214">
                  <c:v>45922</c:v>
                </c:pt>
                <c:pt idx="2215">
                  <c:v>45923</c:v>
                </c:pt>
                <c:pt idx="2216">
                  <c:v>45924</c:v>
                </c:pt>
                <c:pt idx="2217">
                  <c:v>45925</c:v>
                </c:pt>
                <c:pt idx="2218">
                  <c:v>45926</c:v>
                </c:pt>
                <c:pt idx="2219">
                  <c:v>45929</c:v>
                </c:pt>
                <c:pt idx="2220">
                  <c:v>45930</c:v>
                </c:pt>
                <c:pt idx="2221">
                  <c:v>45931</c:v>
                </c:pt>
                <c:pt idx="2222">
                  <c:v>45933</c:v>
                </c:pt>
                <c:pt idx="2223">
                  <c:v>45936</c:v>
                </c:pt>
                <c:pt idx="2224">
                  <c:v>45937</c:v>
                </c:pt>
                <c:pt idx="2225">
                  <c:v>45938</c:v>
                </c:pt>
                <c:pt idx="2226">
                  <c:v>45939</c:v>
                </c:pt>
                <c:pt idx="2227">
                  <c:v>45940</c:v>
                </c:pt>
                <c:pt idx="2228">
                  <c:v>45943</c:v>
                </c:pt>
                <c:pt idx="2229">
                  <c:v>45944</c:v>
                </c:pt>
                <c:pt idx="2230">
                  <c:v>45945</c:v>
                </c:pt>
                <c:pt idx="2231">
                  <c:v>45946</c:v>
                </c:pt>
                <c:pt idx="2232">
                  <c:v>45947</c:v>
                </c:pt>
                <c:pt idx="2233">
                  <c:v>45950</c:v>
                </c:pt>
                <c:pt idx="2234">
                  <c:v>45951</c:v>
                </c:pt>
                <c:pt idx="2235">
                  <c:v>45953</c:v>
                </c:pt>
                <c:pt idx="2236">
                  <c:v>45954</c:v>
                </c:pt>
                <c:pt idx="2237">
                  <c:v>45957</c:v>
                </c:pt>
                <c:pt idx="2238">
                  <c:v>45958</c:v>
                </c:pt>
                <c:pt idx="2239">
                  <c:v>45959</c:v>
                </c:pt>
                <c:pt idx="2240">
                  <c:v>45960</c:v>
                </c:pt>
                <c:pt idx="2241">
                  <c:v>45961</c:v>
                </c:pt>
                <c:pt idx="2242">
                  <c:v>45964</c:v>
                </c:pt>
                <c:pt idx="2243">
                  <c:v>45965</c:v>
                </c:pt>
                <c:pt idx="2244">
                  <c:v>45967</c:v>
                </c:pt>
                <c:pt idx="2245">
                  <c:v>45968</c:v>
                </c:pt>
                <c:pt idx="2246">
                  <c:v>45971</c:v>
                </c:pt>
                <c:pt idx="2247">
                  <c:v>45972</c:v>
                </c:pt>
                <c:pt idx="2248">
                  <c:v>45973</c:v>
                </c:pt>
                <c:pt idx="2249">
                  <c:v>45974</c:v>
                </c:pt>
                <c:pt idx="2250">
                  <c:v>45975</c:v>
                </c:pt>
                <c:pt idx="2251">
                  <c:v>45978</c:v>
                </c:pt>
                <c:pt idx="2252">
                  <c:v>45979</c:v>
                </c:pt>
                <c:pt idx="2253">
                  <c:v>45980</c:v>
                </c:pt>
                <c:pt idx="2254">
                  <c:v>45981</c:v>
                </c:pt>
                <c:pt idx="2255">
                  <c:v>45982</c:v>
                </c:pt>
                <c:pt idx="2256">
                  <c:v>45985</c:v>
                </c:pt>
                <c:pt idx="2257">
                  <c:v>45986</c:v>
                </c:pt>
                <c:pt idx="2258">
                  <c:v>45987</c:v>
                </c:pt>
                <c:pt idx="2259">
                  <c:v>45988</c:v>
                </c:pt>
                <c:pt idx="2260">
                  <c:v>45989</c:v>
                </c:pt>
                <c:pt idx="2261">
                  <c:v>45992</c:v>
                </c:pt>
                <c:pt idx="2262">
                  <c:v>45993</c:v>
                </c:pt>
                <c:pt idx="2263">
                  <c:v>45994</c:v>
                </c:pt>
                <c:pt idx="2264">
                  <c:v>45995</c:v>
                </c:pt>
                <c:pt idx="2265">
                  <c:v>45996</c:v>
                </c:pt>
                <c:pt idx="2266">
                  <c:v>45999</c:v>
                </c:pt>
                <c:pt idx="2267">
                  <c:v>46000</c:v>
                </c:pt>
                <c:pt idx="2268">
                  <c:v>46001</c:v>
                </c:pt>
                <c:pt idx="2269">
                  <c:v>46002</c:v>
                </c:pt>
                <c:pt idx="2270">
                  <c:v>46003</c:v>
                </c:pt>
                <c:pt idx="2271">
                  <c:v>46006</c:v>
                </c:pt>
                <c:pt idx="2272">
                  <c:v>46007</c:v>
                </c:pt>
                <c:pt idx="2273">
                  <c:v>46008</c:v>
                </c:pt>
                <c:pt idx="2274">
                  <c:v>46009</c:v>
                </c:pt>
                <c:pt idx="2275">
                  <c:v>46010</c:v>
                </c:pt>
                <c:pt idx="2276">
                  <c:v>46013</c:v>
                </c:pt>
                <c:pt idx="2277">
                  <c:v>46014</c:v>
                </c:pt>
                <c:pt idx="2278">
                  <c:v>46015</c:v>
                </c:pt>
                <c:pt idx="2279">
                  <c:v>46017</c:v>
                </c:pt>
                <c:pt idx="2280">
                  <c:v>46020</c:v>
                </c:pt>
                <c:pt idx="2281">
                  <c:v>46021</c:v>
                </c:pt>
                <c:pt idx="2282">
                  <c:v>46022</c:v>
                </c:pt>
                <c:pt idx="2283">
                  <c:v>46023</c:v>
                </c:pt>
                <c:pt idx="2284">
                  <c:v>46024</c:v>
                </c:pt>
                <c:pt idx="2285">
                  <c:v>46027</c:v>
                </c:pt>
                <c:pt idx="2286">
                  <c:v>46028</c:v>
                </c:pt>
                <c:pt idx="2287">
                  <c:v>46029</c:v>
                </c:pt>
                <c:pt idx="2288">
                  <c:v>46030</c:v>
                </c:pt>
                <c:pt idx="2289">
                  <c:v>46031</c:v>
                </c:pt>
                <c:pt idx="2290">
                  <c:v>46034</c:v>
                </c:pt>
                <c:pt idx="2291">
                  <c:v>46035</c:v>
                </c:pt>
                <c:pt idx="2292">
                  <c:v>46036</c:v>
                </c:pt>
                <c:pt idx="2293">
                  <c:v>46038</c:v>
                </c:pt>
                <c:pt idx="2294">
                  <c:v>46041</c:v>
                </c:pt>
                <c:pt idx="2295">
                  <c:v>46042</c:v>
                </c:pt>
                <c:pt idx="2296">
                  <c:v>46043</c:v>
                </c:pt>
                <c:pt idx="2297">
                  <c:v>46044</c:v>
                </c:pt>
                <c:pt idx="2298">
                  <c:v>46045</c:v>
                </c:pt>
                <c:pt idx="2299">
                  <c:v>46049</c:v>
                </c:pt>
                <c:pt idx="2300">
                  <c:v>46050</c:v>
                </c:pt>
                <c:pt idx="2301">
                  <c:v>46051</c:v>
                </c:pt>
                <c:pt idx="2302">
                  <c:v>46052</c:v>
                </c:pt>
                <c:pt idx="2303">
                  <c:v>46055</c:v>
                </c:pt>
                <c:pt idx="2304">
                  <c:v>46056</c:v>
                </c:pt>
                <c:pt idx="2305">
                  <c:v>46057</c:v>
                </c:pt>
                <c:pt idx="2306">
                  <c:v>46058</c:v>
                </c:pt>
                <c:pt idx="2307">
                  <c:v>46059</c:v>
                </c:pt>
                <c:pt idx="2308">
                  <c:v>46062</c:v>
                </c:pt>
                <c:pt idx="2309">
                  <c:v>46063</c:v>
                </c:pt>
                <c:pt idx="2310">
                  <c:v>46064</c:v>
                </c:pt>
                <c:pt idx="2311">
                  <c:v>46065</c:v>
                </c:pt>
                <c:pt idx="2312">
                  <c:v>46066</c:v>
                </c:pt>
                <c:pt idx="2313">
                  <c:v>46069</c:v>
                </c:pt>
                <c:pt idx="2314">
                  <c:v>46070</c:v>
                </c:pt>
                <c:pt idx="2315">
                  <c:v>46071</c:v>
                </c:pt>
                <c:pt idx="2316">
                  <c:v>46072</c:v>
                </c:pt>
                <c:pt idx="2317">
                  <c:v>46073</c:v>
                </c:pt>
                <c:pt idx="2318">
                  <c:v>46076</c:v>
                </c:pt>
                <c:pt idx="2319">
                  <c:v>46077</c:v>
                </c:pt>
                <c:pt idx="2320">
                  <c:v>46078</c:v>
                </c:pt>
                <c:pt idx="2321">
                  <c:v>46079</c:v>
                </c:pt>
                <c:pt idx="2322">
                  <c:v>46080</c:v>
                </c:pt>
                <c:pt idx="2323">
                  <c:v>46083</c:v>
                </c:pt>
                <c:pt idx="2324">
                  <c:v>46085</c:v>
                </c:pt>
                <c:pt idx="2325">
                  <c:v>46086</c:v>
                </c:pt>
                <c:pt idx="2326">
                  <c:v>46087</c:v>
                </c:pt>
                <c:pt idx="2327">
                  <c:v>46090</c:v>
                </c:pt>
                <c:pt idx="2328">
                  <c:v>46091</c:v>
                </c:pt>
                <c:pt idx="2329">
                  <c:v>46092</c:v>
                </c:pt>
                <c:pt idx="2330">
                  <c:v>46093</c:v>
                </c:pt>
                <c:pt idx="2331">
                  <c:v>46094</c:v>
                </c:pt>
                <c:pt idx="2332">
                  <c:v>46097</c:v>
                </c:pt>
                <c:pt idx="2333">
                  <c:v>46098</c:v>
                </c:pt>
                <c:pt idx="2334">
                  <c:v>46099</c:v>
                </c:pt>
                <c:pt idx="2335">
                  <c:v>46100</c:v>
                </c:pt>
                <c:pt idx="2336">
                  <c:v>46101</c:v>
                </c:pt>
                <c:pt idx="2337">
                  <c:v>46104</c:v>
                </c:pt>
                <c:pt idx="2338">
                  <c:v>46105</c:v>
                </c:pt>
                <c:pt idx="2339">
                  <c:v>46106</c:v>
                </c:pt>
                <c:pt idx="2340">
                  <c:v>46108</c:v>
                </c:pt>
                <c:pt idx="2341">
                  <c:v>46111</c:v>
                </c:pt>
                <c:pt idx="2342">
                  <c:v>46113</c:v>
                </c:pt>
                <c:pt idx="2343">
                  <c:v>46114</c:v>
                </c:pt>
                <c:pt idx="2344">
                  <c:v>46118</c:v>
                </c:pt>
                <c:pt idx="2345">
                  <c:v>46119</c:v>
                </c:pt>
                <c:pt idx="2346">
                  <c:v>46120</c:v>
                </c:pt>
                <c:pt idx="2347">
                  <c:v>46121</c:v>
                </c:pt>
                <c:pt idx="2348">
                  <c:v>46122</c:v>
                </c:pt>
                <c:pt idx="2349">
                  <c:v>46125</c:v>
                </c:pt>
                <c:pt idx="2350">
                  <c:v>46127</c:v>
                </c:pt>
                <c:pt idx="2351">
                  <c:v>46128</c:v>
                </c:pt>
                <c:pt idx="2352">
                  <c:v>46129</c:v>
                </c:pt>
                <c:pt idx="2353">
                  <c:v>46132</c:v>
                </c:pt>
                <c:pt idx="2354">
                  <c:v>46133</c:v>
                </c:pt>
                <c:pt idx="2355">
                  <c:v>46134</c:v>
                </c:pt>
                <c:pt idx="2356">
                  <c:v>46135</c:v>
                </c:pt>
                <c:pt idx="2357">
                  <c:v>46136</c:v>
                </c:pt>
                <c:pt idx="2358">
                  <c:v>46139</c:v>
                </c:pt>
                <c:pt idx="2359">
                  <c:v>46140</c:v>
                </c:pt>
                <c:pt idx="2360">
                  <c:v>46141</c:v>
                </c:pt>
                <c:pt idx="2361">
                  <c:v>46142</c:v>
                </c:pt>
                <c:pt idx="2362">
                  <c:v>46146</c:v>
                </c:pt>
                <c:pt idx="2363">
                  <c:v>46147</c:v>
                </c:pt>
                <c:pt idx="2364">
                  <c:v>46148</c:v>
                </c:pt>
                <c:pt idx="2365">
                  <c:v>46149</c:v>
                </c:pt>
                <c:pt idx="2366">
                  <c:v>46150</c:v>
                </c:pt>
                <c:pt idx="2367">
                  <c:v>46153</c:v>
                </c:pt>
                <c:pt idx="2368">
                  <c:v>46154</c:v>
                </c:pt>
                <c:pt idx="2369">
                  <c:v>46155</c:v>
                </c:pt>
                <c:pt idx="2370">
                  <c:v>46156</c:v>
                </c:pt>
                <c:pt idx="2371">
                  <c:v>46157</c:v>
                </c:pt>
                <c:pt idx="2372">
                  <c:v>46160</c:v>
                </c:pt>
                <c:pt idx="2373">
                  <c:v>46161</c:v>
                </c:pt>
                <c:pt idx="2374">
                  <c:v>46162</c:v>
                </c:pt>
                <c:pt idx="2375">
                  <c:v>46163</c:v>
                </c:pt>
                <c:pt idx="2376">
                  <c:v>46164</c:v>
                </c:pt>
                <c:pt idx="2377">
                  <c:v>46167</c:v>
                </c:pt>
                <c:pt idx="2378">
                  <c:v>46168</c:v>
                </c:pt>
                <c:pt idx="2379">
                  <c:v>46169</c:v>
                </c:pt>
                <c:pt idx="2380">
                  <c:v>46171</c:v>
                </c:pt>
                <c:pt idx="2381">
                  <c:v>46174</c:v>
                </c:pt>
                <c:pt idx="2382">
                  <c:v>46175</c:v>
                </c:pt>
                <c:pt idx="2383">
                  <c:v>46176</c:v>
                </c:pt>
                <c:pt idx="2384">
                  <c:v>46177</c:v>
                </c:pt>
                <c:pt idx="2385">
                  <c:v>46178</c:v>
                </c:pt>
                <c:pt idx="2386">
                  <c:v>46181</c:v>
                </c:pt>
                <c:pt idx="2387">
                  <c:v>46182</c:v>
                </c:pt>
                <c:pt idx="2388">
                  <c:v>46183</c:v>
                </c:pt>
                <c:pt idx="2389">
                  <c:v>46184</c:v>
                </c:pt>
                <c:pt idx="2390">
                  <c:v>46185</c:v>
                </c:pt>
                <c:pt idx="2391">
                  <c:v>46188</c:v>
                </c:pt>
                <c:pt idx="2392">
                  <c:v>46189</c:v>
                </c:pt>
                <c:pt idx="2393">
                  <c:v>46190</c:v>
                </c:pt>
                <c:pt idx="2394">
                  <c:v>46191</c:v>
                </c:pt>
                <c:pt idx="2395">
                  <c:v>46192</c:v>
                </c:pt>
                <c:pt idx="2396">
                  <c:v>46195</c:v>
                </c:pt>
                <c:pt idx="2397">
                  <c:v>46196</c:v>
                </c:pt>
                <c:pt idx="2398">
                  <c:v>46197</c:v>
                </c:pt>
                <c:pt idx="2399">
                  <c:v>46198</c:v>
                </c:pt>
                <c:pt idx="2400">
                  <c:v>46202</c:v>
                </c:pt>
                <c:pt idx="2401">
                  <c:v>46203</c:v>
                </c:pt>
                <c:pt idx="2402">
                  <c:v>46204</c:v>
                </c:pt>
                <c:pt idx="2403">
                  <c:v>46205</c:v>
                </c:pt>
                <c:pt idx="2404">
                  <c:v>46206</c:v>
                </c:pt>
                <c:pt idx="2405">
                  <c:v>46209</c:v>
                </c:pt>
                <c:pt idx="2406">
                  <c:v>46210</c:v>
                </c:pt>
                <c:pt idx="2407">
                  <c:v>46211</c:v>
                </c:pt>
                <c:pt idx="2408">
                  <c:v>46212</c:v>
                </c:pt>
                <c:pt idx="2409">
                  <c:v>46213</c:v>
                </c:pt>
                <c:pt idx="2410">
                  <c:v>46216</c:v>
                </c:pt>
                <c:pt idx="2411">
                  <c:v>46217</c:v>
                </c:pt>
                <c:pt idx="2412">
                  <c:v>46218</c:v>
                </c:pt>
                <c:pt idx="2413">
                  <c:v>46219</c:v>
                </c:pt>
                <c:pt idx="2414">
                  <c:v>46220</c:v>
                </c:pt>
                <c:pt idx="2415">
                  <c:v>46223</c:v>
                </c:pt>
                <c:pt idx="2416">
                  <c:v>46224</c:v>
                </c:pt>
                <c:pt idx="2417">
                  <c:v>46225</c:v>
                </c:pt>
                <c:pt idx="2418">
                  <c:v>46226</c:v>
                </c:pt>
                <c:pt idx="2419">
                  <c:v>46227</c:v>
                </c:pt>
                <c:pt idx="2420">
                  <c:v>46230</c:v>
                </c:pt>
                <c:pt idx="2421">
                  <c:v>46231</c:v>
                </c:pt>
                <c:pt idx="2422">
                  <c:v>46232</c:v>
                </c:pt>
                <c:pt idx="2423">
                  <c:v>46233</c:v>
                </c:pt>
                <c:pt idx="2424">
                  <c:v>46234</c:v>
                </c:pt>
                <c:pt idx="2425">
                  <c:v>46237</c:v>
                </c:pt>
                <c:pt idx="2426">
                  <c:v>46238</c:v>
                </c:pt>
                <c:pt idx="2427">
                  <c:v>46239</c:v>
                </c:pt>
                <c:pt idx="2428">
                  <c:v>46240</c:v>
                </c:pt>
                <c:pt idx="2429">
                  <c:v>46241</c:v>
                </c:pt>
                <c:pt idx="2430">
                  <c:v>46244</c:v>
                </c:pt>
                <c:pt idx="2431">
                  <c:v>46245</c:v>
                </c:pt>
                <c:pt idx="2432">
                  <c:v>46246</c:v>
                </c:pt>
                <c:pt idx="2433">
                  <c:v>46247</c:v>
                </c:pt>
                <c:pt idx="2434">
                  <c:v>46248</c:v>
                </c:pt>
                <c:pt idx="2435">
                  <c:v>46251</c:v>
                </c:pt>
                <c:pt idx="2436">
                  <c:v>46252</c:v>
                </c:pt>
                <c:pt idx="2437">
                  <c:v>46253</c:v>
                </c:pt>
                <c:pt idx="2438">
                  <c:v>46254</c:v>
                </c:pt>
                <c:pt idx="2439">
                  <c:v>46255</c:v>
                </c:pt>
                <c:pt idx="2440">
                  <c:v>46258</c:v>
                </c:pt>
                <c:pt idx="2441">
                  <c:v>46259</c:v>
                </c:pt>
                <c:pt idx="2442">
                  <c:v>46260</c:v>
                </c:pt>
                <c:pt idx="2443">
                  <c:v>46261</c:v>
                </c:pt>
                <c:pt idx="2444">
                  <c:v>46262</c:v>
                </c:pt>
                <c:pt idx="2445">
                  <c:v>46265</c:v>
                </c:pt>
                <c:pt idx="2446">
                  <c:v>46266</c:v>
                </c:pt>
                <c:pt idx="2447">
                  <c:v>46267</c:v>
                </c:pt>
                <c:pt idx="2448">
                  <c:v>46268</c:v>
                </c:pt>
                <c:pt idx="2449">
                  <c:v>46269</c:v>
                </c:pt>
                <c:pt idx="2450">
                  <c:v>46272</c:v>
                </c:pt>
                <c:pt idx="2451">
                  <c:v>46273</c:v>
                </c:pt>
                <c:pt idx="2452">
                  <c:v>46274</c:v>
                </c:pt>
                <c:pt idx="2453">
                  <c:v>46275</c:v>
                </c:pt>
                <c:pt idx="2454">
                  <c:v>46276</c:v>
                </c:pt>
                <c:pt idx="2455">
                  <c:v>46280</c:v>
                </c:pt>
                <c:pt idx="2456">
                  <c:v>46281</c:v>
                </c:pt>
                <c:pt idx="2457">
                  <c:v>46282</c:v>
                </c:pt>
                <c:pt idx="2458">
                  <c:v>46283</c:v>
                </c:pt>
                <c:pt idx="2459">
                  <c:v>46286</c:v>
                </c:pt>
                <c:pt idx="2460">
                  <c:v>46287</c:v>
                </c:pt>
                <c:pt idx="2461">
                  <c:v>46288</c:v>
                </c:pt>
                <c:pt idx="2462">
                  <c:v>46289</c:v>
                </c:pt>
                <c:pt idx="2463">
                  <c:v>46290</c:v>
                </c:pt>
                <c:pt idx="2464">
                  <c:v>46293</c:v>
                </c:pt>
              </c:numCache>
            </c:numRef>
          </c:xVal>
          <c:yVal>
            <c:numRef>
              <c:f>Daily!$B$21:$B$2485</c:f>
              <c:numCache>
                <c:formatCode>#,##0.00</c:formatCode>
                <c:ptCount val="2465"/>
                <c:pt idx="0">
                  <c:v>8611.15</c:v>
                </c:pt>
                <c:pt idx="1">
                  <c:v>8738.1</c:v>
                </c:pt>
                <c:pt idx="2">
                  <c:v>8769.15</c:v>
                </c:pt>
                <c:pt idx="3">
                  <c:v>8743.95</c:v>
                </c:pt>
                <c:pt idx="4">
                  <c:v>8709.55</c:v>
                </c:pt>
                <c:pt idx="5">
                  <c:v>8697.6</c:v>
                </c:pt>
                <c:pt idx="6">
                  <c:v>8708.8</c:v>
                </c:pt>
                <c:pt idx="7">
                  <c:v>8573.35</c:v>
                </c:pt>
                <c:pt idx="8">
                  <c:v>8583.4</c:v>
                </c:pt>
                <c:pt idx="9">
                  <c:v>8520.4</c:v>
                </c:pt>
                <c:pt idx="10">
                  <c:v>8677.9</c:v>
                </c:pt>
                <c:pt idx="11">
                  <c:v>8659.1</c:v>
                </c:pt>
                <c:pt idx="12">
                  <c:v>8699.4</c:v>
                </c:pt>
                <c:pt idx="13">
                  <c:v>8693.05</c:v>
                </c:pt>
                <c:pt idx="14">
                  <c:v>8708.95</c:v>
                </c:pt>
                <c:pt idx="15">
                  <c:v>8691.3</c:v>
                </c:pt>
                <c:pt idx="16">
                  <c:v>8615.25</c:v>
                </c:pt>
                <c:pt idx="17">
                  <c:v>8615.25</c:v>
                </c:pt>
                <c:pt idx="18">
                  <c:v>8638</c:v>
                </c:pt>
                <c:pt idx="19">
                  <c:v>8626.25</c:v>
                </c:pt>
                <c:pt idx="20">
                  <c:v>8514</c:v>
                </c:pt>
                <c:pt idx="21">
                  <c:v>8484.95</c:v>
                </c:pt>
                <c:pt idx="22">
                  <c:v>8433.75</c:v>
                </c:pt>
                <c:pt idx="23">
                  <c:v>8497.05</c:v>
                </c:pt>
                <c:pt idx="24">
                  <c:v>8543.55</c:v>
                </c:pt>
                <c:pt idx="25">
                  <c:v>8432</c:v>
                </c:pt>
                <c:pt idx="26">
                  <c:v>8525.75</c:v>
                </c:pt>
                <c:pt idx="27">
                  <c:v>8296.3</c:v>
                </c:pt>
                <c:pt idx="28">
                  <c:v>8108.45</c:v>
                </c:pt>
                <c:pt idx="29">
                  <c:v>8111.6</c:v>
                </c:pt>
                <c:pt idx="30">
                  <c:v>8079.95</c:v>
                </c:pt>
                <c:pt idx="31">
                  <c:v>8074.1</c:v>
                </c:pt>
                <c:pt idx="32">
                  <c:v>7929.1</c:v>
                </c:pt>
                <c:pt idx="33">
                  <c:v>8002.3</c:v>
                </c:pt>
                <c:pt idx="34">
                  <c:v>8033.3</c:v>
                </c:pt>
                <c:pt idx="35">
                  <c:v>7965.5</c:v>
                </c:pt>
                <c:pt idx="36">
                  <c:v>8114.3</c:v>
                </c:pt>
                <c:pt idx="37">
                  <c:v>8126.9</c:v>
                </c:pt>
                <c:pt idx="38">
                  <c:v>8142.15</c:v>
                </c:pt>
                <c:pt idx="39">
                  <c:v>8224.5</c:v>
                </c:pt>
                <c:pt idx="40">
                  <c:v>8192.9</c:v>
                </c:pt>
                <c:pt idx="41">
                  <c:v>8086.8</c:v>
                </c:pt>
                <c:pt idx="42">
                  <c:v>8128.75</c:v>
                </c:pt>
                <c:pt idx="43">
                  <c:v>8143.15</c:v>
                </c:pt>
                <c:pt idx="44">
                  <c:v>8102.05</c:v>
                </c:pt>
                <c:pt idx="45">
                  <c:v>8246.85</c:v>
                </c:pt>
                <c:pt idx="46">
                  <c:v>8261.75</c:v>
                </c:pt>
                <c:pt idx="47">
                  <c:v>8170.8</c:v>
                </c:pt>
                <c:pt idx="48">
                  <c:v>8221.8</c:v>
                </c:pt>
                <c:pt idx="49">
                  <c:v>8182.45</c:v>
                </c:pt>
                <c:pt idx="50">
                  <c:v>8153.6</c:v>
                </c:pt>
                <c:pt idx="51">
                  <c:v>8139.45</c:v>
                </c:pt>
                <c:pt idx="52">
                  <c:v>8104.35</c:v>
                </c:pt>
                <c:pt idx="53">
                  <c:v>8082.4</c:v>
                </c:pt>
                <c:pt idx="54">
                  <c:v>8061.3</c:v>
                </c:pt>
                <c:pt idx="55">
                  <c:v>7979.1</c:v>
                </c:pt>
                <c:pt idx="56">
                  <c:v>7985.75</c:v>
                </c:pt>
                <c:pt idx="57">
                  <c:v>7908.25</c:v>
                </c:pt>
                <c:pt idx="58">
                  <c:v>8032.85</c:v>
                </c:pt>
                <c:pt idx="59">
                  <c:v>8034.85</c:v>
                </c:pt>
                <c:pt idx="60">
                  <c:v>8103.6</c:v>
                </c:pt>
                <c:pt idx="61">
                  <c:v>8185.8</c:v>
                </c:pt>
                <c:pt idx="62">
                  <c:v>8179.5</c:v>
                </c:pt>
                <c:pt idx="63">
                  <c:v>8192.25</c:v>
                </c:pt>
                <c:pt idx="64">
                  <c:v>8190.5</c:v>
                </c:pt>
                <c:pt idx="65">
                  <c:v>8273.8</c:v>
                </c:pt>
                <c:pt idx="66">
                  <c:v>8243.8</c:v>
                </c:pt>
                <c:pt idx="67">
                  <c:v>8236.05</c:v>
                </c:pt>
                <c:pt idx="68">
                  <c:v>8288.6</c:v>
                </c:pt>
                <c:pt idx="69">
                  <c:v>8380.65</c:v>
                </c:pt>
                <c:pt idx="70">
                  <c:v>8407.2</c:v>
                </c:pt>
                <c:pt idx="71">
                  <c:v>8400.35</c:v>
                </c:pt>
                <c:pt idx="72">
                  <c:v>8412.8</c:v>
                </c:pt>
                <c:pt idx="73">
                  <c:v>8398</c:v>
                </c:pt>
                <c:pt idx="74">
                  <c:v>8417</c:v>
                </c:pt>
                <c:pt idx="75">
                  <c:v>8435.1</c:v>
                </c:pt>
                <c:pt idx="76">
                  <c:v>8349.35</c:v>
                </c:pt>
                <c:pt idx="77">
                  <c:v>8391.5</c:v>
                </c:pt>
                <c:pt idx="78">
                  <c:v>8475.8</c:v>
                </c:pt>
                <c:pt idx="79">
                  <c:v>8602.75</c:v>
                </c:pt>
                <c:pt idx="80">
                  <c:v>8641.25</c:v>
                </c:pt>
                <c:pt idx="81">
                  <c:v>8632.75</c:v>
                </c:pt>
                <c:pt idx="82">
                  <c:v>8561.3</c:v>
                </c:pt>
                <c:pt idx="83">
                  <c:v>8716.4</c:v>
                </c:pt>
                <c:pt idx="84">
                  <c:v>8734.25</c:v>
                </c:pt>
                <c:pt idx="85">
                  <c:v>8740.95</c:v>
                </c:pt>
                <c:pt idx="86">
                  <c:v>8801.05</c:v>
                </c:pt>
                <c:pt idx="87">
                  <c:v>8768.3</c:v>
                </c:pt>
                <c:pt idx="88">
                  <c:v>8769.05</c:v>
                </c:pt>
                <c:pt idx="89">
                  <c:v>8778.4</c:v>
                </c:pt>
                <c:pt idx="90">
                  <c:v>8793.55</c:v>
                </c:pt>
                <c:pt idx="91">
                  <c:v>8805.05</c:v>
                </c:pt>
                <c:pt idx="92">
                  <c:v>8792.3</c:v>
                </c:pt>
                <c:pt idx="93">
                  <c:v>8724.7</c:v>
                </c:pt>
                <c:pt idx="94">
                  <c:v>8778</c:v>
                </c:pt>
                <c:pt idx="95">
                  <c:v>8821.7</c:v>
                </c:pt>
                <c:pt idx="96">
                  <c:v>8879.2</c:v>
                </c:pt>
                <c:pt idx="97">
                  <c:v>8907.85</c:v>
                </c:pt>
                <c:pt idx="98">
                  <c:v>8926.9</c:v>
                </c:pt>
                <c:pt idx="99">
                  <c:v>8939.5</c:v>
                </c:pt>
                <c:pt idx="100">
                  <c:v>8896.7</c:v>
                </c:pt>
                <c:pt idx="101">
                  <c:v>8879.6</c:v>
                </c:pt>
                <c:pt idx="102">
                  <c:v>8945.8</c:v>
                </c:pt>
                <c:pt idx="103">
                  <c:v>8899.75</c:v>
                </c:pt>
                <c:pt idx="104">
                  <c:v>8897.55</c:v>
                </c:pt>
                <c:pt idx="105">
                  <c:v>8963.45</c:v>
                </c:pt>
                <c:pt idx="106">
                  <c:v>8946.9</c:v>
                </c:pt>
                <c:pt idx="107">
                  <c:v>8924.3</c:v>
                </c:pt>
                <c:pt idx="108">
                  <c:v>8927</c:v>
                </c:pt>
                <c:pt idx="109">
                  <c:v>8934.55</c:v>
                </c:pt>
                <c:pt idx="110">
                  <c:v>9087</c:v>
                </c:pt>
                <c:pt idx="111">
                  <c:v>9084.8</c:v>
                </c:pt>
                <c:pt idx="112">
                  <c:v>9153.7</c:v>
                </c:pt>
                <c:pt idx="113">
                  <c:v>9160.05</c:v>
                </c:pt>
                <c:pt idx="114">
                  <c:v>9126.85</c:v>
                </c:pt>
                <c:pt idx="115">
                  <c:v>9121.5</c:v>
                </c:pt>
                <c:pt idx="116">
                  <c:v>9030.45</c:v>
                </c:pt>
                <c:pt idx="117">
                  <c:v>9086.3</c:v>
                </c:pt>
                <c:pt idx="118">
                  <c:v>9108</c:v>
                </c:pt>
                <c:pt idx="119">
                  <c:v>9045.2</c:v>
                </c:pt>
                <c:pt idx="120">
                  <c:v>9100.8</c:v>
                </c:pt>
                <c:pt idx="121">
                  <c:v>9143.8</c:v>
                </c:pt>
                <c:pt idx="122">
                  <c:v>9173.75</c:v>
                </c:pt>
                <c:pt idx="123">
                  <c:v>9173.75</c:v>
                </c:pt>
                <c:pt idx="124">
                  <c:v>9237.85</c:v>
                </c:pt>
                <c:pt idx="125">
                  <c:v>9265.15</c:v>
                </c:pt>
                <c:pt idx="126">
                  <c:v>9261.95</c:v>
                </c:pt>
                <c:pt idx="127">
                  <c:v>9198.3</c:v>
                </c:pt>
                <c:pt idx="128">
                  <c:v>9181.45</c:v>
                </c:pt>
                <c:pt idx="129">
                  <c:v>9237</c:v>
                </c:pt>
                <c:pt idx="130">
                  <c:v>9203.45</c:v>
                </c:pt>
                <c:pt idx="131">
                  <c:v>9150.8</c:v>
                </c:pt>
                <c:pt idx="132">
                  <c:v>9139.3</c:v>
                </c:pt>
                <c:pt idx="133">
                  <c:v>9105.15</c:v>
                </c:pt>
                <c:pt idx="134">
                  <c:v>9103.5</c:v>
                </c:pt>
                <c:pt idx="135">
                  <c:v>9136.4</c:v>
                </c:pt>
                <c:pt idx="136">
                  <c:v>9119.4</c:v>
                </c:pt>
                <c:pt idx="137">
                  <c:v>9217.95</c:v>
                </c:pt>
                <c:pt idx="138">
                  <c:v>9306.6</c:v>
                </c:pt>
                <c:pt idx="139">
                  <c:v>9351.85</c:v>
                </c:pt>
                <c:pt idx="140">
                  <c:v>9342.15</c:v>
                </c:pt>
                <c:pt idx="141">
                  <c:v>9304.05</c:v>
                </c:pt>
                <c:pt idx="142">
                  <c:v>9313.8</c:v>
                </c:pt>
                <c:pt idx="143">
                  <c:v>9311.95</c:v>
                </c:pt>
                <c:pt idx="144">
                  <c:v>9359.9</c:v>
                </c:pt>
                <c:pt idx="145">
                  <c:v>9285.3</c:v>
                </c:pt>
                <c:pt idx="146">
                  <c:v>9314.05</c:v>
                </c:pt>
                <c:pt idx="147">
                  <c:v>9316.85</c:v>
                </c:pt>
                <c:pt idx="148">
                  <c:v>9407.3</c:v>
                </c:pt>
                <c:pt idx="149">
                  <c:v>9422.4</c:v>
                </c:pt>
                <c:pt idx="150">
                  <c:v>9400.9</c:v>
                </c:pt>
                <c:pt idx="151">
                  <c:v>9445.4</c:v>
                </c:pt>
                <c:pt idx="152">
                  <c:v>9512.25</c:v>
                </c:pt>
                <c:pt idx="153">
                  <c:v>9525.75</c:v>
                </c:pt>
                <c:pt idx="154">
                  <c:v>9429.45</c:v>
                </c:pt>
                <c:pt idx="155">
                  <c:v>9427.9</c:v>
                </c:pt>
                <c:pt idx="156">
                  <c:v>9438.25</c:v>
                </c:pt>
                <c:pt idx="157">
                  <c:v>9386.15</c:v>
                </c:pt>
                <c:pt idx="158">
                  <c:v>9360.55</c:v>
                </c:pt>
                <c:pt idx="159">
                  <c:v>9509.75</c:v>
                </c:pt>
                <c:pt idx="160">
                  <c:v>9595.1</c:v>
                </c:pt>
                <c:pt idx="161">
                  <c:v>9604.9</c:v>
                </c:pt>
                <c:pt idx="162">
                  <c:v>9624.55</c:v>
                </c:pt>
                <c:pt idx="163">
                  <c:v>9621.25</c:v>
                </c:pt>
                <c:pt idx="164">
                  <c:v>9616.1</c:v>
                </c:pt>
                <c:pt idx="165">
                  <c:v>9653.5</c:v>
                </c:pt>
                <c:pt idx="166">
                  <c:v>9675.1</c:v>
                </c:pt>
                <c:pt idx="167">
                  <c:v>9637.15</c:v>
                </c:pt>
                <c:pt idx="168">
                  <c:v>9663.9</c:v>
                </c:pt>
                <c:pt idx="169">
                  <c:v>9647.25</c:v>
                </c:pt>
                <c:pt idx="170">
                  <c:v>9668.25</c:v>
                </c:pt>
                <c:pt idx="171">
                  <c:v>9616.4</c:v>
                </c:pt>
                <c:pt idx="172">
                  <c:v>9606.9</c:v>
                </c:pt>
                <c:pt idx="173">
                  <c:v>9618.15</c:v>
                </c:pt>
                <c:pt idx="174">
                  <c:v>9578.05</c:v>
                </c:pt>
                <c:pt idx="175">
                  <c:v>9588.05</c:v>
                </c:pt>
                <c:pt idx="176">
                  <c:v>9657.55</c:v>
                </c:pt>
                <c:pt idx="177">
                  <c:v>9653.5</c:v>
                </c:pt>
                <c:pt idx="178">
                  <c:v>9633.6</c:v>
                </c:pt>
                <c:pt idx="179">
                  <c:v>9630</c:v>
                </c:pt>
                <c:pt idx="180">
                  <c:v>9574.95</c:v>
                </c:pt>
                <c:pt idx="181">
                  <c:v>9511.4</c:v>
                </c:pt>
                <c:pt idx="182">
                  <c:v>9491.25</c:v>
                </c:pt>
                <c:pt idx="183">
                  <c:v>9504.1</c:v>
                </c:pt>
                <c:pt idx="184">
                  <c:v>9520.9</c:v>
                </c:pt>
                <c:pt idx="185">
                  <c:v>9615</c:v>
                </c:pt>
                <c:pt idx="186">
                  <c:v>9613.3</c:v>
                </c:pt>
                <c:pt idx="187">
                  <c:v>9637.6</c:v>
                </c:pt>
                <c:pt idx="188">
                  <c:v>9674.55</c:v>
                </c:pt>
                <c:pt idx="189">
                  <c:v>9665.8</c:v>
                </c:pt>
                <c:pt idx="190">
                  <c:v>9771.05</c:v>
                </c:pt>
                <c:pt idx="191">
                  <c:v>9786.05</c:v>
                </c:pt>
                <c:pt idx="192">
                  <c:v>9816.1</c:v>
                </c:pt>
                <c:pt idx="193">
                  <c:v>9891.7</c:v>
                </c:pt>
                <c:pt idx="194">
                  <c:v>9886.35</c:v>
                </c:pt>
                <c:pt idx="195">
                  <c:v>9915.95</c:v>
                </c:pt>
                <c:pt idx="196">
                  <c:v>9827.15</c:v>
                </c:pt>
                <c:pt idx="197">
                  <c:v>9899.6</c:v>
                </c:pt>
                <c:pt idx="198">
                  <c:v>9873.3</c:v>
                </c:pt>
                <c:pt idx="199">
                  <c:v>9915.25</c:v>
                </c:pt>
                <c:pt idx="200">
                  <c:v>9966.4</c:v>
                </c:pt>
                <c:pt idx="201">
                  <c:v>9964.55</c:v>
                </c:pt>
                <c:pt idx="202">
                  <c:v>10020.65</c:v>
                </c:pt>
                <c:pt idx="203">
                  <c:v>10020.55</c:v>
                </c:pt>
                <c:pt idx="204">
                  <c:v>10014.5</c:v>
                </c:pt>
                <c:pt idx="205">
                  <c:v>10077.1</c:v>
                </c:pt>
                <c:pt idx="206">
                  <c:v>10114.65</c:v>
                </c:pt>
                <c:pt idx="207">
                  <c:v>10081.5</c:v>
                </c:pt>
                <c:pt idx="208">
                  <c:v>10013.65</c:v>
                </c:pt>
                <c:pt idx="209">
                  <c:v>10066.4</c:v>
                </c:pt>
                <c:pt idx="210">
                  <c:v>10057.4</c:v>
                </c:pt>
                <c:pt idx="211">
                  <c:v>9978.55</c:v>
                </c:pt>
                <c:pt idx="212">
                  <c:v>9908.05</c:v>
                </c:pt>
                <c:pt idx="213">
                  <c:v>9820.25</c:v>
                </c:pt>
                <c:pt idx="214">
                  <c:v>9710.8</c:v>
                </c:pt>
                <c:pt idx="215">
                  <c:v>9794.15</c:v>
                </c:pt>
                <c:pt idx="216">
                  <c:v>9897.3</c:v>
                </c:pt>
                <c:pt idx="217">
                  <c:v>9904.15</c:v>
                </c:pt>
                <c:pt idx="218">
                  <c:v>9837.4</c:v>
                </c:pt>
                <c:pt idx="219">
                  <c:v>9754.35</c:v>
                </c:pt>
                <c:pt idx="220">
                  <c:v>9765.55</c:v>
                </c:pt>
                <c:pt idx="221">
                  <c:v>9852.5</c:v>
                </c:pt>
                <c:pt idx="222">
                  <c:v>9857.05</c:v>
                </c:pt>
                <c:pt idx="223">
                  <c:v>9912.8</c:v>
                </c:pt>
                <c:pt idx="224">
                  <c:v>9796.05</c:v>
                </c:pt>
                <c:pt idx="225">
                  <c:v>9884.4</c:v>
                </c:pt>
                <c:pt idx="226">
                  <c:v>9917.9</c:v>
                </c:pt>
                <c:pt idx="227">
                  <c:v>9974.4</c:v>
                </c:pt>
                <c:pt idx="228">
                  <c:v>9912.85</c:v>
                </c:pt>
                <c:pt idx="229">
                  <c:v>9952.2</c:v>
                </c:pt>
                <c:pt idx="230">
                  <c:v>9916.2</c:v>
                </c:pt>
                <c:pt idx="231">
                  <c:v>9929.9</c:v>
                </c:pt>
                <c:pt idx="232">
                  <c:v>9934.8</c:v>
                </c:pt>
                <c:pt idx="233">
                  <c:v>10006.05</c:v>
                </c:pt>
                <c:pt idx="234">
                  <c:v>10093.05</c:v>
                </c:pt>
                <c:pt idx="235">
                  <c:v>10079.3</c:v>
                </c:pt>
                <c:pt idx="236">
                  <c:v>10086.6</c:v>
                </c:pt>
                <c:pt idx="237">
                  <c:v>10085.4</c:v>
                </c:pt>
                <c:pt idx="238">
                  <c:v>10153.1</c:v>
                </c:pt>
                <c:pt idx="239">
                  <c:v>10147.55</c:v>
                </c:pt>
                <c:pt idx="240">
                  <c:v>10141.15</c:v>
                </c:pt>
                <c:pt idx="241">
                  <c:v>10121.9</c:v>
                </c:pt>
                <c:pt idx="242">
                  <c:v>9964.4</c:v>
                </c:pt>
                <c:pt idx="243">
                  <c:v>9872.6</c:v>
                </c:pt>
                <c:pt idx="244">
                  <c:v>9871.5</c:v>
                </c:pt>
                <c:pt idx="245">
                  <c:v>9735.75</c:v>
                </c:pt>
                <c:pt idx="246">
                  <c:v>9768.95</c:v>
                </c:pt>
                <c:pt idx="247">
                  <c:v>9788.6</c:v>
                </c:pt>
                <c:pt idx="248">
                  <c:v>9859.5</c:v>
                </c:pt>
                <c:pt idx="249">
                  <c:v>9914.9</c:v>
                </c:pt>
                <c:pt idx="250">
                  <c:v>9888.7</c:v>
                </c:pt>
                <c:pt idx="251">
                  <c:v>9979.7</c:v>
                </c:pt>
                <c:pt idx="252">
                  <c:v>9988.75</c:v>
                </c:pt>
                <c:pt idx="253">
                  <c:v>10016.95</c:v>
                </c:pt>
                <c:pt idx="254">
                  <c:v>9984.8</c:v>
                </c:pt>
                <c:pt idx="255">
                  <c:v>10096.4</c:v>
                </c:pt>
                <c:pt idx="256">
                  <c:v>10167.45</c:v>
                </c:pt>
                <c:pt idx="257">
                  <c:v>10230.85</c:v>
                </c:pt>
                <c:pt idx="258">
                  <c:v>10234.45</c:v>
                </c:pt>
                <c:pt idx="259">
                  <c:v>10210.85</c:v>
                </c:pt>
                <c:pt idx="260">
                  <c:v>10146.55</c:v>
                </c:pt>
                <c:pt idx="261">
                  <c:v>10184.85</c:v>
                </c:pt>
                <c:pt idx="262">
                  <c:v>10207.7</c:v>
                </c:pt>
                <c:pt idx="263">
                  <c:v>10295.35</c:v>
                </c:pt>
                <c:pt idx="264">
                  <c:v>10343.8</c:v>
                </c:pt>
                <c:pt idx="265">
                  <c:v>10323.05</c:v>
                </c:pt>
                <c:pt idx="266">
                  <c:v>10363.65</c:v>
                </c:pt>
                <c:pt idx="267">
                  <c:v>10335.3</c:v>
                </c:pt>
                <c:pt idx="268">
                  <c:v>10440.5</c:v>
                </c:pt>
                <c:pt idx="269">
                  <c:v>10423.8</c:v>
                </c:pt>
                <c:pt idx="270">
                  <c:v>10452.5</c:v>
                </c:pt>
                <c:pt idx="271">
                  <c:v>10451.8</c:v>
                </c:pt>
                <c:pt idx="272">
                  <c:v>10350.15</c:v>
                </c:pt>
                <c:pt idx="273">
                  <c:v>10303.15</c:v>
                </c:pt>
                <c:pt idx="274">
                  <c:v>10308.95</c:v>
                </c:pt>
                <c:pt idx="275">
                  <c:v>10321.75</c:v>
                </c:pt>
                <c:pt idx="276">
                  <c:v>10224.95</c:v>
                </c:pt>
                <c:pt idx="277">
                  <c:v>10186.6</c:v>
                </c:pt>
                <c:pt idx="278">
                  <c:v>10118.05</c:v>
                </c:pt>
                <c:pt idx="279">
                  <c:v>10214.75</c:v>
                </c:pt>
                <c:pt idx="280">
                  <c:v>10283.6</c:v>
                </c:pt>
                <c:pt idx="281">
                  <c:v>10298.75</c:v>
                </c:pt>
                <c:pt idx="282">
                  <c:v>10326.9</c:v>
                </c:pt>
                <c:pt idx="283">
                  <c:v>10342.3</c:v>
                </c:pt>
                <c:pt idx="284">
                  <c:v>10348.75</c:v>
                </c:pt>
                <c:pt idx="285">
                  <c:v>10389.7</c:v>
                </c:pt>
                <c:pt idx="286">
                  <c:v>10399.55</c:v>
                </c:pt>
                <c:pt idx="287">
                  <c:v>10370.25</c:v>
                </c:pt>
                <c:pt idx="288">
                  <c:v>10361.3</c:v>
                </c:pt>
                <c:pt idx="289">
                  <c:v>10226.55</c:v>
                </c:pt>
                <c:pt idx="290">
                  <c:v>10121.8</c:v>
                </c:pt>
                <c:pt idx="291">
                  <c:v>10127.75</c:v>
                </c:pt>
                <c:pt idx="292">
                  <c:v>10118.25</c:v>
                </c:pt>
                <c:pt idx="293">
                  <c:v>10044.1</c:v>
                </c:pt>
                <c:pt idx="294">
                  <c:v>10166.7</c:v>
                </c:pt>
                <c:pt idx="295">
                  <c:v>10265.65</c:v>
                </c:pt>
                <c:pt idx="296">
                  <c:v>10322.25</c:v>
                </c:pt>
                <c:pt idx="297">
                  <c:v>10240.15</c:v>
                </c:pt>
                <c:pt idx="298">
                  <c:v>10192.95</c:v>
                </c:pt>
                <c:pt idx="299">
                  <c:v>10252.1</c:v>
                </c:pt>
                <c:pt idx="300">
                  <c:v>10333.25</c:v>
                </c:pt>
                <c:pt idx="301">
                  <c:v>10388.75</c:v>
                </c:pt>
                <c:pt idx="302">
                  <c:v>10463.2</c:v>
                </c:pt>
                <c:pt idx="303">
                  <c:v>10444.2</c:v>
                </c:pt>
                <c:pt idx="304">
                  <c:v>10440.3</c:v>
                </c:pt>
                <c:pt idx="305">
                  <c:v>10493</c:v>
                </c:pt>
                <c:pt idx="306">
                  <c:v>10531.5</c:v>
                </c:pt>
                <c:pt idx="307">
                  <c:v>10490.75</c:v>
                </c:pt>
                <c:pt idx="308">
                  <c:v>10477.9</c:v>
                </c:pt>
                <c:pt idx="309">
                  <c:v>10530.7</c:v>
                </c:pt>
                <c:pt idx="310">
                  <c:v>10442.2</c:v>
                </c:pt>
                <c:pt idx="311">
                  <c:v>10443.2</c:v>
                </c:pt>
                <c:pt idx="312">
                  <c:v>10504.8</c:v>
                </c:pt>
                <c:pt idx="313">
                  <c:v>10558.85</c:v>
                </c:pt>
                <c:pt idx="314">
                  <c:v>10623.6</c:v>
                </c:pt>
                <c:pt idx="315">
                  <c:v>10637</c:v>
                </c:pt>
                <c:pt idx="316">
                  <c:v>10632.2</c:v>
                </c:pt>
                <c:pt idx="317">
                  <c:v>10651.2</c:v>
                </c:pt>
                <c:pt idx="318">
                  <c:v>10681.25</c:v>
                </c:pt>
                <c:pt idx="319">
                  <c:v>10741.55</c:v>
                </c:pt>
                <c:pt idx="320">
                  <c:v>10700.45</c:v>
                </c:pt>
                <c:pt idx="321">
                  <c:v>10788.55</c:v>
                </c:pt>
                <c:pt idx="322">
                  <c:v>10817</c:v>
                </c:pt>
                <c:pt idx="323">
                  <c:v>10894.7</c:v>
                </c:pt>
                <c:pt idx="324">
                  <c:v>10966.2</c:v>
                </c:pt>
                <c:pt idx="325">
                  <c:v>11083.7</c:v>
                </c:pt>
                <c:pt idx="326">
                  <c:v>11086</c:v>
                </c:pt>
                <c:pt idx="327">
                  <c:v>11069.65</c:v>
                </c:pt>
                <c:pt idx="328">
                  <c:v>11130.4</c:v>
                </c:pt>
                <c:pt idx="329">
                  <c:v>11049.65</c:v>
                </c:pt>
                <c:pt idx="330">
                  <c:v>11027.7</c:v>
                </c:pt>
                <c:pt idx="331">
                  <c:v>11016.9</c:v>
                </c:pt>
                <c:pt idx="332">
                  <c:v>10760.6</c:v>
                </c:pt>
                <c:pt idx="333">
                  <c:v>10666.55</c:v>
                </c:pt>
                <c:pt idx="334">
                  <c:v>10498.25</c:v>
                </c:pt>
                <c:pt idx="335">
                  <c:v>10476.7</c:v>
                </c:pt>
                <c:pt idx="336">
                  <c:v>10576.85</c:v>
                </c:pt>
                <c:pt idx="337">
                  <c:v>10454.95</c:v>
                </c:pt>
                <c:pt idx="338">
                  <c:v>10539.75</c:v>
                </c:pt>
                <c:pt idx="339">
                  <c:v>10500.9</c:v>
                </c:pt>
                <c:pt idx="340">
                  <c:v>10545.5</c:v>
                </c:pt>
                <c:pt idx="341">
                  <c:v>10452.3</c:v>
                </c:pt>
                <c:pt idx="342">
                  <c:v>10378.4</c:v>
                </c:pt>
                <c:pt idx="343">
                  <c:v>10360.4</c:v>
                </c:pt>
                <c:pt idx="344">
                  <c:v>10397.45</c:v>
                </c:pt>
                <c:pt idx="345">
                  <c:v>10382.7</c:v>
                </c:pt>
                <c:pt idx="346">
                  <c:v>10491.05</c:v>
                </c:pt>
                <c:pt idx="347">
                  <c:v>10582.6</c:v>
                </c:pt>
                <c:pt idx="348">
                  <c:v>10554.3</c:v>
                </c:pt>
                <c:pt idx="349">
                  <c:v>10492.85</c:v>
                </c:pt>
                <c:pt idx="350">
                  <c:v>10458.35</c:v>
                </c:pt>
                <c:pt idx="351">
                  <c:v>10358.85</c:v>
                </c:pt>
                <c:pt idx="352">
                  <c:v>10249.25</c:v>
                </c:pt>
                <c:pt idx="353">
                  <c:v>10154.2</c:v>
                </c:pt>
                <c:pt idx="354">
                  <c:v>10242.65</c:v>
                </c:pt>
                <c:pt idx="355">
                  <c:v>10226.85</c:v>
                </c:pt>
                <c:pt idx="356">
                  <c:v>10421.4</c:v>
                </c:pt>
                <c:pt idx="357">
                  <c:v>10426.85</c:v>
                </c:pt>
                <c:pt idx="358">
                  <c:v>10410.9</c:v>
                </c:pt>
                <c:pt idx="359">
                  <c:v>10360.15</c:v>
                </c:pt>
                <c:pt idx="360">
                  <c:v>10195.15</c:v>
                </c:pt>
                <c:pt idx="361">
                  <c:v>10094.25</c:v>
                </c:pt>
                <c:pt idx="362">
                  <c:v>10124.35</c:v>
                </c:pt>
                <c:pt idx="363">
                  <c:v>10155.25</c:v>
                </c:pt>
                <c:pt idx="364">
                  <c:v>10114.75</c:v>
                </c:pt>
                <c:pt idx="365">
                  <c:v>9998.05</c:v>
                </c:pt>
                <c:pt idx="366">
                  <c:v>10130.65</c:v>
                </c:pt>
                <c:pt idx="367">
                  <c:v>10184.15</c:v>
                </c:pt>
                <c:pt idx="368">
                  <c:v>10113.7</c:v>
                </c:pt>
                <c:pt idx="369">
                  <c:v>10211.8</c:v>
                </c:pt>
                <c:pt idx="370">
                  <c:v>10245</c:v>
                </c:pt>
                <c:pt idx="371">
                  <c:v>10128.4</c:v>
                </c:pt>
                <c:pt idx="372">
                  <c:v>10325.15</c:v>
                </c:pt>
                <c:pt idx="373">
                  <c:v>10331.6</c:v>
                </c:pt>
                <c:pt idx="374">
                  <c:v>10379.35</c:v>
                </c:pt>
                <c:pt idx="375">
                  <c:v>10402.25</c:v>
                </c:pt>
                <c:pt idx="376">
                  <c:v>10417.15</c:v>
                </c:pt>
                <c:pt idx="377">
                  <c:v>10458.65</c:v>
                </c:pt>
                <c:pt idx="378">
                  <c:v>10480.6</c:v>
                </c:pt>
                <c:pt idx="379">
                  <c:v>10528.35</c:v>
                </c:pt>
                <c:pt idx="380">
                  <c:v>10548.7</c:v>
                </c:pt>
                <c:pt idx="381">
                  <c:v>10526.2</c:v>
                </c:pt>
                <c:pt idx="382">
                  <c:v>10565.3</c:v>
                </c:pt>
                <c:pt idx="383">
                  <c:v>10564.05</c:v>
                </c:pt>
                <c:pt idx="384">
                  <c:v>10584.7</c:v>
                </c:pt>
                <c:pt idx="385">
                  <c:v>10614.35</c:v>
                </c:pt>
                <c:pt idx="386">
                  <c:v>10570.55</c:v>
                </c:pt>
                <c:pt idx="387">
                  <c:v>10617.8</c:v>
                </c:pt>
                <c:pt idx="388">
                  <c:v>10692.3</c:v>
                </c:pt>
                <c:pt idx="389">
                  <c:v>10739.35</c:v>
                </c:pt>
                <c:pt idx="390">
                  <c:v>10718.05</c:v>
                </c:pt>
                <c:pt idx="391">
                  <c:v>10679.65</c:v>
                </c:pt>
                <c:pt idx="392">
                  <c:v>10618.25</c:v>
                </c:pt>
                <c:pt idx="393">
                  <c:v>10715.5</c:v>
                </c:pt>
                <c:pt idx="394">
                  <c:v>10717.8</c:v>
                </c:pt>
                <c:pt idx="395">
                  <c:v>10741.7</c:v>
                </c:pt>
                <c:pt idx="396">
                  <c:v>10716.55</c:v>
                </c:pt>
                <c:pt idx="397">
                  <c:v>10806.5</c:v>
                </c:pt>
                <c:pt idx="398">
                  <c:v>10806.6</c:v>
                </c:pt>
                <c:pt idx="399">
                  <c:v>10801.85</c:v>
                </c:pt>
                <c:pt idx="400">
                  <c:v>10741.1</c:v>
                </c:pt>
                <c:pt idx="401">
                  <c:v>10682.7</c:v>
                </c:pt>
                <c:pt idx="402">
                  <c:v>10596.4</c:v>
                </c:pt>
                <c:pt idx="403">
                  <c:v>10516.7</c:v>
                </c:pt>
                <c:pt idx="404">
                  <c:v>10536.7</c:v>
                </c:pt>
                <c:pt idx="405">
                  <c:v>10430.35</c:v>
                </c:pt>
                <c:pt idx="406">
                  <c:v>10513.85</c:v>
                </c:pt>
                <c:pt idx="407">
                  <c:v>10605.15</c:v>
                </c:pt>
                <c:pt idx="408">
                  <c:v>10688.65</c:v>
                </c:pt>
                <c:pt idx="409">
                  <c:v>10633.3</c:v>
                </c:pt>
                <c:pt idx="410">
                  <c:v>10614.35</c:v>
                </c:pt>
                <c:pt idx="411">
                  <c:v>10736.15</c:v>
                </c:pt>
                <c:pt idx="412">
                  <c:v>10696.2</c:v>
                </c:pt>
                <c:pt idx="413">
                  <c:v>10628.5</c:v>
                </c:pt>
                <c:pt idx="414">
                  <c:v>10593.15</c:v>
                </c:pt>
                <c:pt idx="415">
                  <c:v>10684.65</c:v>
                </c:pt>
                <c:pt idx="416">
                  <c:v>10768.35</c:v>
                </c:pt>
                <c:pt idx="417">
                  <c:v>10767.65</c:v>
                </c:pt>
                <c:pt idx="418">
                  <c:v>10786.95</c:v>
                </c:pt>
                <c:pt idx="419">
                  <c:v>10842.85</c:v>
                </c:pt>
                <c:pt idx="420">
                  <c:v>10856.7</c:v>
                </c:pt>
                <c:pt idx="421">
                  <c:v>10808.05</c:v>
                </c:pt>
                <c:pt idx="422">
                  <c:v>10817.7</c:v>
                </c:pt>
                <c:pt idx="423">
                  <c:v>10799.85</c:v>
                </c:pt>
                <c:pt idx="424">
                  <c:v>10710.45</c:v>
                </c:pt>
                <c:pt idx="425">
                  <c:v>10772.05</c:v>
                </c:pt>
                <c:pt idx="426">
                  <c:v>10741.1</c:v>
                </c:pt>
                <c:pt idx="427">
                  <c:v>10821.85</c:v>
                </c:pt>
                <c:pt idx="428">
                  <c:v>10762.45</c:v>
                </c:pt>
                <c:pt idx="429">
                  <c:v>10769.15</c:v>
                </c:pt>
                <c:pt idx="430">
                  <c:v>10671.4</c:v>
                </c:pt>
                <c:pt idx="431">
                  <c:v>10589.1</c:v>
                </c:pt>
                <c:pt idx="432">
                  <c:v>10714.3</c:v>
                </c:pt>
                <c:pt idx="433">
                  <c:v>10657.3</c:v>
                </c:pt>
                <c:pt idx="434">
                  <c:v>10699.9</c:v>
                </c:pt>
                <c:pt idx="435">
                  <c:v>10769.9</c:v>
                </c:pt>
                <c:pt idx="436">
                  <c:v>10749.75</c:v>
                </c:pt>
                <c:pt idx="437">
                  <c:v>10772.65</c:v>
                </c:pt>
                <c:pt idx="438">
                  <c:v>10852.9</c:v>
                </c:pt>
                <c:pt idx="439">
                  <c:v>10947.25</c:v>
                </c:pt>
                <c:pt idx="440">
                  <c:v>10948.3</c:v>
                </c:pt>
                <c:pt idx="441">
                  <c:v>11023.2</c:v>
                </c:pt>
                <c:pt idx="442">
                  <c:v>11018.9</c:v>
                </c:pt>
                <c:pt idx="443">
                  <c:v>10936.85</c:v>
                </c:pt>
                <c:pt idx="444">
                  <c:v>11008.05</c:v>
                </c:pt>
                <c:pt idx="445">
                  <c:v>10980.45</c:v>
                </c:pt>
                <c:pt idx="446">
                  <c:v>10957.1</c:v>
                </c:pt>
                <c:pt idx="447">
                  <c:v>11010.2</c:v>
                </c:pt>
                <c:pt idx="448">
                  <c:v>11084.75</c:v>
                </c:pt>
                <c:pt idx="449">
                  <c:v>11134.3</c:v>
                </c:pt>
                <c:pt idx="450">
                  <c:v>11132</c:v>
                </c:pt>
                <c:pt idx="451">
                  <c:v>11167.3</c:v>
                </c:pt>
                <c:pt idx="452">
                  <c:v>11278.35</c:v>
                </c:pt>
                <c:pt idx="453">
                  <c:v>11319.55</c:v>
                </c:pt>
                <c:pt idx="454">
                  <c:v>11356.5</c:v>
                </c:pt>
                <c:pt idx="455">
                  <c:v>11346.2</c:v>
                </c:pt>
                <c:pt idx="456">
                  <c:v>11244.7</c:v>
                </c:pt>
                <c:pt idx="457">
                  <c:v>11360.8</c:v>
                </c:pt>
                <c:pt idx="458">
                  <c:v>11387.1</c:v>
                </c:pt>
                <c:pt idx="459">
                  <c:v>11389.45</c:v>
                </c:pt>
                <c:pt idx="460">
                  <c:v>11450</c:v>
                </c:pt>
                <c:pt idx="461">
                  <c:v>11470.7</c:v>
                </c:pt>
                <c:pt idx="462">
                  <c:v>11429.5</c:v>
                </c:pt>
                <c:pt idx="463">
                  <c:v>11355.75</c:v>
                </c:pt>
                <c:pt idx="464">
                  <c:v>11435.1</c:v>
                </c:pt>
                <c:pt idx="465">
                  <c:v>11385.05</c:v>
                </c:pt>
                <c:pt idx="466">
                  <c:v>11470.75</c:v>
                </c:pt>
                <c:pt idx="467">
                  <c:v>11551.75</c:v>
                </c:pt>
                <c:pt idx="468">
                  <c:v>11570.9</c:v>
                </c:pt>
                <c:pt idx="469">
                  <c:v>11582.75</c:v>
                </c:pt>
                <c:pt idx="470">
                  <c:v>11557.1</c:v>
                </c:pt>
                <c:pt idx="471">
                  <c:v>11691.95</c:v>
                </c:pt>
                <c:pt idx="472">
                  <c:v>11738.5</c:v>
                </c:pt>
                <c:pt idx="473">
                  <c:v>11691.9</c:v>
                </c:pt>
                <c:pt idx="474">
                  <c:v>11676.8</c:v>
                </c:pt>
                <c:pt idx="475">
                  <c:v>11680.5</c:v>
                </c:pt>
                <c:pt idx="476">
                  <c:v>11582.35</c:v>
                </c:pt>
                <c:pt idx="477">
                  <c:v>11520.3</c:v>
                </c:pt>
                <c:pt idx="478">
                  <c:v>11476.95</c:v>
                </c:pt>
                <c:pt idx="479">
                  <c:v>11536.9</c:v>
                </c:pt>
                <c:pt idx="480">
                  <c:v>11589.1</c:v>
                </c:pt>
                <c:pt idx="481">
                  <c:v>11438.1</c:v>
                </c:pt>
                <c:pt idx="482">
                  <c:v>11287.5</c:v>
                </c:pt>
                <c:pt idx="483">
                  <c:v>11369.9</c:v>
                </c:pt>
                <c:pt idx="484">
                  <c:v>11515.2</c:v>
                </c:pt>
                <c:pt idx="485">
                  <c:v>11377.75</c:v>
                </c:pt>
                <c:pt idx="486">
                  <c:v>11278.9</c:v>
                </c:pt>
                <c:pt idx="487">
                  <c:v>11234.35</c:v>
                </c:pt>
                <c:pt idx="488">
                  <c:v>11143.1</c:v>
                </c:pt>
                <c:pt idx="489">
                  <c:v>10967.4</c:v>
                </c:pt>
                <c:pt idx="490">
                  <c:v>11067.45</c:v>
                </c:pt>
                <c:pt idx="491">
                  <c:v>11053.8</c:v>
                </c:pt>
                <c:pt idx="492">
                  <c:v>10977.55</c:v>
                </c:pt>
                <c:pt idx="493">
                  <c:v>10930.45</c:v>
                </c:pt>
                <c:pt idx="494">
                  <c:v>11008.3</c:v>
                </c:pt>
                <c:pt idx="495">
                  <c:v>10858.25</c:v>
                </c:pt>
                <c:pt idx="496">
                  <c:v>10599.25</c:v>
                </c:pt>
                <c:pt idx="497">
                  <c:v>10316.45</c:v>
                </c:pt>
                <c:pt idx="498">
                  <c:v>10348.05</c:v>
                </c:pt>
                <c:pt idx="499">
                  <c:v>10301.05</c:v>
                </c:pt>
                <c:pt idx="500">
                  <c:v>10460.1</c:v>
                </c:pt>
                <c:pt idx="501">
                  <c:v>10234.65</c:v>
                </c:pt>
                <c:pt idx="502">
                  <c:v>10472.5</c:v>
                </c:pt>
                <c:pt idx="503">
                  <c:v>10512.5</c:v>
                </c:pt>
                <c:pt idx="504">
                  <c:v>10584.75</c:v>
                </c:pt>
                <c:pt idx="505">
                  <c:v>10453.05</c:v>
                </c:pt>
                <c:pt idx="506">
                  <c:v>10303.55</c:v>
                </c:pt>
                <c:pt idx="507">
                  <c:v>10245.25</c:v>
                </c:pt>
                <c:pt idx="508">
                  <c:v>10146.8</c:v>
                </c:pt>
                <c:pt idx="509">
                  <c:v>10224.75</c:v>
                </c:pt>
                <c:pt idx="510">
                  <c:v>10124.9</c:v>
                </c:pt>
                <c:pt idx="511">
                  <c:v>10030</c:v>
                </c:pt>
                <c:pt idx="512">
                  <c:v>10250.85</c:v>
                </c:pt>
                <c:pt idx="513">
                  <c:v>10198.4</c:v>
                </c:pt>
                <c:pt idx="514">
                  <c:v>10386.6</c:v>
                </c:pt>
                <c:pt idx="515">
                  <c:v>10380.45</c:v>
                </c:pt>
                <c:pt idx="516">
                  <c:v>10553</c:v>
                </c:pt>
                <c:pt idx="517">
                  <c:v>10524</c:v>
                </c:pt>
                <c:pt idx="518">
                  <c:v>10530</c:v>
                </c:pt>
                <c:pt idx="519">
                  <c:v>10598.4</c:v>
                </c:pt>
                <c:pt idx="520">
                  <c:v>10585.2</c:v>
                </c:pt>
                <c:pt idx="521">
                  <c:v>10482.2</c:v>
                </c:pt>
                <c:pt idx="522">
                  <c:v>10582.5</c:v>
                </c:pt>
                <c:pt idx="523">
                  <c:v>10576.3</c:v>
                </c:pt>
                <c:pt idx="524">
                  <c:v>10616.7</c:v>
                </c:pt>
                <c:pt idx="525">
                  <c:v>10682.2</c:v>
                </c:pt>
                <c:pt idx="526">
                  <c:v>10763.4</c:v>
                </c:pt>
                <c:pt idx="527">
                  <c:v>10656.2</c:v>
                </c:pt>
                <c:pt idx="528">
                  <c:v>10600.05</c:v>
                </c:pt>
                <c:pt idx="529">
                  <c:v>10526.75</c:v>
                </c:pt>
                <c:pt idx="530">
                  <c:v>10628.6</c:v>
                </c:pt>
                <c:pt idx="531">
                  <c:v>10685.6</c:v>
                </c:pt>
                <c:pt idx="532">
                  <c:v>10728.85</c:v>
                </c:pt>
                <c:pt idx="533">
                  <c:v>10858.7</c:v>
                </c:pt>
                <c:pt idx="534">
                  <c:v>10876.75</c:v>
                </c:pt>
                <c:pt idx="535">
                  <c:v>10883.75</c:v>
                </c:pt>
                <c:pt idx="536">
                  <c:v>10869.5</c:v>
                </c:pt>
                <c:pt idx="537">
                  <c:v>10782.9</c:v>
                </c:pt>
                <c:pt idx="538">
                  <c:v>10601.15</c:v>
                </c:pt>
                <c:pt idx="539">
                  <c:v>10693.7</c:v>
                </c:pt>
                <c:pt idx="540">
                  <c:v>10488.45</c:v>
                </c:pt>
                <c:pt idx="541">
                  <c:v>10549.15</c:v>
                </c:pt>
                <c:pt idx="542">
                  <c:v>10737.6</c:v>
                </c:pt>
                <c:pt idx="543">
                  <c:v>10791.55</c:v>
                </c:pt>
                <c:pt idx="544">
                  <c:v>10805.45</c:v>
                </c:pt>
                <c:pt idx="545">
                  <c:v>10888.35</c:v>
                </c:pt>
                <c:pt idx="546">
                  <c:v>10908.7</c:v>
                </c:pt>
                <c:pt idx="547">
                  <c:v>10967.3</c:v>
                </c:pt>
                <c:pt idx="548">
                  <c:v>10951.7</c:v>
                </c:pt>
                <c:pt idx="549">
                  <c:v>10754</c:v>
                </c:pt>
                <c:pt idx="550">
                  <c:v>10663.5</c:v>
                </c:pt>
                <c:pt idx="551">
                  <c:v>10729.85</c:v>
                </c:pt>
                <c:pt idx="552">
                  <c:v>10779.8</c:v>
                </c:pt>
                <c:pt idx="553">
                  <c:v>10859.9</c:v>
                </c:pt>
                <c:pt idx="554">
                  <c:v>10862.55</c:v>
                </c:pt>
                <c:pt idx="555">
                  <c:v>10792.5</c:v>
                </c:pt>
                <c:pt idx="556">
                  <c:v>10672.25</c:v>
                </c:pt>
                <c:pt idx="557">
                  <c:v>10727.35</c:v>
                </c:pt>
                <c:pt idx="558">
                  <c:v>10771.8</c:v>
                </c:pt>
                <c:pt idx="559">
                  <c:v>10802.15</c:v>
                </c:pt>
                <c:pt idx="560">
                  <c:v>10855.15</c:v>
                </c:pt>
                <c:pt idx="561">
                  <c:v>10821.6</c:v>
                </c:pt>
                <c:pt idx="562">
                  <c:v>10794.95</c:v>
                </c:pt>
                <c:pt idx="563">
                  <c:v>10737.6</c:v>
                </c:pt>
                <c:pt idx="564">
                  <c:v>10886.8</c:v>
                </c:pt>
                <c:pt idx="565">
                  <c:v>10890.3</c:v>
                </c:pt>
                <c:pt idx="566">
                  <c:v>10905.2</c:v>
                </c:pt>
                <c:pt idx="567">
                  <c:v>10906.95</c:v>
                </c:pt>
                <c:pt idx="568">
                  <c:v>10961.85</c:v>
                </c:pt>
                <c:pt idx="569">
                  <c:v>10922.75</c:v>
                </c:pt>
                <c:pt idx="570">
                  <c:v>10831.5</c:v>
                </c:pt>
                <c:pt idx="571">
                  <c:v>10849.8</c:v>
                </c:pt>
                <c:pt idx="572">
                  <c:v>10780.55</c:v>
                </c:pt>
                <c:pt idx="573">
                  <c:v>10661.55</c:v>
                </c:pt>
                <c:pt idx="574">
                  <c:v>10652.2</c:v>
                </c:pt>
                <c:pt idx="575">
                  <c:v>10651.8</c:v>
                </c:pt>
                <c:pt idx="576">
                  <c:v>10830.95</c:v>
                </c:pt>
                <c:pt idx="577">
                  <c:v>10893.65</c:v>
                </c:pt>
                <c:pt idx="578">
                  <c:v>10912.25</c:v>
                </c:pt>
                <c:pt idx="579">
                  <c:v>10934.35</c:v>
                </c:pt>
                <c:pt idx="580">
                  <c:v>11062.45</c:v>
                </c:pt>
                <c:pt idx="581">
                  <c:v>11069.4</c:v>
                </c:pt>
                <c:pt idx="582">
                  <c:v>10943.6</c:v>
                </c:pt>
                <c:pt idx="583">
                  <c:v>10888.8</c:v>
                </c:pt>
                <c:pt idx="584">
                  <c:v>10831.4</c:v>
                </c:pt>
                <c:pt idx="585">
                  <c:v>10746.05</c:v>
                </c:pt>
                <c:pt idx="586">
                  <c:v>10724.4</c:v>
                </c:pt>
                <c:pt idx="587">
                  <c:v>10640.95</c:v>
                </c:pt>
                <c:pt idx="588">
                  <c:v>10604.35</c:v>
                </c:pt>
                <c:pt idx="589">
                  <c:v>10735.45</c:v>
                </c:pt>
                <c:pt idx="590">
                  <c:v>10789.85</c:v>
                </c:pt>
                <c:pt idx="591">
                  <c:v>10791.65</c:v>
                </c:pt>
                <c:pt idx="592">
                  <c:v>10880.1</c:v>
                </c:pt>
                <c:pt idx="593">
                  <c:v>10835.3</c:v>
                </c:pt>
                <c:pt idx="594">
                  <c:v>10806.65</c:v>
                </c:pt>
                <c:pt idx="595">
                  <c:v>10792.5</c:v>
                </c:pt>
                <c:pt idx="596">
                  <c:v>10863.5</c:v>
                </c:pt>
                <c:pt idx="597">
                  <c:v>10987.45</c:v>
                </c:pt>
                <c:pt idx="598">
                  <c:v>11053</c:v>
                </c:pt>
                <c:pt idx="599">
                  <c:v>11058.2</c:v>
                </c:pt>
                <c:pt idx="600">
                  <c:v>11035.4</c:v>
                </c:pt>
                <c:pt idx="601">
                  <c:v>11168.05</c:v>
                </c:pt>
                <c:pt idx="602">
                  <c:v>11301.2</c:v>
                </c:pt>
                <c:pt idx="603">
                  <c:v>11341.7</c:v>
                </c:pt>
                <c:pt idx="604">
                  <c:v>11343.25</c:v>
                </c:pt>
                <c:pt idx="605">
                  <c:v>11426.85</c:v>
                </c:pt>
                <c:pt idx="606">
                  <c:v>11462.2</c:v>
                </c:pt>
                <c:pt idx="607">
                  <c:v>11532.4</c:v>
                </c:pt>
                <c:pt idx="608">
                  <c:v>11521.05</c:v>
                </c:pt>
                <c:pt idx="609">
                  <c:v>11456.9</c:v>
                </c:pt>
                <c:pt idx="610">
                  <c:v>11354.25</c:v>
                </c:pt>
                <c:pt idx="611">
                  <c:v>11483.25</c:v>
                </c:pt>
                <c:pt idx="612">
                  <c:v>11445.05</c:v>
                </c:pt>
                <c:pt idx="613">
                  <c:v>11570</c:v>
                </c:pt>
                <c:pt idx="614">
                  <c:v>11623.9</c:v>
                </c:pt>
                <c:pt idx="615">
                  <c:v>11669.15</c:v>
                </c:pt>
                <c:pt idx="616">
                  <c:v>11713.2</c:v>
                </c:pt>
                <c:pt idx="617">
                  <c:v>11643.95</c:v>
                </c:pt>
                <c:pt idx="618">
                  <c:v>11598</c:v>
                </c:pt>
                <c:pt idx="619">
                  <c:v>11665.95</c:v>
                </c:pt>
                <c:pt idx="620">
                  <c:v>11604.5</c:v>
                </c:pt>
                <c:pt idx="621">
                  <c:v>11671.95</c:v>
                </c:pt>
                <c:pt idx="622">
                  <c:v>11584.3</c:v>
                </c:pt>
                <c:pt idx="623">
                  <c:v>11596.7</c:v>
                </c:pt>
                <c:pt idx="624">
                  <c:v>11643.45</c:v>
                </c:pt>
                <c:pt idx="625">
                  <c:v>11690.35</c:v>
                </c:pt>
                <c:pt idx="626">
                  <c:v>11787.15</c:v>
                </c:pt>
                <c:pt idx="627">
                  <c:v>11752.8</c:v>
                </c:pt>
                <c:pt idx="628">
                  <c:v>11594.45</c:v>
                </c:pt>
                <c:pt idx="629">
                  <c:v>11575.95</c:v>
                </c:pt>
                <c:pt idx="630">
                  <c:v>11726.15</c:v>
                </c:pt>
                <c:pt idx="631">
                  <c:v>11641.8</c:v>
                </c:pt>
                <c:pt idx="632">
                  <c:v>11754.65</c:v>
                </c:pt>
                <c:pt idx="633">
                  <c:v>11748.15</c:v>
                </c:pt>
                <c:pt idx="634">
                  <c:v>11724.75</c:v>
                </c:pt>
                <c:pt idx="635">
                  <c:v>11712.25</c:v>
                </c:pt>
                <c:pt idx="636">
                  <c:v>11598.25</c:v>
                </c:pt>
                <c:pt idx="637">
                  <c:v>11497.9</c:v>
                </c:pt>
                <c:pt idx="638">
                  <c:v>11359.45</c:v>
                </c:pt>
                <c:pt idx="639">
                  <c:v>11301.8</c:v>
                </c:pt>
                <c:pt idx="640">
                  <c:v>11278.9</c:v>
                </c:pt>
                <c:pt idx="641">
                  <c:v>11148.2</c:v>
                </c:pt>
                <c:pt idx="642">
                  <c:v>11222.05</c:v>
                </c:pt>
                <c:pt idx="643">
                  <c:v>11157</c:v>
                </c:pt>
                <c:pt idx="644">
                  <c:v>11257.1</c:v>
                </c:pt>
                <c:pt idx="645">
                  <c:v>11407.15</c:v>
                </c:pt>
                <c:pt idx="646">
                  <c:v>11828.25</c:v>
                </c:pt>
                <c:pt idx="647">
                  <c:v>11709.1</c:v>
                </c:pt>
                <c:pt idx="648">
                  <c:v>11737.9</c:v>
                </c:pt>
                <c:pt idx="649">
                  <c:v>11657.05</c:v>
                </c:pt>
                <c:pt idx="650">
                  <c:v>11844.1</c:v>
                </c:pt>
                <c:pt idx="651">
                  <c:v>11924.75</c:v>
                </c:pt>
                <c:pt idx="652">
                  <c:v>11928.75</c:v>
                </c:pt>
                <c:pt idx="653">
                  <c:v>11861.1</c:v>
                </c:pt>
                <c:pt idx="654">
                  <c:v>11945.9</c:v>
                </c:pt>
                <c:pt idx="655">
                  <c:v>11922.8</c:v>
                </c:pt>
                <c:pt idx="656">
                  <c:v>12088.55</c:v>
                </c:pt>
                <c:pt idx="657">
                  <c:v>12021.65</c:v>
                </c:pt>
                <c:pt idx="658">
                  <c:v>11843.75</c:v>
                </c:pt>
                <c:pt idx="659">
                  <c:v>11870.65</c:v>
                </c:pt>
                <c:pt idx="660">
                  <c:v>11922.7</c:v>
                </c:pt>
                <c:pt idx="661">
                  <c:v>11965.6</c:v>
                </c:pt>
                <c:pt idx="662">
                  <c:v>11906.2</c:v>
                </c:pt>
                <c:pt idx="663">
                  <c:v>11914.05</c:v>
                </c:pt>
                <c:pt idx="664">
                  <c:v>11823.3</c:v>
                </c:pt>
                <c:pt idx="665">
                  <c:v>11672.15</c:v>
                </c:pt>
                <c:pt idx="666">
                  <c:v>11691.5</c:v>
                </c:pt>
                <c:pt idx="667">
                  <c:v>11691.45</c:v>
                </c:pt>
                <c:pt idx="668">
                  <c:v>11831.75</c:v>
                </c:pt>
                <c:pt idx="669">
                  <c:v>11724.1</c:v>
                </c:pt>
                <c:pt idx="670">
                  <c:v>11699.65</c:v>
                </c:pt>
                <c:pt idx="671">
                  <c:v>11796.45</c:v>
                </c:pt>
                <c:pt idx="672">
                  <c:v>11847.55</c:v>
                </c:pt>
                <c:pt idx="673">
                  <c:v>11841.55</c:v>
                </c:pt>
                <c:pt idx="674">
                  <c:v>11788.85</c:v>
                </c:pt>
                <c:pt idx="675">
                  <c:v>11865.6</c:v>
                </c:pt>
                <c:pt idx="676">
                  <c:v>11910.3</c:v>
                </c:pt>
                <c:pt idx="677">
                  <c:v>11916.75</c:v>
                </c:pt>
                <c:pt idx="678">
                  <c:v>11946.75</c:v>
                </c:pt>
                <c:pt idx="679">
                  <c:v>11811.15</c:v>
                </c:pt>
                <c:pt idx="680">
                  <c:v>11558.6</c:v>
                </c:pt>
                <c:pt idx="681">
                  <c:v>11555.9</c:v>
                </c:pt>
                <c:pt idx="682">
                  <c:v>11498.9</c:v>
                </c:pt>
                <c:pt idx="683">
                  <c:v>11582.9</c:v>
                </c:pt>
                <c:pt idx="684">
                  <c:v>11552.5</c:v>
                </c:pt>
                <c:pt idx="685">
                  <c:v>11588.35</c:v>
                </c:pt>
                <c:pt idx="686">
                  <c:v>11662.6</c:v>
                </c:pt>
                <c:pt idx="687">
                  <c:v>11687.5</c:v>
                </c:pt>
                <c:pt idx="688">
                  <c:v>11596.9</c:v>
                </c:pt>
                <c:pt idx="689">
                  <c:v>11419.25</c:v>
                </c:pt>
                <c:pt idx="690">
                  <c:v>11346.2</c:v>
                </c:pt>
                <c:pt idx="691">
                  <c:v>11331.05</c:v>
                </c:pt>
                <c:pt idx="692">
                  <c:v>11271.3</c:v>
                </c:pt>
                <c:pt idx="693">
                  <c:v>11252.15</c:v>
                </c:pt>
                <c:pt idx="694">
                  <c:v>11284.3</c:v>
                </c:pt>
                <c:pt idx="695">
                  <c:v>11189.2</c:v>
                </c:pt>
                <c:pt idx="696">
                  <c:v>11085.4</c:v>
                </c:pt>
                <c:pt idx="697">
                  <c:v>11118</c:v>
                </c:pt>
                <c:pt idx="698">
                  <c:v>10980</c:v>
                </c:pt>
                <c:pt idx="699">
                  <c:v>10997.35</c:v>
                </c:pt>
                <c:pt idx="700">
                  <c:v>10862.6</c:v>
                </c:pt>
                <c:pt idx="701">
                  <c:v>10948.25</c:v>
                </c:pt>
                <c:pt idx="702">
                  <c:v>10855.5</c:v>
                </c:pt>
                <c:pt idx="703">
                  <c:v>11032.45</c:v>
                </c:pt>
                <c:pt idx="704">
                  <c:v>11109.65</c:v>
                </c:pt>
                <c:pt idx="705">
                  <c:v>10925.85</c:v>
                </c:pt>
                <c:pt idx="706">
                  <c:v>11029.4</c:v>
                </c:pt>
                <c:pt idx="707">
                  <c:v>11047.8</c:v>
                </c:pt>
                <c:pt idx="708">
                  <c:v>11053.9</c:v>
                </c:pt>
                <c:pt idx="709">
                  <c:v>11017</c:v>
                </c:pt>
                <c:pt idx="710">
                  <c:v>10918.7</c:v>
                </c:pt>
                <c:pt idx="711">
                  <c:v>10741.35</c:v>
                </c:pt>
                <c:pt idx="712">
                  <c:v>10829.35</c:v>
                </c:pt>
                <c:pt idx="713">
                  <c:v>11057.85</c:v>
                </c:pt>
                <c:pt idx="714">
                  <c:v>11105.35</c:v>
                </c:pt>
                <c:pt idx="715">
                  <c:v>11046.1</c:v>
                </c:pt>
                <c:pt idx="716">
                  <c:v>10948.3</c:v>
                </c:pt>
                <c:pt idx="717">
                  <c:v>11023.25</c:v>
                </c:pt>
                <c:pt idx="718">
                  <c:v>10797.9</c:v>
                </c:pt>
                <c:pt idx="719">
                  <c:v>10844.65</c:v>
                </c:pt>
                <c:pt idx="720">
                  <c:v>10847.9</c:v>
                </c:pt>
                <c:pt idx="721">
                  <c:v>10946.2</c:v>
                </c:pt>
                <c:pt idx="722">
                  <c:v>11003.05</c:v>
                </c:pt>
                <c:pt idx="723">
                  <c:v>11035.7</c:v>
                </c:pt>
                <c:pt idx="724">
                  <c:v>10982.8</c:v>
                </c:pt>
                <c:pt idx="725">
                  <c:v>11075.9</c:v>
                </c:pt>
                <c:pt idx="726">
                  <c:v>11003.5</c:v>
                </c:pt>
                <c:pt idx="727">
                  <c:v>10817.6</c:v>
                </c:pt>
                <c:pt idx="728">
                  <c:v>10840.65</c:v>
                </c:pt>
                <c:pt idx="729">
                  <c:v>10704.8</c:v>
                </c:pt>
                <c:pt idx="730">
                  <c:v>11274.2</c:v>
                </c:pt>
                <c:pt idx="731">
                  <c:v>11600.2</c:v>
                </c:pt>
                <c:pt idx="732">
                  <c:v>11588.2</c:v>
                </c:pt>
                <c:pt idx="733">
                  <c:v>11440.2</c:v>
                </c:pt>
                <c:pt idx="734">
                  <c:v>11571.2</c:v>
                </c:pt>
                <c:pt idx="735">
                  <c:v>11512.4</c:v>
                </c:pt>
                <c:pt idx="736">
                  <c:v>11474.45</c:v>
                </c:pt>
                <c:pt idx="737">
                  <c:v>11359.9</c:v>
                </c:pt>
                <c:pt idx="738">
                  <c:v>11314</c:v>
                </c:pt>
                <c:pt idx="739">
                  <c:v>11174.75</c:v>
                </c:pt>
                <c:pt idx="740">
                  <c:v>11126.4</c:v>
                </c:pt>
                <c:pt idx="741">
                  <c:v>11313.3</c:v>
                </c:pt>
                <c:pt idx="742">
                  <c:v>11234.55</c:v>
                </c:pt>
                <c:pt idx="743">
                  <c:v>11305.05</c:v>
                </c:pt>
                <c:pt idx="744">
                  <c:v>11341.15</c:v>
                </c:pt>
                <c:pt idx="745">
                  <c:v>11428.3</c:v>
                </c:pt>
                <c:pt idx="746">
                  <c:v>11464</c:v>
                </c:pt>
                <c:pt idx="747">
                  <c:v>11586.35</c:v>
                </c:pt>
                <c:pt idx="748">
                  <c:v>11661.85</c:v>
                </c:pt>
                <c:pt idx="749">
                  <c:v>11588.35</c:v>
                </c:pt>
                <c:pt idx="750">
                  <c:v>11604.1</c:v>
                </c:pt>
                <c:pt idx="751">
                  <c:v>11582.6</c:v>
                </c:pt>
                <c:pt idx="752">
                  <c:v>11583.9</c:v>
                </c:pt>
                <c:pt idx="753">
                  <c:v>11786.85</c:v>
                </c:pt>
                <c:pt idx="754">
                  <c:v>11844.1</c:v>
                </c:pt>
                <c:pt idx="755">
                  <c:v>11877.45</c:v>
                </c:pt>
                <c:pt idx="756">
                  <c:v>11890.6</c:v>
                </c:pt>
                <c:pt idx="757">
                  <c:v>11941.3</c:v>
                </c:pt>
                <c:pt idx="758">
                  <c:v>11917.2</c:v>
                </c:pt>
                <c:pt idx="759">
                  <c:v>11966.05</c:v>
                </c:pt>
                <c:pt idx="760">
                  <c:v>12012.05</c:v>
                </c:pt>
                <c:pt idx="761">
                  <c:v>11908.15</c:v>
                </c:pt>
                <c:pt idx="762">
                  <c:v>11913.45</c:v>
                </c:pt>
                <c:pt idx="763">
                  <c:v>11840.45</c:v>
                </c:pt>
                <c:pt idx="764">
                  <c:v>11872.1</c:v>
                </c:pt>
                <c:pt idx="765">
                  <c:v>11895.45</c:v>
                </c:pt>
                <c:pt idx="766">
                  <c:v>11884.5</c:v>
                </c:pt>
                <c:pt idx="767">
                  <c:v>11940.1</c:v>
                </c:pt>
                <c:pt idx="768">
                  <c:v>11999.1</c:v>
                </c:pt>
                <c:pt idx="769">
                  <c:v>11968.4</c:v>
                </c:pt>
                <c:pt idx="770">
                  <c:v>11914.4</c:v>
                </c:pt>
                <c:pt idx="771">
                  <c:v>12073.75</c:v>
                </c:pt>
                <c:pt idx="772">
                  <c:v>12037.7</c:v>
                </c:pt>
                <c:pt idx="773">
                  <c:v>12100.7</c:v>
                </c:pt>
                <c:pt idx="774">
                  <c:v>12151.15</c:v>
                </c:pt>
                <c:pt idx="775">
                  <c:v>12056.05</c:v>
                </c:pt>
                <c:pt idx="776">
                  <c:v>12048.2</c:v>
                </c:pt>
                <c:pt idx="777">
                  <c:v>11994.2</c:v>
                </c:pt>
                <c:pt idx="778">
                  <c:v>12043.2</c:v>
                </c:pt>
                <c:pt idx="779">
                  <c:v>12018.4</c:v>
                </c:pt>
                <c:pt idx="780">
                  <c:v>11921.5</c:v>
                </c:pt>
                <c:pt idx="781">
                  <c:v>11937.5</c:v>
                </c:pt>
                <c:pt idx="782">
                  <c:v>11856.8</c:v>
                </c:pt>
                <c:pt idx="783">
                  <c:v>11910.15</c:v>
                </c:pt>
                <c:pt idx="784">
                  <c:v>11971.8</c:v>
                </c:pt>
                <c:pt idx="785">
                  <c:v>12086.7</c:v>
                </c:pt>
                <c:pt idx="786">
                  <c:v>12053.95</c:v>
                </c:pt>
                <c:pt idx="787">
                  <c:v>12165</c:v>
                </c:pt>
                <c:pt idx="788">
                  <c:v>12221.65</c:v>
                </c:pt>
                <c:pt idx="789">
                  <c:v>12259.7</c:v>
                </c:pt>
                <c:pt idx="790">
                  <c:v>12271.8</c:v>
                </c:pt>
                <c:pt idx="791">
                  <c:v>12262.75</c:v>
                </c:pt>
                <c:pt idx="792">
                  <c:v>12214.55</c:v>
                </c:pt>
                <c:pt idx="793">
                  <c:v>12126.55</c:v>
                </c:pt>
                <c:pt idx="794">
                  <c:v>12245.8</c:v>
                </c:pt>
                <c:pt idx="795">
                  <c:v>12255.85</c:v>
                </c:pt>
                <c:pt idx="796">
                  <c:v>12168.45</c:v>
                </c:pt>
                <c:pt idx="797">
                  <c:v>12182.5</c:v>
                </c:pt>
                <c:pt idx="798">
                  <c:v>12282.2</c:v>
                </c:pt>
                <c:pt idx="799">
                  <c:v>12226.65</c:v>
                </c:pt>
                <c:pt idx="800">
                  <c:v>11993.05</c:v>
                </c:pt>
                <c:pt idx="801">
                  <c:v>12052.95</c:v>
                </c:pt>
                <c:pt idx="802">
                  <c:v>12025.35</c:v>
                </c:pt>
                <c:pt idx="803">
                  <c:v>12215.9</c:v>
                </c:pt>
                <c:pt idx="804">
                  <c:v>12256.8</c:v>
                </c:pt>
                <c:pt idx="805">
                  <c:v>12329.55</c:v>
                </c:pt>
                <c:pt idx="806">
                  <c:v>12362.3</c:v>
                </c:pt>
                <c:pt idx="807">
                  <c:v>12343.3</c:v>
                </c:pt>
                <c:pt idx="808">
                  <c:v>12355.5</c:v>
                </c:pt>
                <c:pt idx="809">
                  <c:v>12352.35</c:v>
                </c:pt>
                <c:pt idx="810">
                  <c:v>12224.55</c:v>
                </c:pt>
                <c:pt idx="811">
                  <c:v>12169.85</c:v>
                </c:pt>
                <c:pt idx="812">
                  <c:v>12106.9</c:v>
                </c:pt>
                <c:pt idx="813">
                  <c:v>12180.35</c:v>
                </c:pt>
                <c:pt idx="814">
                  <c:v>12248.25</c:v>
                </c:pt>
                <c:pt idx="815">
                  <c:v>12119</c:v>
                </c:pt>
                <c:pt idx="816">
                  <c:v>12055.8</c:v>
                </c:pt>
                <c:pt idx="817">
                  <c:v>12129.5</c:v>
                </c:pt>
                <c:pt idx="818">
                  <c:v>12035.8</c:v>
                </c:pt>
                <c:pt idx="819">
                  <c:v>11962.1</c:v>
                </c:pt>
                <c:pt idx="820">
                  <c:v>11707.9</c:v>
                </c:pt>
                <c:pt idx="821">
                  <c:v>11979.65</c:v>
                </c:pt>
                <c:pt idx="822">
                  <c:v>12089.15</c:v>
                </c:pt>
                <c:pt idx="823">
                  <c:v>12137.95</c:v>
                </c:pt>
                <c:pt idx="824">
                  <c:v>12098.35</c:v>
                </c:pt>
                <c:pt idx="825">
                  <c:v>12031.5</c:v>
                </c:pt>
                <c:pt idx="826">
                  <c:v>12107.9</c:v>
                </c:pt>
                <c:pt idx="827">
                  <c:v>12201.2</c:v>
                </c:pt>
                <c:pt idx="828">
                  <c:v>12174.65</c:v>
                </c:pt>
                <c:pt idx="829">
                  <c:v>12113.45</c:v>
                </c:pt>
                <c:pt idx="830">
                  <c:v>12045.8</c:v>
                </c:pt>
                <c:pt idx="831">
                  <c:v>11992.5</c:v>
                </c:pt>
                <c:pt idx="832">
                  <c:v>12125.9</c:v>
                </c:pt>
                <c:pt idx="833">
                  <c:v>12080.85</c:v>
                </c:pt>
                <c:pt idx="834">
                  <c:v>11829.4</c:v>
                </c:pt>
                <c:pt idx="835">
                  <c:v>11797.9</c:v>
                </c:pt>
                <c:pt idx="836">
                  <c:v>11678.5</c:v>
                </c:pt>
                <c:pt idx="837">
                  <c:v>11633.3</c:v>
                </c:pt>
                <c:pt idx="838">
                  <c:v>11201.75</c:v>
                </c:pt>
                <c:pt idx="839">
                  <c:v>11132.75</c:v>
                </c:pt>
                <c:pt idx="840">
                  <c:v>11303.3</c:v>
                </c:pt>
                <c:pt idx="841">
                  <c:v>11251</c:v>
                </c:pt>
                <c:pt idx="842">
                  <c:v>11269</c:v>
                </c:pt>
                <c:pt idx="843">
                  <c:v>10989.45</c:v>
                </c:pt>
                <c:pt idx="844">
                  <c:v>10451.45</c:v>
                </c:pt>
                <c:pt idx="845">
                  <c:v>10458.4</c:v>
                </c:pt>
                <c:pt idx="846">
                  <c:v>9590.15</c:v>
                </c:pt>
                <c:pt idx="847">
                  <c:v>9955.2</c:v>
                </c:pt>
                <c:pt idx="848">
                  <c:v>9197.4</c:v>
                </c:pt>
                <c:pt idx="849">
                  <c:v>8967.05</c:v>
                </c:pt>
                <c:pt idx="850">
                  <c:v>8468.8</c:v>
                </c:pt>
                <c:pt idx="851">
                  <c:v>8263.45</c:v>
                </c:pt>
                <c:pt idx="852">
                  <c:v>8745.45</c:v>
                </c:pt>
                <c:pt idx="853">
                  <c:v>7610.25</c:v>
                </c:pt>
                <c:pt idx="854">
                  <c:v>7801.05</c:v>
                </c:pt>
                <c:pt idx="855">
                  <c:v>8317.85</c:v>
                </c:pt>
                <c:pt idx="856">
                  <c:v>8641.45</c:v>
                </c:pt>
                <c:pt idx="857">
                  <c:v>8660.25</c:v>
                </c:pt>
                <c:pt idx="858">
                  <c:v>8281.1</c:v>
                </c:pt>
                <c:pt idx="859">
                  <c:v>8597.75</c:v>
                </c:pt>
                <c:pt idx="860">
                  <c:v>8253.8</c:v>
                </c:pt>
                <c:pt idx="861">
                  <c:v>8083.8</c:v>
                </c:pt>
                <c:pt idx="862">
                  <c:v>8792.2</c:v>
                </c:pt>
                <c:pt idx="863">
                  <c:v>8748.75</c:v>
                </c:pt>
                <c:pt idx="864">
                  <c:v>9111.9</c:v>
                </c:pt>
                <c:pt idx="865">
                  <c:v>8993.85</c:v>
                </c:pt>
                <c:pt idx="866">
                  <c:v>8925.3</c:v>
                </c:pt>
                <c:pt idx="867">
                  <c:v>8992.8</c:v>
                </c:pt>
                <c:pt idx="868">
                  <c:v>9266.75</c:v>
                </c:pt>
                <c:pt idx="869">
                  <c:v>9261.85</c:v>
                </c:pt>
                <c:pt idx="870">
                  <c:v>8981.45</c:v>
                </c:pt>
                <c:pt idx="871">
                  <c:v>9187.3</c:v>
                </c:pt>
                <c:pt idx="872">
                  <c:v>9313.9</c:v>
                </c:pt>
                <c:pt idx="873">
                  <c:v>9154.4</c:v>
                </c:pt>
                <c:pt idx="874">
                  <c:v>9282.3</c:v>
                </c:pt>
                <c:pt idx="875">
                  <c:v>9380.9</c:v>
                </c:pt>
                <c:pt idx="876">
                  <c:v>9553.35</c:v>
                </c:pt>
                <c:pt idx="877">
                  <c:v>9859.9</c:v>
                </c:pt>
                <c:pt idx="878">
                  <c:v>9293.5</c:v>
                </c:pt>
                <c:pt idx="879">
                  <c:v>9205.6</c:v>
                </c:pt>
                <c:pt idx="880">
                  <c:v>9270.9</c:v>
                </c:pt>
                <c:pt idx="881">
                  <c:v>9199.05</c:v>
                </c:pt>
                <c:pt idx="882">
                  <c:v>9251.5</c:v>
                </c:pt>
                <c:pt idx="883">
                  <c:v>9239.2</c:v>
                </c:pt>
                <c:pt idx="884">
                  <c:v>9196.55</c:v>
                </c:pt>
                <c:pt idx="885">
                  <c:v>9383.55</c:v>
                </c:pt>
                <c:pt idx="886">
                  <c:v>9142.75</c:v>
                </c:pt>
                <c:pt idx="887">
                  <c:v>9136.85</c:v>
                </c:pt>
                <c:pt idx="888">
                  <c:v>8823.25</c:v>
                </c:pt>
                <c:pt idx="889">
                  <c:v>8879.1</c:v>
                </c:pt>
                <c:pt idx="890">
                  <c:v>9066.55</c:v>
                </c:pt>
                <c:pt idx="891">
                  <c:v>9106.25</c:v>
                </c:pt>
                <c:pt idx="892">
                  <c:v>9039.25</c:v>
                </c:pt>
                <c:pt idx="893">
                  <c:v>9029.05</c:v>
                </c:pt>
                <c:pt idx="894">
                  <c:v>9314.95</c:v>
                </c:pt>
                <c:pt idx="895">
                  <c:v>9490.1</c:v>
                </c:pt>
                <c:pt idx="896">
                  <c:v>9580.3</c:v>
                </c:pt>
                <c:pt idx="897">
                  <c:v>9826.15</c:v>
                </c:pt>
                <c:pt idx="898">
                  <c:v>9979.1</c:v>
                </c:pt>
                <c:pt idx="899">
                  <c:v>10061.55</c:v>
                </c:pt>
                <c:pt idx="900">
                  <c:v>10029.1</c:v>
                </c:pt>
                <c:pt idx="901">
                  <c:v>10142.15</c:v>
                </c:pt>
                <c:pt idx="902">
                  <c:v>10167.45</c:v>
                </c:pt>
                <c:pt idx="903">
                  <c:v>10046.65</c:v>
                </c:pt>
                <c:pt idx="904">
                  <c:v>10116.15</c:v>
                </c:pt>
                <c:pt idx="905">
                  <c:v>9902</c:v>
                </c:pt>
                <c:pt idx="906">
                  <c:v>9972.9</c:v>
                </c:pt>
                <c:pt idx="907">
                  <c:v>9813.7</c:v>
                </c:pt>
                <c:pt idx="908">
                  <c:v>9914</c:v>
                </c:pt>
                <c:pt idx="909">
                  <c:v>9881.15</c:v>
                </c:pt>
                <c:pt idx="910">
                  <c:v>10091.65</c:v>
                </c:pt>
                <c:pt idx="911">
                  <c:v>10244.4</c:v>
                </c:pt>
                <c:pt idx="912">
                  <c:v>10311.2</c:v>
                </c:pt>
                <c:pt idx="913">
                  <c:v>10471</c:v>
                </c:pt>
                <c:pt idx="914">
                  <c:v>10305.3</c:v>
                </c:pt>
                <c:pt idx="915">
                  <c:v>10288.9</c:v>
                </c:pt>
                <c:pt idx="916">
                  <c:v>10383</c:v>
                </c:pt>
                <c:pt idx="917">
                  <c:v>10312.4</c:v>
                </c:pt>
                <c:pt idx="918">
                  <c:v>10302.1</c:v>
                </c:pt>
                <c:pt idx="919">
                  <c:v>10430.05</c:v>
                </c:pt>
                <c:pt idx="920">
                  <c:v>10551.7</c:v>
                </c:pt>
                <c:pt idx="921">
                  <c:v>10607.35</c:v>
                </c:pt>
                <c:pt idx="922">
                  <c:v>10763.65</c:v>
                </c:pt>
                <c:pt idx="923">
                  <c:v>10799.65</c:v>
                </c:pt>
                <c:pt idx="924">
                  <c:v>10705.75</c:v>
                </c:pt>
                <c:pt idx="925">
                  <c:v>10813.45</c:v>
                </c:pt>
                <c:pt idx="926">
                  <c:v>10768.05</c:v>
                </c:pt>
                <c:pt idx="927">
                  <c:v>10802.7</c:v>
                </c:pt>
                <c:pt idx="928">
                  <c:v>10607.35</c:v>
                </c:pt>
                <c:pt idx="929">
                  <c:v>10618.2</c:v>
                </c:pt>
                <c:pt idx="930">
                  <c:v>10739.95</c:v>
                </c:pt>
                <c:pt idx="931">
                  <c:v>10901.7</c:v>
                </c:pt>
                <c:pt idx="932">
                  <c:v>11022.2</c:v>
                </c:pt>
                <c:pt idx="933">
                  <c:v>11162.25</c:v>
                </c:pt>
                <c:pt idx="934">
                  <c:v>11132.6</c:v>
                </c:pt>
                <c:pt idx="935">
                  <c:v>11215.45</c:v>
                </c:pt>
                <c:pt idx="936">
                  <c:v>11194.15</c:v>
                </c:pt>
                <c:pt idx="937">
                  <c:v>11131.8</c:v>
                </c:pt>
                <c:pt idx="938">
                  <c:v>11300.55</c:v>
                </c:pt>
                <c:pt idx="939">
                  <c:v>11202.85</c:v>
                </c:pt>
                <c:pt idx="940">
                  <c:v>11102.15</c:v>
                </c:pt>
                <c:pt idx="941">
                  <c:v>11073.45</c:v>
                </c:pt>
                <c:pt idx="942">
                  <c:v>10891.6</c:v>
                </c:pt>
                <c:pt idx="943">
                  <c:v>11095.25</c:v>
                </c:pt>
                <c:pt idx="944">
                  <c:v>11101.65</c:v>
                </c:pt>
                <c:pt idx="945">
                  <c:v>11200.15</c:v>
                </c:pt>
                <c:pt idx="946">
                  <c:v>11214.05</c:v>
                </c:pt>
                <c:pt idx="947">
                  <c:v>11270.15</c:v>
                </c:pt>
                <c:pt idx="948">
                  <c:v>11322.5</c:v>
                </c:pt>
                <c:pt idx="949">
                  <c:v>11308.4</c:v>
                </c:pt>
                <c:pt idx="950">
                  <c:v>11300.45</c:v>
                </c:pt>
                <c:pt idx="951">
                  <c:v>11178.4</c:v>
                </c:pt>
                <c:pt idx="952">
                  <c:v>11247.1</c:v>
                </c:pt>
                <c:pt idx="953">
                  <c:v>11385.35</c:v>
                </c:pt>
                <c:pt idx="954">
                  <c:v>11408.4</c:v>
                </c:pt>
                <c:pt idx="955">
                  <c:v>11312.2</c:v>
                </c:pt>
                <c:pt idx="956">
                  <c:v>11371.6</c:v>
                </c:pt>
                <c:pt idx="957">
                  <c:v>11466.45</c:v>
                </c:pt>
                <c:pt idx="958">
                  <c:v>11472.25</c:v>
                </c:pt>
                <c:pt idx="959">
                  <c:v>11549.6</c:v>
                </c:pt>
                <c:pt idx="960">
                  <c:v>11559.25</c:v>
                </c:pt>
                <c:pt idx="961">
                  <c:v>11647.6</c:v>
                </c:pt>
                <c:pt idx="962">
                  <c:v>11387.5</c:v>
                </c:pt>
                <c:pt idx="963">
                  <c:v>11470.25</c:v>
                </c:pt>
                <c:pt idx="964">
                  <c:v>11535</c:v>
                </c:pt>
                <c:pt idx="965">
                  <c:v>11527.45</c:v>
                </c:pt>
                <c:pt idx="966">
                  <c:v>11333.85</c:v>
                </c:pt>
                <c:pt idx="967">
                  <c:v>11355.05</c:v>
                </c:pt>
                <c:pt idx="968">
                  <c:v>11317.35</c:v>
                </c:pt>
                <c:pt idx="969">
                  <c:v>11278</c:v>
                </c:pt>
                <c:pt idx="970">
                  <c:v>11449.25</c:v>
                </c:pt>
                <c:pt idx="971">
                  <c:v>11464.45</c:v>
                </c:pt>
                <c:pt idx="972">
                  <c:v>11440.05</c:v>
                </c:pt>
                <c:pt idx="973">
                  <c:v>11521.8</c:v>
                </c:pt>
                <c:pt idx="974">
                  <c:v>11604.55</c:v>
                </c:pt>
                <c:pt idx="975">
                  <c:v>11516.1</c:v>
                </c:pt>
                <c:pt idx="976">
                  <c:v>11504.95</c:v>
                </c:pt>
                <c:pt idx="977">
                  <c:v>11250.55</c:v>
                </c:pt>
                <c:pt idx="978">
                  <c:v>11153.65</c:v>
                </c:pt>
                <c:pt idx="979">
                  <c:v>11131.85</c:v>
                </c:pt>
                <c:pt idx="980">
                  <c:v>10805.55</c:v>
                </c:pt>
                <c:pt idx="981">
                  <c:v>11050.25</c:v>
                </c:pt>
                <c:pt idx="982">
                  <c:v>11227.55</c:v>
                </c:pt>
                <c:pt idx="983">
                  <c:v>11222.4</c:v>
                </c:pt>
                <c:pt idx="984">
                  <c:v>11247.55</c:v>
                </c:pt>
                <c:pt idx="985">
                  <c:v>11416.95</c:v>
                </c:pt>
                <c:pt idx="986">
                  <c:v>11503.35</c:v>
                </c:pt>
                <c:pt idx="987">
                  <c:v>11662.4</c:v>
                </c:pt>
                <c:pt idx="988">
                  <c:v>11738.85</c:v>
                </c:pt>
                <c:pt idx="989">
                  <c:v>11834.6</c:v>
                </c:pt>
                <c:pt idx="990">
                  <c:v>11914.2</c:v>
                </c:pt>
                <c:pt idx="991">
                  <c:v>11930.95</c:v>
                </c:pt>
                <c:pt idx="992">
                  <c:v>11934.5</c:v>
                </c:pt>
                <c:pt idx="993">
                  <c:v>11971.05</c:v>
                </c:pt>
                <c:pt idx="994">
                  <c:v>11680.35</c:v>
                </c:pt>
                <c:pt idx="995">
                  <c:v>11762.45</c:v>
                </c:pt>
                <c:pt idx="996">
                  <c:v>11873.05</c:v>
                </c:pt>
                <c:pt idx="997">
                  <c:v>11896.8</c:v>
                </c:pt>
                <c:pt idx="998">
                  <c:v>11937.65</c:v>
                </c:pt>
                <c:pt idx="999">
                  <c:v>11896.45</c:v>
                </c:pt>
                <c:pt idx="1000">
                  <c:v>11930.35</c:v>
                </c:pt>
                <c:pt idx="1001">
                  <c:v>11767.75</c:v>
                </c:pt>
                <c:pt idx="1002">
                  <c:v>11889.4</c:v>
                </c:pt>
                <c:pt idx="1003">
                  <c:v>11729.6</c:v>
                </c:pt>
                <c:pt idx="1004">
                  <c:v>11670.8</c:v>
                </c:pt>
                <c:pt idx="1005">
                  <c:v>11642.4</c:v>
                </c:pt>
                <c:pt idx="1006">
                  <c:v>11669.15</c:v>
                </c:pt>
                <c:pt idx="1007">
                  <c:v>11813.5</c:v>
                </c:pt>
                <c:pt idx="1008">
                  <c:v>11908.5</c:v>
                </c:pt>
                <c:pt idx="1009">
                  <c:v>12120.3</c:v>
                </c:pt>
                <c:pt idx="1010">
                  <c:v>12263.55</c:v>
                </c:pt>
                <c:pt idx="1011">
                  <c:v>12461.05</c:v>
                </c:pt>
                <c:pt idx="1012">
                  <c:v>12631.1</c:v>
                </c:pt>
                <c:pt idx="1013">
                  <c:v>12749.15</c:v>
                </c:pt>
                <c:pt idx="1014">
                  <c:v>12690.8</c:v>
                </c:pt>
                <c:pt idx="1015">
                  <c:v>12719.95</c:v>
                </c:pt>
                <c:pt idx="1016">
                  <c:v>12874.2</c:v>
                </c:pt>
                <c:pt idx="1017">
                  <c:v>12938.25</c:v>
                </c:pt>
                <c:pt idx="1018">
                  <c:v>12771.7</c:v>
                </c:pt>
                <c:pt idx="1019">
                  <c:v>12859.05</c:v>
                </c:pt>
                <c:pt idx="1020">
                  <c:v>12926.45</c:v>
                </c:pt>
                <c:pt idx="1021">
                  <c:v>13055.15</c:v>
                </c:pt>
                <c:pt idx="1022">
                  <c:v>12858.4</c:v>
                </c:pt>
                <c:pt idx="1023">
                  <c:v>12987</c:v>
                </c:pt>
                <c:pt idx="1024">
                  <c:v>12968.95</c:v>
                </c:pt>
                <c:pt idx="1025">
                  <c:v>13109.05</c:v>
                </c:pt>
                <c:pt idx="1026">
                  <c:v>13113.75</c:v>
                </c:pt>
                <c:pt idx="1027">
                  <c:v>13133.9</c:v>
                </c:pt>
                <c:pt idx="1028">
                  <c:v>13258.55</c:v>
                </c:pt>
                <c:pt idx="1029">
                  <c:v>13355.75</c:v>
                </c:pt>
                <c:pt idx="1030">
                  <c:v>13392.95</c:v>
                </c:pt>
                <c:pt idx="1031">
                  <c:v>13529.1</c:v>
                </c:pt>
                <c:pt idx="1032">
                  <c:v>13478.3</c:v>
                </c:pt>
                <c:pt idx="1033">
                  <c:v>13513.85</c:v>
                </c:pt>
                <c:pt idx="1034">
                  <c:v>13558.15</c:v>
                </c:pt>
                <c:pt idx="1035">
                  <c:v>13567.85</c:v>
                </c:pt>
                <c:pt idx="1036">
                  <c:v>13682.7</c:v>
                </c:pt>
                <c:pt idx="1037">
                  <c:v>13740.7</c:v>
                </c:pt>
                <c:pt idx="1038">
                  <c:v>13760.55</c:v>
                </c:pt>
                <c:pt idx="1039">
                  <c:v>13328.4</c:v>
                </c:pt>
                <c:pt idx="1040">
                  <c:v>13466.3</c:v>
                </c:pt>
                <c:pt idx="1041">
                  <c:v>13601.1</c:v>
                </c:pt>
                <c:pt idx="1042">
                  <c:v>13749.25</c:v>
                </c:pt>
                <c:pt idx="1043">
                  <c:v>13873.2</c:v>
                </c:pt>
                <c:pt idx="1044">
                  <c:v>13932.6</c:v>
                </c:pt>
                <c:pt idx="1045">
                  <c:v>13981.95</c:v>
                </c:pt>
                <c:pt idx="1046">
                  <c:v>13981.75</c:v>
                </c:pt>
                <c:pt idx="1047">
                  <c:v>14018.5</c:v>
                </c:pt>
                <c:pt idx="1048">
                  <c:v>14132.9</c:v>
                </c:pt>
                <c:pt idx="1049">
                  <c:v>14199.5</c:v>
                </c:pt>
                <c:pt idx="1050">
                  <c:v>14146.25</c:v>
                </c:pt>
                <c:pt idx="1051">
                  <c:v>14137.35</c:v>
                </c:pt>
                <c:pt idx="1052">
                  <c:v>14347.25</c:v>
                </c:pt>
                <c:pt idx="1053">
                  <c:v>14484.75</c:v>
                </c:pt>
                <c:pt idx="1054">
                  <c:v>14563.45</c:v>
                </c:pt>
                <c:pt idx="1055">
                  <c:v>14564.85</c:v>
                </c:pt>
                <c:pt idx="1056">
                  <c:v>14595.6</c:v>
                </c:pt>
                <c:pt idx="1057">
                  <c:v>14433.7</c:v>
                </c:pt>
                <c:pt idx="1058">
                  <c:v>14281.3</c:v>
                </c:pt>
                <c:pt idx="1059">
                  <c:v>14521.15</c:v>
                </c:pt>
                <c:pt idx="1060">
                  <c:v>14644.7</c:v>
                </c:pt>
                <c:pt idx="1061">
                  <c:v>14590.35</c:v>
                </c:pt>
                <c:pt idx="1062">
                  <c:v>14371.9</c:v>
                </c:pt>
                <c:pt idx="1063">
                  <c:v>14238.9</c:v>
                </c:pt>
                <c:pt idx="1064">
                  <c:v>13967.5</c:v>
                </c:pt>
                <c:pt idx="1065">
                  <c:v>13817.55</c:v>
                </c:pt>
                <c:pt idx="1066">
                  <c:v>13634.6</c:v>
                </c:pt>
                <c:pt idx="1067">
                  <c:v>14281.2</c:v>
                </c:pt>
                <c:pt idx="1068">
                  <c:v>14647.85</c:v>
                </c:pt>
                <c:pt idx="1069">
                  <c:v>14789.95</c:v>
                </c:pt>
                <c:pt idx="1070">
                  <c:v>14895.65</c:v>
                </c:pt>
                <c:pt idx="1071">
                  <c:v>14924.25</c:v>
                </c:pt>
                <c:pt idx="1072">
                  <c:v>15115.8</c:v>
                </c:pt>
                <c:pt idx="1073">
                  <c:v>15109.3</c:v>
                </c:pt>
                <c:pt idx="1074">
                  <c:v>15106.5</c:v>
                </c:pt>
                <c:pt idx="1075">
                  <c:v>15173.3</c:v>
                </c:pt>
                <c:pt idx="1076">
                  <c:v>15163.3</c:v>
                </c:pt>
                <c:pt idx="1077">
                  <c:v>15314.7</c:v>
                </c:pt>
                <c:pt idx="1078">
                  <c:v>15313.45</c:v>
                </c:pt>
                <c:pt idx="1079">
                  <c:v>15208.9</c:v>
                </c:pt>
                <c:pt idx="1080">
                  <c:v>15118.95</c:v>
                </c:pt>
                <c:pt idx="1081">
                  <c:v>14981.75</c:v>
                </c:pt>
                <c:pt idx="1082">
                  <c:v>14675.7</c:v>
                </c:pt>
                <c:pt idx="1083">
                  <c:v>14707.8</c:v>
                </c:pt>
                <c:pt idx="1084">
                  <c:v>14982</c:v>
                </c:pt>
                <c:pt idx="1085">
                  <c:v>15097.35</c:v>
                </c:pt>
                <c:pt idx="1086">
                  <c:v>14529.15</c:v>
                </c:pt>
                <c:pt idx="1087">
                  <c:v>14761.55</c:v>
                </c:pt>
                <c:pt idx="1088">
                  <c:v>14919.1</c:v>
                </c:pt>
                <c:pt idx="1089">
                  <c:v>15245.6</c:v>
                </c:pt>
                <c:pt idx="1090">
                  <c:v>15080.75</c:v>
                </c:pt>
                <c:pt idx="1091">
                  <c:v>14938.1</c:v>
                </c:pt>
                <c:pt idx="1092">
                  <c:v>14956.2</c:v>
                </c:pt>
                <c:pt idx="1093">
                  <c:v>15098.4</c:v>
                </c:pt>
                <c:pt idx="1094">
                  <c:v>15174.8</c:v>
                </c:pt>
                <c:pt idx="1095">
                  <c:v>15030.95</c:v>
                </c:pt>
                <c:pt idx="1096">
                  <c:v>14929.5</c:v>
                </c:pt>
                <c:pt idx="1097">
                  <c:v>14910.45</c:v>
                </c:pt>
                <c:pt idx="1098">
                  <c:v>14721.3</c:v>
                </c:pt>
                <c:pt idx="1099">
                  <c:v>14557.85</c:v>
                </c:pt>
                <c:pt idx="1100">
                  <c:v>14744</c:v>
                </c:pt>
                <c:pt idx="1101">
                  <c:v>14736.4</c:v>
                </c:pt>
                <c:pt idx="1102">
                  <c:v>14814.75</c:v>
                </c:pt>
                <c:pt idx="1103">
                  <c:v>14549.4</c:v>
                </c:pt>
                <c:pt idx="1104">
                  <c:v>14324.9</c:v>
                </c:pt>
                <c:pt idx="1105">
                  <c:v>14507.3</c:v>
                </c:pt>
                <c:pt idx="1106">
                  <c:v>14845.1</c:v>
                </c:pt>
                <c:pt idx="1107">
                  <c:v>14690.7</c:v>
                </c:pt>
                <c:pt idx="1108">
                  <c:v>14867.35</c:v>
                </c:pt>
                <c:pt idx="1109">
                  <c:v>14637.8</c:v>
                </c:pt>
                <c:pt idx="1110">
                  <c:v>14683.5</c:v>
                </c:pt>
                <c:pt idx="1111">
                  <c:v>14819.05</c:v>
                </c:pt>
                <c:pt idx="1112">
                  <c:v>14873.8</c:v>
                </c:pt>
                <c:pt idx="1113">
                  <c:v>14834.85</c:v>
                </c:pt>
                <c:pt idx="1114">
                  <c:v>14310.8</c:v>
                </c:pt>
                <c:pt idx="1115">
                  <c:v>14504.8</c:v>
                </c:pt>
                <c:pt idx="1116">
                  <c:v>14581.45</c:v>
                </c:pt>
                <c:pt idx="1117">
                  <c:v>14617.85</c:v>
                </c:pt>
                <c:pt idx="1118">
                  <c:v>14359.45</c:v>
                </c:pt>
                <c:pt idx="1119">
                  <c:v>14296.4</c:v>
                </c:pt>
                <c:pt idx="1120">
                  <c:v>14406.15</c:v>
                </c:pt>
                <c:pt idx="1121">
                  <c:v>14341.35</c:v>
                </c:pt>
                <c:pt idx="1122">
                  <c:v>14485</c:v>
                </c:pt>
                <c:pt idx="1123">
                  <c:v>14653.05</c:v>
                </c:pt>
                <c:pt idx="1124">
                  <c:v>14864.55</c:v>
                </c:pt>
                <c:pt idx="1125">
                  <c:v>14894.9</c:v>
                </c:pt>
                <c:pt idx="1126">
                  <c:v>14631.1</c:v>
                </c:pt>
                <c:pt idx="1127">
                  <c:v>14634.15</c:v>
                </c:pt>
                <c:pt idx="1128">
                  <c:v>14496.5</c:v>
                </c:pt>
                <c:pt idx="1129">
                  <c:v>14617.85</c:v>
                </c:pt>
                <c:pt idx="1130">
                  <c:v>14724.8</c:v>
                </c:pt>
                <c:pt idx="1131">
                  <c:v>14823.15</c:v>
                </c:pt>
                <c:pt idx="1132">
                  <c:v>14942.35</c:v>
                </c:pt>
                <c:pt idx="1133">
                  <c:v>14850.75</c:v>
                </c:pt>
                <c:pt idx="1134">
                  <c:v>14696.5</c:v>
                </c:pt>
                <c:pt idx="1135">
                  <c:v>14677.8</c:v>
                </c:pt>
                <c:pt idx="1136">
                  <c:v>14923.15</c:v>
                </c:pt>
                <c:pt idx="1137">
                  <c:v>15108.1</c:v>
                </c:pt>
                <c:pt idx="1138">
                  <c:v>15030.15</c:v>
                </c:pt>
                <c:pt idx="1139">
                  <c:v>14906.05</c:v>
                </c:pt>
                <c:pt idx="1140">
                  <c:v>15175.3</c:v>
                </c:pt>
                <c:pt idx="1141">
                  <c:v>15197.7</c:v>
                </c:pt>
                <c:pt idx="1142">
                  <c:v>15208.45</c:v>
                </c:pt>
                <c:pt idx="1143">
                  <c:v>15301.45</c:v>
                </c:pt>
                <c:pt idx="1144">
                  <c:v>15337.85</c:v>
                </c:pt>
                <c:pt idx="1145">
                  <c:v>15435.65</c:v>
                </c:pt>
                <c:pt idx="1146">
                  <c:v>15582.8</c:v>
                </c:pt>
                <c:pt idx="1147">
                  <c:v>15574.85</c:v>
                </c:pt>
                <c:pt idx="1148">
                  <c:v>15576.2</c:v>
                </c:pt>
                <c:pt idx="1149">
                  <c:v>15690.35</c:v>
                </c:pt>
                <c:pt idx="1150">
                  <c:v>15670.25</c:v>
                </c:pt>
                <c:pt idx="1151">
                  <c:v>15751.65</c:v>
                </c:pt>
                <c:pt idx="1152">
                  <c:v>15740.1</c:v>
                </c:pt>
                <c:pt idx="1153">
                  <c:v>15635.35</c:v>
                </c:pt>
                <c:pt idx="1154">
                  <c:v>15737.75</c:v>
                </c:pt>
                <c:pt idx="1155">
                  <c:v>15799.35</c:v>
                </c:pt>
                <c:pt idx="1156">
                  <c:v>15811.85</c:v>
                </c:pt>
                <c:pt idx="1157">
                  <c:v>15869.25</c:v>
                </c:pt>
                <c:pt idx="1158">
                  <c:v>15767.55</c:v>
                </c:pt>
                <c:pt idx="1159">
                  <c:v>15691.4</c:v>
                </c:pt>
                <c:pt idx="1160">
                  <c:v>15683.35</c:v>
                </c:pt>
                <c:pt idx="1161">
                  <c:v>15746.5</c:v>
                </c:pt>
                <c:pt idx="1162">
                  <c:v>15772.75</c:v>
                </c:pt>
                <c:pt idx="1163">
                  <c:v>15686.95</c:v>
                </c:pt>
                <c:pt idx="1164">
                  <c:v>15790.45</c:v>
                </c:pt>
                <c:pt idx="1165">
                  <c:v>15860.35</c:v>
                </c:pt>
                <c:pt idx="1166">
                  <c:v>15814.7</c:v>
                </c:pt>
                <c:pt idx="1167">
                  <c:v>15748.45</c:v>
                </c:pt>
                <c:pt idx="1168">
                  <c:v>15721.5</c:v>
                </c:pt>
                <c:pt idx="1169">
                  <c:v>15680</c:v>
                </c:pt>
                <c:pt idx="1170">
                  <c:v>15722.2</c:v>
                </c:pt>
                <c:pt idx="1171">
                  <c:v>15834.35</c:v>
                </c:pt>
                <c:pt idx="1172">
                  <c:v>15818.25</c:v>
                </c:pt>
                <c:pt idx="1173">
                  <c:v>15879.65</c:v>
                </c:pt>
                <c:pt idx="1174">
                  <c:v>15727.9</c:v>
                </c:pt>
                <c:pt idx="1175">
                  <c:v>15689.8</c:v>
                </c:pt>
                <c:pt idx="1176">
                  <c:v>15692.6</c:v>
                </c:pt>
                <c:pt idx="1177">
                  <c:v>15812.35</c:v>
                </c:pt>
                <c:pt idx="1178">
                  <c:v>15853.95</c:v>
                </c:pt>
                <c:pt idx="1179">
                  <c:v>15924.2</c:v>
                </c:pt>
                <c:pt idx="1180">
                  <c:v>15923.4</c:v>
                </c:pt>
                <c:pt idx="1181">
                  <c:v>15752.4</c:v>
                </c:pt>
                <c:pt idx="1182">
                  <c:v>15632.1</c:v>
                </c:pt>
                <c:pt idx="1183">
                  <c:v>15824.05</c:v>
                </c:pt>
                <c:pt idx="1184">
                  <c:v>15856.05</c:v>
                </c:pt>
                <c:pt idx="1185">
                  <c:v>15824.45</c:v>
                </c:pt>
                <c:pt idx="1186">
                  <c:v>15746.45</c:v>
                </c:pt>
                <c:pt idx="1187">
                  <c:v>15709.4</c:v>
                </c:pt>
                <c:pt idx="1188">
                  <c:v>15778.45</c:v>
                </c:pt>
                <c:pt idx="1189">
                  <c:v>15763.05</c:v>
                </c:pt>
                <c:pt idx="1190">
                  <c:v>15885.15</c:v>
                </c:pt>
                <c:pt idx="1191">
                  <c:v>16130.75</c:v>
                </c:pt>
                <c:pt idx="1192">
                  <c:v>16258.8</c:v>
                </c:pt>
                <c:pt idx="1193">
                  <c:v>16294.6</c:v>
                </c:pt>
                <c:pt idx="1194">
                  <c:v>16238.2</c:v>
                </c:pt>
                <c:pt idx="1195">
                  <c:v>16258.25</c:v>
                </c:pt>
                <c:pt idx="1196">
                  <c:v>16280.1</c:v>
                </c:pt>
                <c:pt idx="1197">
                  <c:v>16282.25</c:v>
                </c:pt>
                <c:pt idx="1198">
                  <c:v>16364.4</c:v>
                </c:pt>
                <c:pt idx="1199">
                  <c:v>16529.1</c:v>
                </c:pt>
                <c:pt idx="1200">
                  <c:v>16563.05</c:v>
                </c:pt>
                <c:pt idx="1201">
                  <c:v>16614.6</c:v>
                </c:pt>
                <c:pt idx="1202">
                  <c:v>16568.85</c:v>
                </c:pt>
                <c:pt idx="1203">
                  <c:v>16450.5</c:v>
                </c:pt>
                <c:pt idx="1204">
                  <c:v>16496.45</c:v>
                </c:pt>
                <c:pt idx="1205">
                  <c:v>16624.6</c:v>
                </c:pt>
                <c:pt idx="1206">
                  <c:v>16634.65</c:v>
                </c:pt>
                <c:pt idx="1207">
                  <c:v>16636.9</c:v>
                </c:pt>
                <c:pt idx="1208">
                  <c:v>16705.2</c:v>
                </c:pt>
                <c:pt idx="1209">
                  <c:v>16931.05</c:v>
                </c:pt>
                <c:pt idx="1210">
                  <c:v>17132.2</c:v>
                </c:pt>
                <c:pt idx="1211">
                  <c:v>17076.25</c:v>
                </c:pt>
                <c:pt idx="1212">
                  <c:v>17234.15</c:v>
                </c:pt>
                <c:pt idx="1213">
                  <c:v>17323.6</c:v>
                </c:pt>
                <c:pt idx="1214">
                  <c:v>17377.8</c:v>
                </c:pt>
                <c:pt idx="1215">
                  <c:v>17362.1</c:v>
                </c:pt>
                <c:pt idx="1216">
                  <c:v>17353.5</c:v>
                </c:pt>
                <c:pt idx="1217">
                  <c:v>17369.25</c:v>
                </c:pt>
                <c:pt idx="1218">
                  <c:v>17355.3</c:v>
                </c:pt>
                <c:pt idx="1219">
                  <c:v>17380</c:v>
                </c:pt>
                <c:pt idx="1220">
                  <c:v>17519.45</c:v>
                </c:pt>
                <c:pt idx="1221">
                  <c:v>17629.5</c:v>
                </c:pt>
                <c:pt idx="1222">
                  <c:v>17585.15</c:v>
                </c:pt>
                <c:pt idx="1223">
                  <c:v>17396.9</c:v>
                </c:pt>
                <c:pt idx="1224">
                  <c:v>17562</c:v>
                </c:pt>
                <c:pt idx="1225">
                  <c:v>17546.65</c:v>
                </c:pt>
                <c:pt idx="1226">
                  <c:v>17822.95</c:v>
                </c:pt>
                <c:pt idx="1227">
                  <c:v>17853.2</c:v>
                </c:pt>
                <c:pt idx="1228">
                  <c:v>17855.1</c:v>
                </c:pt>
                <c:pt idx="1229">
                  <c:v>17748.6</c:v>
                </c:pt>
                <c:pt idx="1230">
                  <c:v>17711.3</c:v>
                </c:pt>
                <c:pt idx="1231">
                  <c:v>17618.15</c:v>
                </c:pt>
                <c:pt idx="1232">
                  <c:v>17532.05</c:v>
                </c:pt>
                <c:pt idx="1233">
                  <c:v>17691.25</c:v>
                </c:pt>
                <c:pt idx="1234">
                  <c:v>17822.3</c:v>
                </c:pt>
                <c:pt idx="1235">
                  <c:v>17646</c:v>
                </c:pt>
                <c:pt idx="1236">
                  <c:v>17790.35</c:v>
                </c:pt>
                <c:pt idx="1237">
                  <c:v>17895.2</c:v>
                </c:pt>
                <c:pt idx="1238">
                  <c:v>17945.95</c:v>
                </c:pt>
                <c:pt idx="1239">
                  <c:v>17991.95</c:v>
                </c:pt>
                <c:pt idx="1240">
                  <c:v>18161.75</c:v>
                </c:pt>
                <c:pt idx="1241">
                  <c:v>18338.55</c:v>
                </c:pt>
                <c:pt idx="1242">
                  <c:v>18477.05</c:v>
                </c:pt>
                <c:pt idx="1243">
                  <c:v>18418.75</c:v>
                </c:pt>
                <c:pt idx="1244">
                  <c:v>18266.6</c:v>
                </c:pt>
                <c:pt idx="1245">
                  <c:v>18178.1</c:v>
                </c:pt>
                <c:pt idx="1246">
                  <c:v>18114.9</c:v>
                </c:pt>
                <c:pt idx="1247">
                  <c:v>18125.4</c:v>
                </c:pt>
                <c:pt idx="1248">
                  <c:v>18268.4</c:v>
                </c:pt>
                <c:pt idx="1249">
                  <c:v>18210.95</c:v>
                </c:pt>
                <c:pt idx="1250">
                  <c:v>17857.25</c:v>
                </c:pt>
                <c:pt idx="1251">
                  <c:v>17671.65</c:v>
                </c:pt>
                <c:pt idx="1252">
                  <c:v>17929.65</c:v>
                </c:pt>
                <c:pt idx="1253">
                  <c:v>17888.95</c:v>
                </c:pt>
                <c:pt idx="1254">
                  <c:v>17829.2</c:v>
                </c:pt>
                <c:pt idx="1255">
                  <c:v>17916.8</c:v>
                </c:pt>
                <c:pt idx="1256">
                  <c:v>18068.55</c:v>
                </c:pt>
                <c:pt idx="1257">
                  <c:v>18044.25</c:v>
                </c:pt>
                <c:pt idx="1258">
                  <c:v>18017.2</c:v>
                </c:pt>
                <c:pt idx="1259">
                  <c:v>17873.6</c:v>
                </c:pt>
                <c:pt idx="1260">
                  <c:v>18102.75</c:v>
                </c:pt>
                <c:pt idx="1261">
                  <c:v>18109.45</c:v>
                </c:pt>
                <c:pt idx="1262">
                  <c:v>17999.2</c:v>
                </c:pt>
                <c:pt idx="1263">
                  <c:v>17898.65</c:v>
                </c:pt>
                <c:pt idx="1264">
                  <c:v>17764.8</c:v>
                </c:pt>
                <c:pt idx="1265">
                  <c:v>17416.55</c:v>
                </c:pt>
                <c:pt idx="1266">
                  <c:v>17503.35</c:v>
                </c:pt>
                <c:pt idx="1267">
                  <c:v>17415.05</c:v>
                </c:pt>
                <c:pt idx="1268">
                  <c:v>17536.25</c:v>
                </c:pt>
                <c:pt idx="1269">
                  <c:v>17026.45</c:v>
                </c:pt>
                <c:pt idx="1270">
                  <c:v>17053.95</c:v>
                </c:pt>
                <c:pt idx="1271">
                  <c:v>16983.2</c:v>
                </c:pt>
                <c:pt idx="1272">
                  <c:v>17166.9</c:v>
                </c:pt>
                <c:pt idx="1273">
                  <c:v>17401.65</c:v>
                </c:pt>
                <c:pt idx="1274">
                  <c:v>17196.7</c:v>
                </c:pt>
                <c:pt idx="1275">
                  <c:v>16912.25</c:v>
                </c:pt>
                <c:pt idx="1276">
                  <c:v>17176.7</c:v>
                </c:pt>
                <c:pt idx="1277">
                  <c:v>17469.75</c:v>
                </c:pt>
                <c:pt idx="1278">
                  <c:v>17516.85</c:v>
                </c:pt>
                <c:pt idx="1279">
                  <c:v>17511.3</c:v>
                </c:pt>
                <c:pt idx="1280">
                  <c:v>17368.25</c:v>
                </c:pt>
                <c:pt idx="1281">
                  <c:v>17324.9</c:v>
                </c:pt>
                <c:pt idx="1282">
                  <c:v>17221.4</c:v>
                </c:pt>
                <c:pt idx="1283">
                  <c:v>17248.4</c:v>
                </c:pt>
                <c:pt idx="1284">
                  <c:v>16985.2</c:v>
                </c:pt>
                <c:pt idx="1285">
                  <c:v>16614.2</c:v>
                </c:pt>
                <c:pt idx="1286">
                  <c:v>16770.85</c:v>
                </c:pt>
                <c:pt idx="1287">
                  <c:v>16955.45</c:v>
                </c:pt>
                <c:pt idx="1288">
                  <c:v>17072.6</c:v>
                </c:pt>
                <c:pt idx="1289">
                  <c:v>17003.75</c:v>
                </c:pt>
                <c:pt idx="1290">
                  <c:v>17086.25</c:v>
                </c:pt>
                <c:pt idx="1291">
                  <c:v>17233.25</c:v>
                </c:pt>
                <c:pt idx="1292">
                  <c:v>17213.6</c:v>
                </c:pt>
                <c:pt idx="1293">
                  <c:v>17203.95</c:v>
                </c:pt>
                <c:pt idx="1294">
                  <c:v>17354.05</c:v>
                </c:pt>
                <c:pt idx="1295">
                  <c:v>17625.7</c:v>
                </c:pt>
                <c:pt idx="1296">
                  <c:v>17805.25</c:v>
                </c:pt>
                <c:pt idx="1297">
                  <c:v>17925.25</c:v>
                </c:pt>
                <c:pt idx="1298">
                  <c:v>17745.9</c:v>
                </c:pt>
                <c:pt idx="1299">
                  <c:v>17812.7</c:v>
                </c:pt>
                <c:pt idx="1300">
                  <c:v>18003.3</c:v>
                </c:pt>
                <c:pt idx="1301">
                  <c:v>18055.75</c:v>
                </c:pt>
                <c:pt idx="1302">
                  <c:v>18212.35</c:v>
                </c:pt>
                <c:pt idx="1303">
                  <c:v>18257.8</c:v>
                </c:pt>
                <c:pt idx="1304">
                  <c:v>18255.75</c:v>
                </c:pt>
                <c:pt idx="1305">
                  <c:v>18308.1</c:v>
                </c:pt>
                <c:pt idx="1306">
                  <c:v>18113.05</c:v>
                </c:pt>
                <c:pt idx="1307">
                  <c:v>17938.4</c:v>
                </c:pt>
                <c:pt idx="1308">
                  <c:v>17757</c:v>
                </c:pt>
                <c:pt idx="1309">
                  <c:v>17617.15</c:v>
                </c:pt>
                <c:pt idx="1310">
                  <c:v>17149.1</c:v>
                </c:pt>
                <c:pt idx="1311">
                  <c:v>17277.95</c:v>
                </c:pt>
                <c:pt idx="1312">
                  <c:v>17110.15</c:v>
                </c:pt>
                <c:pt idx="1313">
                  <c:v>17101.95</c:v>
                </c:pt>
                <c:pt idx="1314">
                  <c:v>17339.85</c:v>
                </c:pt>
                <c:pt idx="1315">
                  <c:v>17576.85</c:v>
                </c:pt>
                <c:pt idx="1316">
                  <c:v>17780</c:v>
                </c:pt>
                <c:pt idx="1317">
                  <c:v>17560.2</c:v>
                </c:pt>
                <c:pt idx="1318">
                  <c:v>17516.3</c:v>
                </c:pt>
                <c:pt idx="1319">
                  <c:v>17213.6</c:v>
                </c:pt>
                <c:pt idx="1320">
                  <c:v>17266.75</c:v>
                </c:pt>
                <c:pt idx="1321">
                  <c:v>17463.8</c:v>
                </c:pt>
                <c:pt idx="1322">
                  <c:v>17605.85</c:v>
                </c:pt>
                <c:pt idx="1323">
                  <c:v>17374.75</c:v>
                </c:pt>
                <c:pt idx="1324">
                  <c:v>16842.8</c:v>
                </c:pt>
                <c:pt idx="1325">
                  <c:v>17352.45</c:v>
                </c:pt>
                <c:pt idx="1326">
                  <c:v>17322.2</c:v>
                </c:pt>
                <c:pt idx="1327">
                  <c:v>17304.6</c:v>
                </c:pt>
                <c:pt idx="1328">
                  <c:v>17276.3</c:v>
                </c:pt>
                <c:pt idx="1329">
                  <c:v>17206.65</c:v>
                </c:pt>
                <c:pt idx="1330">
                  <c:v>17092.2</c:v>
                </c:pt>
                <c:pt idx="1331">
                  <c:v>17063.25</c:v>
                </c:pt>
                <c:pt idx="1332">
                  <c:v>16247.95</c:v>
                </c:pt>
                <c:pt idx="1333">
                  <c:v>16658.4</c:v>
                </c:pt>
                <c:pt idx="1334">
                  <c:v>16793.9</c:v>
                </c:pt>
                <c:pt idx="1335">
                  <c:v>16605.95</c:v>
                </c:pt>
                <c:pt idx="1336">
                  <c:v>16498.05</c:v>
                </c:pt>
                <c:pt idx="1337">
                  <c:v>16245.35</c:v>
                </c:pt>
                <c:pt idx="1338">
                  <c:v>15863.15</c:v>
                </c:pt>
                <c:pt idx="1339">
                  <c:v>16013.45</c:v>
                </c:pt>
                <c:pt idx="1340">
                  <c:v>16345.35</c:v>
                </c:pt>
                <c:pt idx="1341">
                  <c:v>16594.9</c:v>
                </c:pt>
                <c:pt idx="1342">
                  <c:v>16630.45</c:v>
                </c:pt>
                <c:pt idx="1343">
                  <c:v>16871.3</c:v>
                </c:pt>
                <c:pt idx="1344">
                  <c:v>16663</c:v>
                </c:pt>
                <c:pt idx="1345">
                  <c:v>16975.35</c:v>
                </c:pt>
                <c:pt idx="1346">
                  <c:v>17287.05</c:v>
                </c:pt>
                <c:pt idx="1347">
                  <c:v>17117.6</c:v>
                </c:pt>
                <c:pt idx="1348">
                  <c:v>17315.5</c:v>
                </c:pt>
                <c:pt idx="1349">
                  <c:v>17245.65</c:v>
                </c:pt>
                <c:pt idx="1350">
                  <c:v>17222.75</c:v>
                </c:pt>
                <c:pt idx="1351">
                  <c:v>17153</c:v>
                </c:pt>
                <c:pt idx="1352">
                  <c:v>17222</c:v>
                </c:pt>
                <c:pt idx="1353">
                  <c:v>17325.3</c:v>
                </c:pt>
                <c:pt idx="1354">
                  <c:v>17498.25</c:v>
                </c:pt>
                <c:pt idx="1355">
                  <c:v>17464.75</c:v>
                </c:pt>
                <c:pt idx="1356">
                  <c:v>17670.45</c:v>
                </c:pt>
                <c:pt idx="1357">
                  <c:v>18053.4</c:v>
                </c:pt>
                <c:pt idx="1358">
                  <c:v>17957.4</c:v>
                </c:pt>
                <c:pt idx="1359">
                  <c:v>17807.65</c:v>
                </c:pt>
                <c:pt idx="1360">
                  <c:v>17639.55</c:v>
                </c:pt>
                <c:pt idx="1361">
                  <c:v>17784.35</c:v>
                </c:pt>
                <c:pt idx="1362">
                  <c:v>17674.95</c:v>
                </c:pt>
                <c:pt idx="1363">
                  <c:v>17530.3</c:v>
                </c:pt>
                <c:pt idx="1364">
                  <c:v>17475.65</c:v>
                </c:pt>
                <c:pt idx="1365">
                  <c:v>17173.65</c:v>
                </c:pt>
                <c:pt idx="1366">
                  <c:v>16958.65</c:v>
                </c:pt>
                <c:pt idx="1367">
                  <c:v>17136.55</c:v>
                </c:pt>
                <c:pt idx="1368">
                  <c:v>17392.6</c:v>
                </c:pt>
                <c:pt idx="1369">
                  <c:v>17171.95</c:v>
                </c:pt>
                <c:pt idx="1370">
                  <c:v>16953.95</c:v>
                </c:pt>
                <c:pt idx="1371">
                  <c:v>17200.8</c:v>
                </c:pt>
                <c:pt idx="1372">
                  <c:v>17038.4</c:v>
                </c:pt>
                <c:pt idx="1373">
                  <c:v>17245.05</c:v>
                </c:pt>
                <c:pt idx="1374">
                  <c:v>17102.55</c:v>
                </c:pt>
                <c:pt idx="1375">
                  <c:v>17069.1</c:v>
                </c:pt>
                <c:pt idx="1376">
                  <c:v>16677.6</c:v>
                </c:pt>
                <c:pt idx="1377">
                  <c:v>16682.65</c:v>
                </c:pt>
                <c:pt idx="1378">
                  <c:v>16411.25</c:v>
                </c:pt>
                <c:pt idx="1379">
                  <c:v>16301.85</c:v>
                </c:pt>
                <c:pt idx="1380">
                  <c:v>16240.05</c:v>
                </c:pt>
                <c:pt idx="1381">
                  <c:v>16167.1</c:v>
                </c:pt>
                <c:pt idx="1382">
                  <c:v>15808</c:v>
                </c:pt>
                <c:pt idx="1383">
                  <c:v>15782.15</c:v>
                </c:pt>
                <c:pt idx="1384">
                  <c:v>15842.3</c:v>
                </c:pt>
                <c:pt idx="1385">
                  <c:v>16259.3</c:v>
                </c:pt>
                <c:pt idx="1386">
                  <c:v>16240.3</c:v>
                </c:pt>
                <c:pt idx="1387">
                  <c:v>15809.4</c:v>
                </c:pt>
                <c:pt idx="1388">
                  <c:v>16266.15</c:v>
                </c:pt>
                <c:pt idx="1389">
                  <c:v>16214.7</c:v>
                </c:pt>
                <c:pt idx="1390">
                  <c:v>16125.15</c:v>
                </c:pt>
                <c:pt idx="1391">
                  <c:v>16025.8</c:v>
                </c:pt>
                <c:pt idx="1392">
                  <c:v>16170.15</c:v>
                </c:pt>
                <c:pt idx="1393">
                  <c:v>16352.45</c:v>
                </c:pt>
                <c:pt idx="1394">
                  <c:v>16661.4</c:v>
                </c:pt>
                <c:pt idx="1395">
                  <c:v>16584.55</c:v>
                </c:pt>
                <c:pt idx="1396">
                  <c:v>16522.75</c:v>
                </c:pt>
                <c:pt idx="1397">
                  <c:v>16628</c:v>
                </c:pt>
                <c:pt idx="1398">
                  <c:v>16584.3</c:v>
                </c:pt>
                <c:pt idx="1399">
                  <c:v>16569.55</c:v>
                </c:pt>
                <c:pt idx="1400">
                  <c:v>16416.35</c:v>
                </c:pt>
                <c:pt idx="1401">
                  <c:v>16356.25</c:v>
                </c:pt>
                <c:pt idx="1402">
                  <c:v>16478.1</c:v>
                </c:pt>
                <c:pt idx="1403">
                  <c:v>16201.8</c:v>
                </c:pt>
                <c:pt idx="1404">
                  <c:v>15774.4</c:v>
                </c:pt>
                <c:pt idx="1405">
                  <c:v>15732.1</c:v>
                </c:pt>
                <c:pt idx="1406">
                  <c:v>15692.15</c:v>
                </c:pt>
                <c:pt idx="1407">
                  <c:v>15360.6</c:v>
                </c:pt>
                <c:pt idx="1408">
                  <c:v>15293.5</c:v>
                </c:pt>
                <c:pt idx="1409">
                  <c:v>15350.15</c:v>
                </c:pt>
                <c:pt idx="1410">
                  <c:v>15638.8</c:v>
                </c:pt>
                <c:pt idx="1411">
                  <c:v>15413.3</c:v>
                </c:pt>
                <c:pt idx="1412">
                  <c:v>15556.65</c:v>
                </c:pt>
                <c:pt idx="1413">
                  <c:v>15699.25</c:v>
                </c:pt>
                <c:pt idx="1414">
                  <c:v>15832.05</c:v>
                </c:pt>
                <c:pt idx="1415">
                  <c:v>15850.2</c:v>
                </c:pt>
                <c:pt idx="1416">
                  <c:v>15799.1</c:v>
                </c:pt>
                <c:pt idx="1417">
                  <c:v>15780.25</c:v>
                </c:pt>
                <c:pt idx="1418">
                  <c:v>15752.05</c:v>
                </c:pt>
                <c:pt idx="1419">
                  <c:v>15835.35</c:v>
                </c:pt>
                <c:pt idx="1420">
                  <c:v>15810.85</c:v>
                </c:pt>
                <c:pt idx="1421">
                  <c:v>15989.8</c:v>
                </c:pt>
                <c:pt idx="1422">
                  <c:v>16132.9</c:v>
                </c:pt>
                <c:pt idx="1423">
                  <c:v>16220.6</c:v>
                </c:pt>
                <c:pt idx="1424">
                  <c:v>16216</c:v>
                </c:pt>
                <c:pt idx="1425">
                  <c:v>16058.3</c:v>
                </c:pt>
                <c:pt idx="1426">
                  <c:v>15966.65</c:v>
                </c:pt>
                <c:pt idx="1427">
                  <c:v>15938.65</c:v>
                </c:pt>
                <c:pt idx="1428">
                  <c:v>16049.2</c:v>
                </c:pt>
                <c:pt idx="1429">
                  <c:v>16278.5</c:v>
                </c:pt>
                <c:pt idx="1430">
                  <c:v>16340.55</c:v>
                </c:pt>
                <c:pt idx="1431">
                  <c:v>16520.85</c:v>
                </c:pt>
                <c:pt idx="1432">
                  <c:v>16605.25</c:v>
                </c:pt>
                <c:pt idx="1433">
                  <c:v>16719.45</c:v>
                </c:pt>
                <c:pt idx="1434">
                  <c:v>16631</c:v>
                </c:pt>
                <c:pt idx="1435">
                  <c:v>16483.85</c:v>
                </c:pt>
                <c:pt idx="1436">
                  <c:v>16641.8</c:v>
                </c:pt>
                <c:pt idx="1437">
                  <c:v>16929.6</c:v>
                </c:pt>
                <c:pt idx="1438">
                  <c:v>17158.25</c:v>
                </c:pt>
                <c:pt idx="1439">
                  <c:v>17340.05</c:v>
                </c:pt>
                <c:pt idx="1440">
                  <c:v>17345.45</c:v>
                </c:pt>
                <c:pt idx="1441">
                  <c:v>17388.15</c:v>
                </c:pt>
                <c:pt idx="1442">
                  <c:v>17382</c:v>
                </c:pt>
                <c:pt idx="1443">
                  <c:v>17397.5</c:v>
                </c:pt>
                <c:pt idx="1444">
                  <c:v>17525.1</c:v>
                </c:pt>
                <c:pt idx="1445">
                  <c:v>17534.75</c:v>
                </c:pt>
                <c:pt idx="1446">
                  <c:v>17659</c:v>
                </c:pt>
                <c:pt idx="1447">
                  <c:v>17698.15</c:v>
                </c:pt>
                <c:pt idx="1448">
                  <c:v>17825.25</c:v>
                </c:pt>
                <c:pt idx="1449">
                  <c:v>17944.25</c:v>
                </c:pt>
                <c:pt idx="1450">
                  <c:v>17956.5</c:v>
                </c:pt>
                <c:pt idx="1451">
                  <c:v>17758.45</c:v>
                </c:pt>
                <c:pt idx="1452">
                  <c:v>17490.7</c:v>
                </c:pt>
                <c:pt idx="1453">
                  <c:v>17577.5</c:v>
                </c:pt>
                <c:pt idx="1454">
                  <c:v>17604.95</c:v>
                </c:pt>
                <c:pt idx="1455">
                  <c:v>17522.45</c:v>
                </c:pt>
                <c:pt idx="1456">
                  <c:v>17558.9</c:v>
                </c:pt>
                <c:pt idx="1457">
                  <c:v>17312.9</c:v>
                </c:pt>
                <c:pt idx="1458">
                  <c:v>17759.3</c:v>
                </c:pt>
                <c:pt idx="1459">
                  <c:v>17542.8</c:v>
                </c:pt>
                <c:pt idx="1460">
                  <c:v>17539.45</c:v>
                </c:pt>
                <c:pt idx="1461">
                  <c:v>17665.8</c:v>
                </c:pt>
                <c:pt idx="1462">
                  <c:v>17655.6</c:v>
                </c:pt>
                <c:pt idx="1463">
                  <c:v>17624.4</c:v>
                </c:pt>
                <c:pt idx="1464">
                  <c:v>17798.75</c:v>
                </c:pt>
                <c:pt idx="1465">
                  <c:v>17833.35</c:v>
                </c:pt>
                <c:pt idx="1466">
                  <c:v>17936.35</c:v>
                </c:pt>
                <c:pt idx="1467">
                  <c:v>18070.05</c:v>
                </c:pt>
                <c:pt idx="1468">
                  <c:v>18003.75</c:v>
                </c:pt>
                <c:pt idx="1469">
                  <c:v>17877.4</c:v>
                </c:pt>
                <c:pt idx="1470">
                  <c:v>17530.85</c:v>
                </c:pt>
                <c:pt idx="1471">
                  <c:v>17622.25</c:v>
                </c:pt>
                <c:pt idx="1472">
                  <c:v>17816.25</c:v>
                </c:pt>
                <c:pt idx="1473">
                  <c:v>17718.35</c:v>
                </c:pt>
                <c:pt idx="1474">
                  <c:v>17629.8</c:v>
                </c:pt>
                <c:pt idx="1475">
                  <c:v>17327.35</c:v>
                </c:pt>
                <c:pt idx="1476">
                  <c:v>17016.3</c:v>
                </c:pt>
                <c:pt idx="1477">
                  <c:v>17007.4</c:v>
                </c:pt>
                <c:pt idx="1478">
                  <c:v>16858.6</c:v>
                </c:pt>
                <c:pt idx="1479">
                  <c:v>16818.1</c:v>
                </c:pt>
                <c:pt idx="1480">
                  <c:v>17094.35</c:v>
                </c:pt>
                <c:pt idx="1481">
                  <c:v>16887.35</c:v>
                </c:pt>
                <c:pt idx="1482">
                  <c:v>17274.3</c:v>
                </c:pt>
                <c:pt idx="1483">
                  <c:v>17331.8</c:v>
                </c:pt>
                <c:pt idx="1484">
                  <c:v>17314.65</c:v>
                </c:pt>
                <c:pt idx="1485">
                  <c:v>17241</c:v>
                </c:pt>
                <c:pt idx="1486">
                  <c:v>16983.55</c:v>
                </c:pt>
                <c:pt idx="1487">
                  <c:v>17123.6</c:v>
                </c:pt>
                <c:pt idx="1488">
                  <c:v>17014.35</c:v>
                </c:pt>
                <c:pt idx="1489">
                  <c:v>17185.7</c:v>
                </c:pt>
                <c:pt idx="1490">
                  <c:v>17311.8</c:v>
                </c:pt>
                <c:pt idx="1491">
                  <c:v>17486.95</c:v>
                </c:pt>
                <c:pt idx="1492">
                  <c:v>17512.25</c:v>
                </c:pt>
                <c:pt idx="1493">
                  <c:v>17563.95</c:v>
                </c:pt>
                <c:pt idx="1494">
                  <c:v>17576.3</c:v>
                </c:pt>
                <c:pt idx="1495">
                  <c:v>17730.75</c:v>
                </c:pt>
                <c:pt idx="1496">
                  <c:v>17656.35</c:v>
                </c:pt>
                <c:pt idx="1497">
                  <c:v>17736.95</c:v>
                </c:pt>
                <c:pt idx="1498">
                  <c:v>17786.8</c:v>
                </c:pt>
                <c:pt idx="1499">
                  <c:v>18012.2</c:v>
                </c:pt>
                <c:pt idx="1500">
                  <c:v>18145.4</c:v>
                </c:pt>
                <c:pt idx="1501">
                  <c:v>18082.85</c:v>
                </c:pt>
                <c:pt idx="1502">
                  <c:v>18052.7</c:v>
                </c:pt>
                <c:pt idx="1503">
                  <c:v>18117.15</c:v>
                </c:pt>
                <c:pt idx="1504">
                  <c:v>18202.8</c:v>
                </c:pt>
                <c:pt idx="1505">
                  <c:v>18157</c:v>
                </c:pt>
                <c:pt idx="1506">
                  <c:v>18028.2</c:v>
                </c:pt>
                <c:pt idx="1507">
                  <c:v>18349.7</c:v>
                </c:pt>
                <c:pt idx="1508">
                  <c:v>18329.15</c:v>
                </c:pt>
                <c:pt idx="1509">
                  <c:v>18403.4</c:v>
                </c:pt>
                <c:pt idx="1510">
                  <c:v>18409.65</c:v>
                </c:pt>
                <c:pt idx="1511">
                  <c:v>18343.9</c:v>
                </c:pt>
                <c:pt idx="1512">
                  <c:v>18307.65</c:v>
                </c:pt>
                <c:pt idx="1513">
                  <c:v>18159.95</c:v>
                </c:pt>
                <c:pt idx="1514">
                  <c:v>18244.2</c:v>
                </c:pt>
                <c:pt idx="1515">
                  <c:v>18267.25</c:v>
                </c:pt>
                <c:pt idx="1516">
                  <c:v>18484.1</c:v>
                </c:pt>
                <c:pt idx="1517">
                  <c:v>18512.75</c:v>
                </c:pt>
                <c:pt idx="1518">
                  <c:v>18562.75</c:v>
                </c:pt>
                <c:pt idx="1519">
                  <c:v>18618.05</c:v>
                </c:pt>
                <c:pt idx="1520">
                  <c:v>18758.35</c:v>
                </c:pt>
                <c:pt idx="1521">
                  <c:v>18812.5</c:v>
                </c:pt>
                <c:pt idx="1522">
                  <c:v>18696.1</c:v>
                </c:pt>
                <c:pt idx="1523">
                  <c:v>18701.05</c:v>
                </c:pt>
                <c:pt idx="1524">
                  <c:v>18642.75</c:v>
                </c:pt>
                <c:pt idx="1525">
                  <c:v>18560.5</c:v>
                </c:pt>
                <c:pt idx="1526">
                  <c:v>18609.35</c:v>
                </c:pt>
                <c:pt idx="1527">
                  <c:v>18496.6</c:v>
                </c:pt>
                <c:pt idx="1528">
                  <c:v>18497.15</c:v>
                </c:pt>
                <c:pt idx="1529">
                  <c:v>18608</c:v>
                </c:pt>
                <c:pt idx="1530">
                  <c:v>18660.3</c:v>
                </c:pt>
                <c:pt idx="1531">
                  <c:v>18414.9</c:v>
                </c:pt>
                <c:pt idx="1532">
                  <c:v>18269</c:v>
                </c:pt>
                <c:pt idx="1533">
                  <c:v>18420.45</c:v>
                </c:pt>
                <c:pt idx="1534">
                  <c:v>18385.3</c:v>
                </c:pt>
                <c:pt idx="1535">
                  <c:v>18199.1</c:v>
                </c:pt>
                <c:pt idx="1536">
                  <c:v>18127.35</c:v>
                </c:pt>
                <c:pt idx="1537">
                  <c:v>17806.8</c:v>
                </c:pt>
                <c:pt idx="1538">
                  <c:v>18014.6</c:v>
                </c:pt>
                <c:pt idx="1539">
                  <c:v>18132.3</c:v>
                </c:pt>
                <c:pt idx="1540">
                  <c:v>18122.5</c:v>
                </c:pt>
                <c:pt idx="1541">
                  <c:v>18191</c:v>
                </c:pt>
                <c:pt idx="1542">
                  <c:v>18105.3</c:v>
                </c:pt>
                <c:pt idx="1543">
                  <c:v>18197.45</c:v>
                </c:pt>
                <c:pt idx="1544">
                  <c:v>18232.55</c:v>
                </c:pt>
                <c:pt idx="1545">
                  <c:v>18042.95</c:v>
                </c:pt>
                <c:pt idx="1546">
                  <c:v>17992.15</c:v>
                </c:pt>
                <c:pt idx="1547">
                  <c:v>17859.45</c:v>
                </c:pt>
                <c:pt idx="1548">
                  <c:v>18101.2</c:v>
                </c:pt>
                <c:pt idx="1549">
                  <c:v>17914.15</c:v>
                </c:pt>
                <c:pt idx="1550">
                  <c:v>17895.7</c:v>
                </c:pt>
                <c:pt idx="1551">
                  <c:v>17858.2</c:v>
                </c:pt>
                <c:pt idx="1552">
                  <c:v>17956.6</c:v>
                </c:pt>
                <c:pt idx="1553">
                  <c:v>17894.85</c:v>
                </c:pt>
                <c:pt idx="1554">
                  <c:v>18053.3</c:v>
                </c:pt>
                <c:pt idx="1555">
                  <c:v>18165.35</c:v>
                </c:pt>
                <c:pt idx="1556">
                  <c:v>18107.85</c:v>
                </c:pt>
                <c:pt idx="1557">
                  <c:v>18027.65</c:v>
                </c:pt>
                <c:pt idx="1558">
                  <c:v>18118.55</c:v>
                </c:pt>
                <c:pt idx="1559">
                  <c:v>18118.3</c:v>
                </c:pt>
                <c:pt idx="1560">
                  <c:v>17891.95</c:v>
                </c:pt>
                <c:pt idx="1561">
                  <c:v>17604.35</c:v>
                </c:pt>
                <c:pt idx="1562">
                  <c:v>17648.95</c:v>
                </c:pt>
                <c:pt idx="1563">
                  <c:v>17662.15</c:v>
                </c:pt>
                <c:pt idx="1564">
                  <c:v>17616.3</c:v>
                </c:pt>
                <c:pt idx="1565">
                  <c:v>17610.4</c:v>
                </c:pt>
                <c:pt idx="1566">
                  <c:v>17854.05</c:v>
                </c:pt>
                <c:pt idx="1567">
                  <c:v>17764.6</c:v>
                </c:pt>
                <c:pt idx="1568">
                  <c:v>17721.5</c:v>
                </c:pt>
                <c:pt idx="1569">
                  <c:v>17871.7</c:v>
                </c:pt>
                <c:pt idx="1570">
                  <c:v>17893.45</c:v>
                </c:pt>
                <c:pt idx="1571">
                  <c:v>17856.5</c:v>
                </c:pt>
                <c:pt idx="1572">
                  <c:v>17770.9</c:v>
                </c:pt>
                <c:pt idx="1573">
                  <c:v>17929.85</c:v>
                </c:pt>
                <c:pt idx="1574">
                  <c:v>18015.85</c:v>
                </c:pt>
                <c:pt idx="1575">
                  <c:v>18035.85</c:v>
                </c:pt>
                <c:pt idx="1576">
                  <c:v>17944.2</c:v>
                </c:pt>
                <c:pt idx="1577">
                  <c:v>17844.6</c:v>
                </c:pt>
                <c:pt idx="1578">
                  <c:v>17826.7</c:v>
                </c:pt>
                <c:pt idx="1579">
                  <c:v>17554.3</c:v>
                </c:pt>
                <c:pt idx="1580">
                  <c:v>17511.25</c:v>
                </c:pt>
                <c:pt idx="1581">
                  <c:v>17465.8</c:v>
                </c:pt>
                <c:pt idx="1582">
                  <c:v>17392.7</c:v>
                </c:pt>
                <c:pt idx="1583">
                  <c:v>17303.95</c:v>
                </c:pt>
                <c:pt idx="1584">
                  <c:v>17450.9</c:v>
                </c:pt>
                <c:pt idx="1585">
                  <c:v>17321.9</c:v>
                </c:pt>
                <c:pt idx="1586">
                  <c:v>17594.35</c:v>
                </c:pt>
                <c:pt idx="1587">
                  <c:v>17711.45</c:v>
                </c:pt>
                <c:pt idx="1588">
                  <c:v>17754.4</c:v>
                </c:pt>
                <c:pt idx="1589">
                  <c:v>17589.6</c:v>
                </c:pt>
                <c:pt idx="1590">
                  <c:v>17412.9</c:v>
                </c:pt>
                <c:pt idx="1591">
                  <c:v>17154.3</c:v>
                </c:pt>
                <c:pt idx="1592">
                  <c:v>17043.3</c:v>
                </c:pt>
                <c:pt idx="1593">
                  <c:v>16972.15</c:v>
                </c:pt>
                <c:pt idx="1594">
                  <c:v>16985.6</c:v>
                </c:pt>
                <c:pt idx="1595">
                  <c:v>17100.05</c:v>
                </c:pt>
                <c:pt idx="1596">
                  <c:v>16988.4</c:v>
                </c:pt>
                <c:pt idx="1597">
                  <c:v>17107.5</c:v>
                </c:pt>
                <c:pt idx="1598">
                  <c:v>17151.9</c:v>
                </c:pt>
                <c:pt idx="1599">
                  <c:v>17076.9</c:v>
                </c:pt>
                <c:pt idx="1600">
                  <c:v>16945.05</c:v>
                </c:pt>
                <c:pt idx="1601">
                  <c:v>16985.7</c:v>
                </c:pt>
                <c:pt idx="1602">
                  <c:v>16951.7</c:v>
                </c:pt>
                <c:pt idx="1603">
                  <c:v>17080.7</c:v>
                </c:pt>
                <c:pt idx="1604">
                  <c:v>17359.75</c:v>
                </c:pt>
                <c:pt idx="1605">
                  <c:v>17398.05</c:v>
                </c:pt>
                <c:pt idx="1606">
                  <c:v>17557.05</c:v>
                </c:pt>
                <c:pt idx="1607">
                  <c:v>17599.15</c:v>
                </c:pt>
                <c:pt idx="1608">
                  <c:v>17624.05</c:v>
                </c:pt>
                <c:pt idx="1609">
                  <c:v>17722.3</c:v>
                </c:pt>
                <c:pt idx="1610">
                  <c:v>17812.4</c:v>
                </c:pt>
                <c:pt idx="1611">
                  <c:v>17828</c:v>
                </c:pt>
                <c:pt idx="1612">
                  <c:v>17706.85</c:v>
                </c:pt>
                <c:pt idx="1613">
                  <c:v>17660.15</c:v>
                </c:pt>
                <c:pt idx="1614">
                  <c:v>17618.75</c:v>
                </c:pt>
                <c:pt idx="1615">
                  <c:v>17624.45</c:v>
                </c:pt>
                <c:pt idx="1616">
                  <c:v>17624.05</c:v>
                </c:pt>
                <c:pt idx="1617">
                  <c:v>17743.4</c:v>
                </c:pt>
                <c:pt idx="1618">
                  <c:v>17769.25</c:v>
                </c:pt>
                <c:pt idx="1619">
                  <c:v>17813.6</c:v>
                </c:pt>
                <c:pt idx="1620">
                  <c:v>17915.05</c:v>
                </c:pt>
                <c:pt idx="1621">
                  <c:v>18065</c:v>
                </c:pt>
                <c:pt idx="1622">
                  <c:v>18147.65</c:v>
                </c:pt>
                <c:pt idx="1623">
                  <c:v>18089.85</c:v>
                </c:pt>
                <c:pt idx="1624">
                  <c:v>18255.8</c:v>
                </c:pt>
                <c:pt idx="1625">
                  <c:v>18069</c:v>
                </c:pt>
                <c:pt idx="1626">
                  <c:v>18264.4</c:v>
                </c:pt>
                <c:pt idx="1627">
                  <c:v>18265.95</c:v>
                </c:pt>
                <c:pt idx="1628">
                  <c:v>18315.1</c:v>
                </c:pt>
                <c:pt idx="1629">
                  <c:v>18297</c:v>
                </c:pt>
                <c:pt idx="1630">
                  <c:v>18314.8</c:v>
                </c:pt>
                <c:pt idx="1631">
                  <c:v>18398.85</c:v>
                </c:pt>
                <c:pt idx="1632">
                  <c:v>18286.5</c:v>
                </c:pt>
                <c:pt idx="1633">
                  <c:v>18181.75</c:v>
                </c:pt>
                <c:pt idx="1634">
                  <c:v>18129.95</c:v>
                </c:pt>
                <c:pt idx="1635">
                  <c:v>18203.4</c:v>
                </c:pt>
                <c:pt idx="1636">
                  <c:v>18314.4</c:v>
                </c:pt>
                <c:pt idx="1637">
                  <c:v>18348</c:v>
                </c:pt>
                <c:pt idx="1638">
                  <c:v>18285.4</c:v>
                </c:pt>
                <c:pt idx="1639">
                  <c:v>18321.15</c:v>
                </c:pt>
                <c:pt idx="1640">
                  <c:v>18499.35</c:v>
                </c:pt>
                <c:pt idx="1641">
                  <c:v>18598.65</c:v>
                </c:pt>
                <c:pt idx="1642">
                  <c:v>18633.85</c:v>
                </c:pt>
                <c:pt idx="1643">
                  <c:v>18534.4</c:v>
                </c:pt>
                <c:pt idx="1644">
                  <c:v>18487.75</c:v>
                </c:pt>
                <c:pt idx="1645">
                  <c:v>18534.1</c:v>
                </c:pt>
                <c:pt idx="1646">
                  <c:v>18593.85</c:v>
                </c:pt>
                <c:pt idx="1647">
                  <c:v>18599</c:v>
                </c:pt>
                <c:pt idx="1648">
                  <c:v>18726.4</c:v>
                </c:pt>
                <c:pt idx="1649">
                  <c:v>18634.55</c:v>
                </c:pt>
                <c:pt idx="1650">
                  <c:v>18563.4</c:v>
                </c:pt>
                <c:pt idx="1651">
                  <c:v>18601.5</c:v>
                </c:pt>
                <c:pt idx="1652">
                  <c:v>18716.15</c:v>
                </c:pt>
                <c:pt idx="1653">
                  <c:v>18755.9</c:v>
                </c:pt>
                <c:pt idx="1654">
                  <c:v>18688.1</c:v>
                </c:pt>
                <c:pt idx="1655">
                  <c:v>18826</c:v>
                </c:pt>
                <c:pt idx="1656">
                  <c:v>18755.45</c:v>
                </c:pt>
                <c:pt idx="1657">
                  <c:v>18816.7</c:v>
                </c:pt>
                <c:pt idx="1658">
                  <c:v>18856.85</c:v>
                </c:pt>
                <c:pt idx="1659">
                  <c:v>18771.25</c:v>
                </c:pt>
                <c:pt idx="1660">
                  <c:v>18665.5</c:v>
                </c:pt>
                <c:pt idx="1661">
                  <c:v>18691.2</c:v>
                </c:pt>
                <c:pt idx="1662">
                  <c:v>18817.4</c:v>
                </c:pt>
                <c:pt idx="1663">
                  <c:v>18972.1</c:v>
                </c:pt>
                <c:pt idx="1664">
                  <c:v>19189.05</c:v>
                </c:pt>
                <c:pt idx="1665">
                  <c:v>19322.55</c:v>
                </c:pt>
                <c:pt idx="1666">
                  <c:v>19389</c:v>
                </c:pt>
                <c:pt idx="1667">
                  <c:v>19398.5</c:v>
                </c:pt>
                <c:pt idx="1668">
                  <c:v>19497.3</c:v>
                </c:pt>
                <c:pt idx="1669">
                  <c:v>19331.8</c:v>
                </c:pt>
                <c:pt idx="1670">
                  <c:v>19355.9</c:v>
                </c:pt>
                <c:pt idx="1671">
                  <c:v>19439.4</c:v>
                </c:pt>
                <c:pt idx="1672">
                  <c:v>19384.3</c:v>
                </c:pt>
                <c:pt idx="1673">
                  <c:v>19413.75</c:v>
                </c:pt>
                <c:pt idx="1674">
                  <c:v>19564.5</c:v>
                </c:pt>
                <c:pt idx="1675">
                  <c:v>19711.45</c:v>
                </c:pt>
                <c:pt idx="1676">
                  <c:v>19749.25</c:v>
                </c:pt>
                <c:pt idx="1677">
                  <c:v>19833.15</c:v>
                </c:pt>
                <c:pt idx="1678">
                  <c:v>19979.15</c:v>
                </c:pt>
                <c:pt idx="1679">
                  <c:v>19745</c:v>
                </c:pt>
                <c:pt idx="1680">
                  <c:v>19672.35</c:v>
                </c:pt>
                <c:pt idx="1681">
                  <c:v>19680.6</c:v>
                </c:pt>
                <c:pt idx="1682">
                  <c:v>19778.3</c:v>
                </c:pt>
                <c:pt idx="1683">
                  <c:v>19659.9</c:v>
                </c:pt>
                <c:pt idx="1684">
                  <c:v>19646.05</c:v>
                </c:pt>
                <c:pt idx="1685">
                  <c:v>19753.8</c:v>
                </c:pt>
                <c:pt idx="1686">
                  <c:v>19733.55</c:v>
                </c:pt>
                <c:pt idx="1687">
                  <c:v>19526.55</c:v>
                </c:pt>
                <c:pt idx="1688">
                  <c:v>19381.65</c:v>
                </c:pt>
                <c:pt idx="1689">
                  <c:v>19517</c:v>
                </c:pt>
                <c:pt idx="1690">
                  <c:v>19597.3</c:v>
                </c:pt>
                <c:pt idx="1691">
                  <c:v>19570.85</c:v>
                </c:pt>
                <c:pt idx="1692">
                  <c:v>19632.55</c:v>
                </c:pt>
                <c:pt idx="1693">
                  <c:v>19543.1</c:v>
                </c:pt>
                <c:pt idx="1694">
                  <c:v>19428.3</c:v>
                </c:pt>
                <c:pt idx="1695">
                  <c:v>19434.55</c:v>
                </c:pt>
                <c:pt idx="1696">
                  <c:v>19465</c:v>
                </c:pt>
                <c:pt idx="1697">
                  <c:v>19365.25</c:v>
                </c:pt>
                <c:pt idx="1698">
                  <c:v>19310.15</c:v>
                </c:pt>
                <c:pt idx="1699">
                  <c:v>19393.6</c:v>
                </c:pt>
                <c:pt idx="1700">
                  <c:v>19396.45</c:v>
                </c:pt>
                <c:pt idx="1701">
                  <c:v>19444</c:v>
                </c:pt>
                <c:pt idx="1702">
                  <c:v>19386.7</c:v>
                </c:pt>
                <c:pt idx="1703">
                  <c:v>19265.8</c:v>
                </c:pt>
                <c:pt idx="1704">
                  <c:v>19306.05</c:v>
                </c:pt>
                <c:pt idx="1705">
                  <c:v>19342.65</c:v>
                </c:pt>
                <c:pt idx="1706">
                  <c:v>19347.45</c:v>
                </c:pt>
                <c:pt idx="1707">
                  <c:v>19253.8</c:v>
                </c:pt>
                <c:pt idx="1708">
                  <c:v>19435.3</c:v>
                </c:pt>
                <c:pt idx="1709">
                  <c:v>19528.8</c:v>
                </c:pt>
                <c:pt idx="1710">
                  <c:v>19574.9</c:v>
                </c:pt>
                <c:pt idx="1711">
                  <c:v>19611.05</c:v>
                </c:pt>
                <c:pt idx="1712">
                  <c:v>19727.05</c:v>
                </c:pt>
                <c:pt idx="1713">
                  <c:v>19819.95</c:v>
                </c:pt>
                <c:pt idx="1714">
                  <c:v>19996.35</c:v>
                </c:pt>
                <c:pt idx="1715">
                  <c:v>19993.2</c:v>
                </c:pt>
                <c:pt idx="1716">
                  <c:v>20070</c:v>
                </c:pt>
                <c:pt idx="1717">
                  <c:v>20103.1</c:v>
                </c:pt>
                <c:pt idx="1718">
                  <c:v>20192.35</c:v>
                </c:pt>
                <c:pt idx="1719">
                  <c:v>20133.3</c:v>
                </c:pt>
                <c:pt idx="1720">
                  <c:v>19901.4</c:v>
                </c:pt>
                <c:pt idx="1721">
                  <c:v>19742.35</c:v>
                </c:pt>
                <c:pt idx="1722">
                  <c:v>19674.25</c:v>
                </c:pt>
                <c:pt idx="1723">
                  <c:v>19674.55</c:v>
                </c:pt>
                <c:pt idx="1724">
                  <c:v>19664.7</c:v>
                </c:pt>
                <c:pt idx="1725">
                  <c:v>19716.45</c:v>
                </c:pt>
                <c:pt idx="1726">
                  <c:v>19523.55</c:v>
                </c:pt>
                <c:pt idx="1727">
                  <c:v>19638.3</c:v>
                </c:pt>
                <c:pt idx="1728">
                  <c:v>19528.75</c:v>
                </c:pt>
                <c:pt idx="1729">
                  <c:v>19436.1</c:v>
                </c:pt>
                <c:pt idx="1730">
                  <c:v>19545.75</c:v>
                </c:pt>
                <c:pt idx="1731">
                  <c:v>19653.5</c:v>
                </c:pt>
                <c:pt idx="1732">
                  <c:v>19512.35</c:v>
                </c:pt>
                <c:pt idx="1733">
                  <c:v>19689.85</c:v>
                </c:pt>
                <c:pt idx="1734">
                  <c:v>19811.35</c:v>
                </c:pt>
                <c:pt idx="1735">
                  <c:v>19794</c:v>
                </c:pt>
                <c:pt idx="1736">
                  <c:v>19751.05</c:v>
                </c:pt>
                <c:pt idx="1737">
                  <c:v>19731.75</c:v>
                </c:pt>
                <c:pt idx="1738">
                  <c:v>19811.5</c:v>
                </c:pt>
                <c:pt idx="1739">
                  <c:v>19671.1</c:v>
                </c:pt>
                <c:pt idx="1740">
                  <c:v>19624.7</c:v>
                </c:pt>
                <c:pt idx="1741">
                  <c:v>19542.65</c:v>
                </c:pt>
                <c:pt idx="1742">
                  <c:v>19281.75</c:v>
                </c:pt>
                <c:pt idx="1743">
                  <c:v>19122.15</c:v>
                </c:pt>
                <c:pt idx="1744">
                  <c:v>18857.25</c:v>
                </c:pt>
                <c:pt idx="1745">
                  <c:v>19047.25</c:v>
                </c:pt>
                <c:pt idx="1746">
                  <c:v>19140.9</c:v>
                </c:pt>
                <c:pt idx="1747">
                  <c:v>19079.6</c:v>
                </c:pt>
                <c:pt idx="1748">
                  <c:v>18989.15</c:v>
                </c:pt>
                <c:pt idx="1749">
                  <c:v>19133.25</c:v>
                </c:pt>
                <c:pt idx="1750">
                  <c:v>19230.6</c:v>
                </c:pt>
                <c:pt idx="1751">
                  <c:v>19411.75</c:v>
                </c:pt>
                <c:pt idx="1752">
                  <c:v>19406.7</c:v>
                </c:pt>
                <c:pt idx="1753">
                  <c:v>19443.5</c:v>
                </c:pt>
                <c:pt idx="1754">
                  <c:v>19395.3</c:v>
                </c:pt>
                <c:pt idx="1755">
                  <c:v>19425.35</c:v>
                </c:pt>
                <c:pt idx="1756">
                  <c:v>19443.55</c:v>
                </c:pt>
                <c:pt idx="1757">
                  <c:v>19675.45</c:v>
                </c:pt>
                <c:pt idx="1758">
                  <c:v>19765.2</c:v>
                </c:pt>
                <c:pt idx="1759">
                  <c:v>19731.8</c:v>
                </c:pt>
                <c:pt idx="1760">
                  <c:v>19694</c:v>
                </c:pt>
                <c:pt idx="1761">
                  <c:v>19783.4</c:v>
                </c:pt>
                <c:pt idx="1762">
                  <c:v>19811.85</c:v>
                </c:pt>
                <c:pt idx="1763">
                  <c:v>19802</c:v>
                </c:pt>
                <c:pt idx="1764">
                  <c:v>19794.7</c:v>
                </c:pt>
                <c:pt idx="1765">
                  <c:v>19889.7</c:v>
                </c:pt>
                <c:pt idx="1766">
                  <c:v>20096.6</c:v>
                </c:pt>
                <c:pt idx="1767">
                  <c:v>20133.15</c:v>
                </c:pt>
                <c:pt idx="1768">
                  <c:v>20267.9</c:v>
                </c:pt>
                <c:pt idx="1769">
                  <c:v>20686.8</c:v>
                </c:pt>
                <c:pt idx="1770">
                  <c:v>20855.1</c:v>
                </c:pt>
                <c:pt idx="1771">
                  <c:v>20937.7</c:v>
                </c:pt>
                <c:pt idx="1772">
                  <c:v>20901.15</c:v>
                </c:pt>
                <c:pt idx="1773">
                  <c:v>20969.4</c:v>
                </c:pt>
                <c:pt idx="1774">
                  <c:v>20997.1</c:v>
                </c:pt>
                <c:pt idx="1775">
                  <c:v>20906.4</c:v>
                </c:pt>
                <c:pt idx="1776">
                  <c:v>20926.35</c:v>
                </c:pt>
                <c:pt idx="1777">
                  <c:v>21182.7</c:v>
                </c:pt>
                <c:pt idx="1778">
                  <c:v>21456.65</c:v>
                </c:pt>
                <c:pt idx="1779">
                  <c:v>21418.65</c:v>
                </c:pt>
                <c:pt idx="1780">
                  <c:v>21453.1</c:v>
                </c:pt>
                <c:pt idx="1781">
                  <c:v>21150.15</c:v>
                </c:pt>
                <c:pt idx="1782">
                  <c:v>21255.05</c:v>
                </c:pt>
                <c:pt idx="1783">
                  <c:v>21349.4</c:v>
                </c:pt>
                <c:pt idx="1784">
                  <c:v>21441.35</c:v>
                </c:pt>
                <c:pt idx="1785">
                  <c:v>21654.75</c:v>
                </c:pt>
                <c:pt idx="1786">
                  <c:v>21778.7</c:v>
                </c:pt>
                <c:pt idx="1787">
                  <c:v>21731.4</c:v>
                </c:pt>
                <c:pt idx="1788">
                  <c:v>21741.9</c:v>
                </c:pt>
                <c:pt idx="1789">
                  <c:v>21665.8</c:v>
                </c:pt>
                <c:pt idx="1790">
                  <c:v>21517.35</c:v>
                </c:pt>
                <c:pt idx="1791">
                  <c:v>21658.6</c:v>
                </c:pt>
                <c:pt idx="1792">
                  <c:v>21710.8</c:v>
                </c:pt>
                <c:pt idx="1793">
                  <c:v>21513</c:v>
                </c:pt>
                <c:pt idx="1794">
                  <c:v>21544.85</c:v>
                </c:pt>
                <c:pt idx="1795">
                  <c:v>21618.7</c:v>
                </c:pt>
                <c:pt idx="1796">
                  <c:v>21647.2</c:v>
                </c:pt>
                <c:pt idx="1797">
                  <c:v>21894.55</c:v>
                </c:pt>
                <c:pt idx="1798">
                  <c:v>22097.45</c:v>
                </c:pt>
                <c:pt idx="1799">
                  <c:v>22032.3</c:v>
                </c:pt>
                <c:pt idx="1800">
                  <c:v>21571.95</c:v>
                </c:pt>
                <c:pt idx="1801">
                  <c:v>21462.25</c:v>
                </c:pt>
                <c:pt idx="1802">
                  <c:v>21622.4</c:v>
                </c:pt>
                <c:pt idx="1803">
                  <c:v>21238.8</c:v>
                </c:pt>
                <c:pt idx="1804">
                  <c:v>21453.95</c:v>
                </c:pt>
                <c:pt idx="1805">
                  <c:v>21352.6</c:v>
                </c:pt>
                <c:pt idx="1806">
                  <c:v>21737.6</c:v>
                </c:pt>
                <c:pt idx="1807">
                  <c:v>21522.1</c:v>
                </c:pt>
                <c:pt idx="1808">
                  <c:v>21725.7</c:v>
                </c:pt>
                <c:pt idx="1809">
                  <c:v>21697.45</c:v>
                </c:pt>
                <c:pt idx="1810">
                  <c:v>21853.8</c:v>
                </c:pt>
                <c:pt idx="1811">
                  <c:v>21771.7</c:v>
                </c:pt>
                <c:pt idx="1812">
                  <c:v>21929.4</c:v>
                </c:pt>
                <c:pt idx="1813">
                  <c:v>21930.5</c:v>
                </c:pt>
                <c:pt idx="1814">
                  <c:v>21717.95</c:v>
                </c:pt>
                <c:pt idx="1815">
                  <c:v>21782.5</c:v>
                </c:pt>
                <c:pt idx="1816">
                  <c:v>21616.05</c:v>
                </c:pt>
                <c:pt idx="1817">
                  <c:v>21743.25</c:v>
                </c:pt>
                <c:pt idx="1818">
                  <c:v>21840.05</c:v>
                </c:pt>
                <c:pt idx="1819">
                  <c:v>21910.75</c:v>
                </c:pt>
                <c:pt idx="1820">
                  <c:v>22040.7</c:v>
                </c:pt>
                <c:pt idx="1821">
                  <c:v>22122.25</c:v>
                </c:pt>
                <c:pt idx="1822">
                  <c:v>22196.95</c:v>
                </c:pt>
                <c:pt idx="1823">
                  <c:v>22055.05</c:v>
                </c:pt>
                <c:pt idx="1824">
                  <c:v>22217.45</c:v>
                </c:pt>
                <c:pt idx="1825">
                  <c:v>22212.7</c:v>
                </c:pt>
                <c:pt idx="1826">
                  <c:v>22122.05</c:v>
                </c:pt>
                <c:pt idx="1827">
                  <c:v>22198.35</c:v>
                </c:pt>
                <c:pt idx="1828">
                  <c:v>21951.15</c:v>
                </c:pt>
                <c:pt idx="1829">
                  <c:v>21982.8</c:v>
                </c:pt>
                <c:pt idx="1830">
                  <c:v>22338.75</c:v>
                </c:pt>
                <c:pt idx="1831">
                  <c:v>22405.6</c:v>
                </c:pt>
                <c:pt idx="1832">
                  <c:v>22356.3</c:v>
                </c:pt>
                <c:pt idx="1833">
                  <c:v>22474.05</c:v>
                </c:pt>
                <c:pt idx="1834">
                  <c:v>22493.55</c:v>
                </c:pt>
                <c:pt idx="1835">
                  <c:v>22332.65</c:v>
                </c:pt>
                <c:pt idx="1836">
                  <c:v>22335.7</c:v>
                </c:pt>
                <c:pt idx="1837">
                  <c:v>21997.7</c:v>
                </c:pt>
                <c:pt idx="1838">
                  <c:v>22146.65</c:v>
                </c:pt>
                <c:pt idx="1839">
                  <c:v>22023.35</c:v>
                </c:pt>
                <c:pt idx="1840">
                  <c:v>22055.7</c:v>
                </c:pt>
                <c:pt idx="1841">
                  <c:v>21817.45</c:v>
                </c:pt>
                <c:pt idx="1842">
                  <c:v>21839.1</c:v>
                </c:pt>
                <c:pt idx="1843">
                  <c:v>22011.95</c:v>
                </c:pt>
                <c:pt idx="1844">
                  <c:v>22096.75</c:v>
                </c:pt>
                <c:pt idx="1845">
                  <c:v>22004.7</c:v>
                </c:pt>
                <c:pt idx="1846">
                  <c:v>22123.65</c:v>
                </c:pt>
                <c:pt idx="1847">
                  <c:v>22326.9</c:v>
                </c:pt>
                <c:pt idx="1848">
                  <c:v>22462</c:v>
                </c:pt>
                <c:pt idx="1849">
                  <c:v>22453.3</c:v>
                </c:pt>
                <c:pt idx="1850">
                  <c:v>22434.65</c:v>
                </c:pt>
                <c:pt idx="1851">
                  <c:v>22514.65</c:v>
                </c:pt>
                <c:pt idx="1852">
                  <c:v>22513.7</c:v>
                </c:pt>
                <c:pt idx="1853">
                  <c:v>22666.3</c:v>
                </c:pt>
                <c:pt idx="1854">
                  <c:v>22642.75</c:v>
                </c:pt>
                <c:pt idx="1855">
                  <c:v>22753.8</c:v>
                </c:pt>
                <c:pt idx="1856">
                  <c:v>22519.4</c:v>
                </c:pt>
                <c:pt idx="1857">
                  <c:v>22272.5</c:v>
                </c:pt>
                <c:pt idx="1858">
                  <c:v>22147.9</c:v>
                </c:pt>
                <c:pt idx="1859">
                  <c:v>21995.85</c:v>
                </c:pt>
                <c:pt idx="1860">
                  <c:v>22147</c:v>
                </c:pt>
                <c:pt idx="1861">
                  <c:v>22336.4</c:v>
                </c:pt>
                <c:pt idx="1862">
                  <c:v>22368</c:v>
                </c:pt>
                <c:pt idx="1863">
                  <c:v>22402.4</c:v>
                </c:pt>
                <c:pt idx="1864">
                  <c:v>22570.35</c:v>
                </c:pt>
                <c:pt idx="1865">
                  <c:v>22419.95</c:v>
                </c:pt>
                <c:pt idx="1866">
                  <c:v>22643.4</c:v>
                </c:pt>
                <c:pt idx="1867">
                  <c:v>22604.85</c:v>
                </c:pt>
                <c:pt idx="1868">
                  <c:v>22648.2</c:v>
                </c:pt>
                <c:pt idx="1869">
                  <c:v>22475.85</c:v>
                </c:pt>
                <c:pt idx="1870">
                  <c:v>22442.7</c:v>
                </c:pt>
                <c:pt idx="1871">
                  <c:v>22302.5</c:v>
                </c:pt>
                <c:pt idx="1872">
                  <c:v>22302.5</c:v>
                </c:pt>
                <c:pt idx="1873">
                  <c:v>21957.5</c:v>
                </c:pt>
                <c:pt idx="1874">
                  <c:v>22055.2</c:v>
                </c:pt>
                <c:pt idx="1875">
                  <c:v>22104.05</c:v>
                </c:pt>
                <c:pt idx="1876">
                  <c:v>22217.85</c:v>
                </c:pt>
                <c:pt idx="1877">
                  <c:v>22200.55</c:v>
                </c:pt>
                <c:pt idx="1878">
                  <c:v>22403.85</c:v>
                </c:pt>
                <c:pt idx="1879">
                  <c:v>22466.1</c:v>
                </c:pt>
                <c:pt idx="1880">
                  <c:v>22529.05</c:v>
                </c:pt>
                <c:pt idx="1881">
                  <c:v>22597.8</c:v>
                </c:pt>
                <c:pt idx="1882">
                  <c:v>22967.65</c:v>
                </c:pt>
                <c:pt idx="1883">
                  <c:v>22957.1</c:v>
                </c:pt>
                <c:pt idx="1884">
                  <c:v>22932.45</c:v>
                </c:pt>
                <c:pt idx="1885">
                  <c:v>22888.15</c:v>
                </c:pt>
                <c:pt idx="1886">
                  <c:v>22704.7</c:v>
                </c:pt>
                <c:pt idx="1887">
                  <c:v>22488.65</c:v>
                </c:pt>
                <c:pt idx="1888">
                  <c:v>22530.7</c:v>
                </c:pt>
                <c:pt idx="1889">
                  <c:v>23263.9</c:v>
                </c:pt>
                <c:pt idx="1890">
                  <c:v>21884.5</c:v>
                </c:pt>
                <c:pt idx="1891">
                  <c:v>22620.35</c:v>
                </c:pt>
                <c:pt idx="1892">
                  <c:v>22821.4</c:v>
                </c:pt>
                <c:pt idx="1893">
                  <c:v>23290.15</c:v>
                </c:pt>
                <c:pt idx="1894">
                  <c:v>23259.2</c:v>
                </c:pt>
                <c:pt idx="1895">
                  <c:v>23264.85</c:v>
                </c:pt>
                <c:pt idx="1896">
                  <c:v>23322.95</c:v>
                </c:pt>
                <c:pt idx="1897">
                  <c:v>23398.9</c:v>
                </c:pt>
                <c:pt idx="1898">
                  <c:v>23465.6</c:v>
                </c:pt>
                <c:pt idx="1899">
                  <c:v>23557.9</c:v>
                </c:pt>
                <c:pt idx="1900">
                  <c:v>23516</c:v>
                </c:pt>
                <c:pt idx="1901">
                  <c:v>23567</c:v>
                </c:pt>
                <c:pt idx="1902">
                  <c:v>23501.1</c:v>
                </c:pt>
                <c:pt idx="1903">
                  <c:v>23537.85</c:v>
                </c:pt>
                <c:pt idx="1904">
                  <c:v>23721.3</c:v>
                </c:pt>
                <c:pt idx="1905">
                  <c:v>23868.8</c:v>
                </c:pt>
                <c:pt idx="1906">
                  <c:v>24044.5</c:v>
                </c:pt>
                <c:pt idx="1907">
                  <c:v>24010.6</c:v>
                </c:pt>
                <c:pt idx="1908">
                  <c:v>24141.95</c:v>
                </c:pt>
                <c:pt idx="1909">
                  <c:v>24123.85</c:v>
                </c:pt>
                <c:pt idx="1910">
                  <c:v>24286.5</c:v>
                </c:pt>
                <c:pt idx="1911">
                  <c:v>24302.15</c:v>
                </c:pt>
                <c:pt idx="1912">
                  <c:v>24323.85</c:v>
                </c:pt>
                <c:pt idx="1913">
                  <c:v>24320.55</c:v>
                </c:pt>
                <c:pt idx="1914">
                  <c:v>24433.2</c:v>
                </c:pt>
                <c:pt idx="1915">
                  <c:v>24324.45</c:v>
                </c:pt>
                <c:pt idx="1916">
                  <c:v>24315.95</c:v>
                </c:pt>
                <c:pt idx="1917">
                  <c:v>24502.15</c:v>
                </c:pt>
                <c:pt idx="1918">
                  <c:v>24586.7</c:v>
                </c:pt>
                <c:pt idx="1919">
                  <c:v>24613</c:v>
                </c:pt>
                <c:pt idx="1920">
                  <c:v>24800.85</c:v>
                </c:pt>
                <c:pt idx="1921">
                  <c:v>24530.9</c:v>
                </c:pt>
                <c:pt idx="1922">
                  <c:v>24509.25</c:v>
                </c:pt>
                <c:pt idx="1923">
                  <c:v>24479.05</c:v>
                </c:pt>
                <c:pt idx="1924">
                  <c:v>24413.5</c:v>
                </c:pt>
                <c:pt idx="1925">
                  <c:v>24406.1</c:v>
                </c:pt>
                <c:pt idx="1926">
                  <c:v>24834.85</c:v>
                </c:pt>
                <c:pt idx="1927">
                  <c:v>24836.1</c:v>
                </c:pt>
                <c:pt idx="1928">
                  <c:v>24857.3</c:v>
                </c:pt>
                <c:pt idx="1929">
                  <c:v>24951.15</c:v>
                </c:pt>
                <c:pt idx="1930">
                  <c:v>25010.9</c:v>
                </c:pt>
                <c:pt idx="1931">
                  <c:v>24717.7</c:v>
                </c:pt>
                <c:pt idx="1932">
                  <c:v>24055.6</c:v>
                </c:pt>
                <c:pt idx="1933">
                  <c:v>23992.55</c:v>
                </c:pt>
                <c:pt idx="1934">
                  <c:v>24297.5</c:v>
                </c:pt>
                <c:pt idx="1935">
                  <c:v>24117</c:v>
                </c:pt>
                <c:pt idx="1936">
                  <c:v>24367.5</c:v>
                </c:pt>
                <c:pt idx="1937">
                  <c:v>24347</c:v>
                </c:pt>
                <c:pt idx="1938">
                  <c:v>24139</c:v>
                </c:pt>
                <c:pt idx="1939">
                  <c:v>24143.75</c:v>
                </c:pt>
                <c:pt idx="1940">
                  <c:v>24541.15</c:v>
                </c:pt>
                <c:pt idx="1941">
                  <c:v>24572.65</c:v>
                </c:pt>
                <c:pt idx="1942">
                  <c:v>24698.85</c:v>
                </c:pt>
                <c:pt idx="1943">
                  <c:v>24770.2</c:v>
                </c:pt>
                <c:pt idx="1944">
                  <c:v>24811.5</c:v>
                </c:pt>
                <c:pt idx="1945">
                  <c:v>24823.15</c:v>
                </c:pt>
                <c:pt idx="1946">
                  <c:v>25010.6</c:v>
                </c:pt>
                <c:pt idx="1947">
                  <c:v>25017.75</c:v>
                </c:pt>
                <c:pt idx="1948">
                  <c:v>25052.35</c:v>
                </c:pt>
                <c:pt idx="1949">
                  <c:v>25151.95</c:v>
                </c:pt>
                <c:pt idx="1950">
                  <c:v>25235.9</c:v>
                </c:pt>
                <c:pt idx="1951">
                  <c:v>25278.7</c:v>
                </c:pt>
                <c:pt idx="1952">
                  <c:v>25279.85</c:v>
                </c:pt>
                <c:pt idx="1953">
                  <c:v>25198.7</c:v>
                </c:pt>
                <c:pt idx="1954">
                  <c:v>25145.1</c:v>
                </c:pt>
                <c:pt idx="1955">
                  <c:v>24852.15</c:v>
                </c:pt>
                <c:pt idx="1956">
                  <c:v>24936.4</c:v>
                </c:pt>
                <c:pt idx="1957">
                  <c:v>25041.1</c:v>
                </c:pt>
                <c:pt idx="1958">
                  <c:v>24918.45</c:v>
                </c:pt>
                <c:pt idx="1959">
                  <c:v>25388.9</c:v>
                </c:pt>
                <c:pt idx="1960">
                  <c:v>25356.5</c:v>
                </c:pt>
                <c:pt idx="1961">
                  <c:v>25383.75</c:v>
                </c:pt>
                <c:pt idx="1962">
                  <c:v>25418.55</c:v>
                </c:pt>
                <c:pt idx="1963">
                  <c:v>25377.55</c:v>
                </c:pt>
                <c:pt idx="1964">
                  <c:v>25415.8</c:v>
                </c:pt>
                <c:pt idx="1965">
                  <c:v>25790.95</c:v>
                </c:pt>
                <c:pt idx="1966">
                  <c:v>25939.05</c:v>
                </c:pt>
                <c:pt idx="1967">
                  <c:v>25940.4</c:v>
                </c:pt>
                <c:pt idx="1968">
                  <c:v>26004.15</c:v>
                </c:pt>
                <c:pt idx="1969">
                  <c:v>26216.05</c:v>
                </c:pt>
                <c:pt idx="1970">
                  <c:v>26178.95</c:v>
                </c:pt>
                <c:pt idx="1971">
                  <c:v>25810.85</c:v>
                </c:pt>
                <c:pt idx="1972">
                  <c:v>25796.9</c:v>
                </c:pt>
                <c:pt idx="1973">
                  <c:v>25250.1</c:v>
                </c:pt>
                <c:pt idx="1974">
                  <c:v>25014.6</c:v>
                </c:pt>
                <c:pt idx="1975">
                  <c:v>24795.75</c:v>
                </c:pt>
                <c:pt idx="1976">
                  <c:v>25013.15</c:v>
                </c:pt>
                <c:pt idx="1977">
                  <c:v>24981.95</c:v>
                </c:pt>
                <c:pt idx="1978">
                  <c:v>24998.45</c:v>
                </c:pt>
                <c:pt idx="1979">
                  <c:v>24964.25</c:v>
                </c:pt>
                <c:pt idx="1980">
                  <c:v>25127.95</c:v>
                </c:pt>
                <c:pt idx="1981">
                  <c:v>25057.35</c:v>
                </c:pt>
                <c:pt idx="1982">
                  <c:v>24971.3</c:v>
                </c:pt>
                <c:pt idx="1983">
                  <c:v>24749.85</c:v>
                </c:pt>
                <c:pt idx="1984">
                  <c:v>24854.05</c:v>
                </c:pt>
                <c:pt idx="1985">
                  <c:v>24781.1</c:v>
                </c:pt>
                <c:pt idx="1986">
                  <c:v>24472.1</c:v>
                </c:pt>
                <c:pt idx="1987">
                  <c:v>24435.5</c:v>
                </c:pt>
                <c:pt idx="1988">
                  <c:v>24399.4</c:v>
                </c:pt>
                <c:pt idx="1989">
                  <c:v>24180.8</c:v>
                </c:pt>
                <c:pt idx="1990">
                  <c:v>24339.15</c:v>
                </c:pt>
                <c:pt idx="1991">
                  <c:v>24466.85</c:v>
                </c:pt>
                <c:pt idx="1992">
                  <c:v>24340.85</c:v>
                </c:pt>
                <c:pt idx="1993">
                  <c:v>24205.35</c:v>
                </c:pt>
                <c:pt idx="1994">
                  <c:v>24304.35</c:v>
                </c:pt>
                <c:pt idx="1995">
                  <c:v>23995.35</c:v>
                </c:pt>
                <c:pt idx="1996">
                  <c:v>24213.3</c:v>
                </c:pt>
                <c:pt idx="1997">
                  <c:v>24484.05</c:v>
                </c:pt>
                <c:pt idx="1998">
                  <c:v>24199.35</c:v>
                </c:pt>
                <c:pt idx="1999">
                  <c:v>24148.2</c:v>
                </c:pt>
                <c:pt idx="2000">
                  <c:v>24141.3</c:v>
                </c:pt>
                <c:pt idx="2001">
                  <c:v>23883.45</c:v>
                </c:pt>
                <c:pt idx="2002">
                  <c:v>23559.05</c:v>
                </c:pt>
                <c:pt idx="2003">
                  <c:v>23532.7</c:v>
                </c:pt>
                <c:pt idx="2004">
                  <c:v>23453.8</c:v>
                </c:pt>
                <c:pt idx="2005">
                  <c:v>23518.5</c:v>
                </c:pt>
                <c:pt idx="2006">
                  <c:v>23349.9</c:v>
                </c:pt>
                <c:pt idx="2007">
                  <c:v>23907.25</c:v>
                </c:pt>
                <c:pt idx="2008">
                  <c:v>24221.9</c:v>
                </c:pt>
                <c:pt idx="2009">
                  <c:v>24194.5</c:v>
                </c:pt>
                <c:pt idx="2010">
                  <c:v>24274.9</c:v>
                </c:pt>
                <c:pt idx="2011">
                  <c:v>23914.15</c:v>
                </c:pt>
                <c:pt idx="2012">
                  <c:v>24131.1</c:v>
                </c:pt>
                <c:pt idx="2013">
                  <c:v>24276.05</c:v>
                </c:pt>
                <c:pt idx="2014">
                  <c:v>24457.15</c:v>
                </c:pt>
                <c:pt idx="2015">
                  <c:v>24467.45</c:v>
                </c:pt>
                <c:pt idx="2016">
                  <c:v>24708.4</c:v>
                </c:pt>
                <c:pt idx="2017">
                  <c:v>24677.8</c:v>
                </c:pt>
                <c:pt idx="2018">
                  <c:v>24619</c:v>
                </c:pt>
                <c:pt idx="2019">
                  <c:v>24610.05</c:v>
                </c:pt>
                <c:pt idx="2020">
                  <c:v>24641.8</c:v>
                </c:pt>
                <c:pt idx="2021">
                  <c:v>24548.7</c:v>
                </c:pt>
                <c:pt idx="2022">
                  <c:v>24768.3</c:v>
                </c:pt>
                <c:pt idx="2023">
                  <c:v>24668.25</c:v>
                </c:pt>
                <c:pt idx="2024">
                  <c:v>24336</c:v>
                </c:pt>
                <c:pt idx="2025">
                  <c:v>24198.85</c:v>
                </c:pt>
                <c:pt idx="2026">
                  <c:v>23951.7</c:v>
                </c:pt>
                <c:pt idx="2027">
                  <c:v>23587.5</c:v>
                </c:pt>
                <c:pt idx="2028">
                  <c:v>23753.45</c:v>
                </c:pt>
                <c:pt idx="2029">
                  <c:v>23727.65</c:v>
                </c:pt>
                <c:pt idx="2030">
                  <c:v>23750.2</c:v>
                </c:pt>
                <c:pt idx="2031">
                  <c:v>23813.4</c:v>
                </c:pt>
                <c:pt idx="2032">
                  <c:v>23644.9</c:v>
                </c:pt>
                <c:pt idx="2033">
                  <c:v>23644.8</c:v>
                </c:pt>
                <c:pt idx="2034">
                  <c:v>23742.9</c:v>
                </c:pt>
                <c:pt idx="2035">
                  <c:v>24188.65</c:v>
                </c:pt>
                <c:pt idx="2036">
                  <c:v>24004.75</c:v>
                </c:pt>
                <c:pt idx="2037">
                  <c:v>23616.05</c:v>
                </c:pt>
                <c:pt idx="2038">
                  <c:v>23707.9</c:v>
                </c:pt>
                <c:pt idx="2039">
                  <c:v>23688.95</c:v>
                </c:pt>
                <c:pt idx="2040">
                  <c:v>23526.5</c:v>
                </c:pt>
                <c:pt idx="2041">
                  <c:v>23431.5</c:v>
                </c:pt>
                <c:pt idx="2042">
                  <c:v>23085.95</c:v>
                </c:pt>
                <c:pt idx="2043">
                  <c:v>23176.05</c:v>
                </c:pt>
                <c:pt idx="2044">
                  <c:v>23213.2</c:v>
                </c:pt>
                <c:pt idx="2045">
                  <c:v>23311.8</c:v>
                </c:pt>
                <c:pt idx="2046">
                  <c:v>23203.2</c:v>
                </c:pt>
                <c:pt idx="2047">
                  <c:v>23344.75</c:v>
                </c:pt>
                <c:pt idx="2048">
                  <c:v>23024.65</c:v>
                </c:pt>
                <c:pt idx="2049">
                  <c:v>23155.35</c:v>
                </c:pt>
                <c:pt idx="2050">
                  <c:v>23205.35</c:v>
                </c:pt>
                <c:pt idx="2051">
                  <c:v>23092.2</c:v>
                </c:pt>
                <c:pt idx="2052">
                  <c:v>22829.15</c:v>
                </c:pt>
                <c:pt idx="2053">
                  <c:v>22957.25</c:v>
                </c:pt>
                <c:pt idx="2054">
                  <c:v>23163.1</c:v>
                </c:pt>
                <c:pt idx="2055">
                  <c:v>23249.5</c:v>
                </c:pt>
                <c:pt idx="2056">
                  <c:v>23508.4</c:v>
                </c:pt>
                <c:pt idx="2057">
                  <c:v>23482.15</c:v>
                </c:pt>
                <c:pt idx="2058">
                  <c:v>23361.05</c:v>
                </c:pt>
                <c:pt idx="2059">
                  <c:v>23739.25</c:v>
                </c:pt>
                <c:pt idx="2060">
                  <c:v>23696.3</c:v>
                </c:pt>
                <c:pt idx="2061">
                  <c:v>23603.35</c:v>
                </c:pt>
                <c:pt idx="2062">
                  <c:v>23559.95</c:v>
                </c:pt>
                <c:pt idx="2063">
                  <c:v>23381.6</c:v>
                </c:pt>
                <c:pt idx="2064">
                  <c:v>23071.8</c:v>
                </c:pt>
                <c:pt idx="2065">
                  <c:v>23045.25</c:v>
                </c:pt>
                <c:pt idx="2066">
                  <c:v>23031.4</c:v>
                </c:pt>
                <c:pt idx="2067">
                  <c:v>22929.25</c:v>
                </c:pt>
                <c:pt idx="2068">
                  <c:v>22959.5</c:v>
                </c:pt>
                <c:pt idx="2069">
                  <c:v>22945.3</c:v>
                </c:pt>
                <c:pt idx="2070">
                  <c:v>22932.9</c:v>
                </c:pt>
                <c:pt idx="2071">
                  <c:v>22913.15</c:v>
                </c:pt>
                <c:pt idx="2072">
                  <c:v>22795.9</c:v>
                </c:pt>
                <c:pt idx="2073">
                  <c:v>22553.35</c:v>
                </c:pt>
                <c:pt idx="2074">
                  <c:v>22547.55</c:v>
                </c:pt>
                <c:pt idx="2075">
                  <c:v>22545.05</c:v>
                </c:pt>
                <c:pt idx="2076">
                  <c:v>22124.7</c:v>
                </c:pt>
                <c:pt idx="2077">
                  <c:v>22119.3</c:v>
                </c:pt>
                <c:pt idx="2078">
                  <c:v>22082.65</c:v>
                </c:pt>
                <c:pt idx="2079">
                  <c:v>22337.3</c:v>
                </c:pt>
                <c:pt idx="2080">
                  <c:v>22544.7</c:v>
                </c:pt>
                <c:pt idx="2081">
                  <c:v>22552.5</c:v>
                </c:pt>
                <c:pt idx="2082">
                  <c:v>22460.3</c:v>
                </c:pt>
                <c:pt idx="2083">
                  <c:v>22497.9</c:v>
                </c:pt>
                <c:pt idx="2084">
                  <c:v>22470.5</c:v>
                </c:pt>
                <c:pt idx="2085">
                  <c:v>22397.2</c:v>
                </c:pt>
                <c:pt idx="2086">
                  <c:v>22508.75</c:v>
                </c:pt>
                <c:pt idx="2087">
                  <c:v>22834.3</c:v>
                </c:pt>
                <c:pt idx="2088">
                  <c:v>22907.6</c:v>
                </c:pt>
                <c:pt idx="2089">
                  <c:v>23190.65</c:v>
                </c:pt>
                <c:pt idx="2090">
                  <c:v>23350.4</c:v>
                </c:pt>
                <c:pt idx="2091">
                  <c:v>23658.35</c:v>
                </c:pt>
                <c:pt idx="2092">
                  <c:v>23668.65</c:v>
                </c:pt>
                <c:pt idx="2093">
                  <c:v>23486.85</c:v>
                </c:pt>
                <c:pt idx="2094">
                  <c:v>23591.95</c:v>
                </c:pt>
                <c:pt idx="2095">
                  <c:v>23519.35</c:v>
                </c:pt>
                <c:pt idx="2096">
                  <c:v>23165.7</c:v>
                </c:pt>
                <c:pt idx="2097">
                  <c:v>23332.35</c:v>
                </c:pt>
                <c:pt idx="2098">
                  <c:v>23250.1</c:v>
                </c:pt>
                <c:pt idx="2099">
                  <c:v>22904.45</c:v>
                </c:pt>
                <c:pt idx="2100">
                  <c:v>22161.6</c:v>
                </c:pt>
                <c:pt idx="2101">
                  <c:v>22535.85</c:v>
                </c:pt>
                <c:pt idx="2102">
                  <c:v>22399.15</c:v>
                </c:pt>
                <c:pt idx="2103">
                  <c:v>22828.55</c:v>
                </c:pt>
                <c:pt idx="2104">
                  <c:v>23328.55</c:v>
                </c:pt>
                <c:pt idx="2105">
                  <c:v>23437.2</c:v>
                </c:pt>
                <c:pt idx="2106">
                  <c:v>23851.65</c:v>
                </c:pt>
                <c:pt idx="2107">
                  <c:v>24125.55</c:v>
                </c:pt>
                <c:pt idx="2108">
                  <c:v>24167.25</c:v>
                </c:pt>
                <c:pt idx="2109">
                  <c:v>24328.95</c:v>
                </c:pt>
                <c:pt idx="2110">
                  <c:v>24246.7</c:v>
                </c:pt>
                <c:pt idx="2111">
                  <c:v>24039.35</c:v>
                </c:pt>
                <c:pt idx="2112">
                  <c:v>24328.5</c:v>
                </c:pt>
                <c:pt idx="2113">
                  <c:v>24335.95</c:v>
                </c:pt>
                <c:pt idx="2114">
                  <c:v>24334.2</c:v>
                </c:pt>
                <c:pt idx="2115">
                  <c:v>24346.7</c:v>
                </c:pt>
                <c:pt idx="2116">
                  <c:v>24461.15</c:v>
                </c:pt>
                <c:pt idx="2117">
                  <c:v>24379.6</c:v>
                </c:pt>
                <c:pt idx="2118">
                  <c:v>24414.4</c:v>
                </c:pt>
                <c:pt idx="2119">
                  <c:v>24273.8</c:v>
                </c:pt>
                <c:pt idx="2120">
                  <c:v>24008</c:v>
                </c:pt>
                <c:pt idx="2121">
                  <c:v>24924.7</c:v>
                </c:pt>
                <c:pt idx="2122">
                  <c:v>24578.35</c:v>
                </c:pt>
                <c:pt idx="2123">
                  <c:v>24666.9</c:v>
                </c:pt>
                <c:pt idx="2124">
                  <c:v>25062.1</c:v>
                </c:pt>
                <c:pt idx="2125">
                  <c:v>25019.8</c:v>
                </c:pt>
                <c:pt idx="2126">
                  <c:v>24945.45</c:v>
                </c:pt>
                <c:pt idx="2127">
                  <c:v>24683.9</c:v>
                </c:pt>
                <c:pt idx="2128">
                  <c:v>24813.45</c:v>
                </c:pt>
                <c:pt idx="2129">
                  <c:v>24609.7</c:v>
                </c:pt>
                <c:pt idx="2130">
                  <c:v>24853.15</c:v>
                </c:pt>
                <c:pt idx="2131">
                  <c:v>25001.15</c:v>
                </c:pt>
                <c:pt idx="2132">
                  <c:v>24826.2</c:v>
                </c:pt>
                <c:pt idx="2133">
                  <c:v>24752.45</c:v>
                </c:pt>
                <c:pt idx="2134">
                  <c:v>24833.6</c:v>
                </c:pt>
                <c:pt idx="2135">
                  <c:v>24750.7</c:v>
                </c:pt>
                <c:pt idx="2136">
                  <c:v>24716.6</c:v>
                </c:pt>
                <c:pt idx="2137">
                  <c:v>24542.5</c:v>
                </c:pt>
                <c:pt idx="2138">
                  <c:v>24620.2</c:v>
                </c:pt>
                <c:pt idx="2139">
                  <c:v>24750.9</c:v>
                </c:pt>
                <c:pt idx="2140">
                  <c:v>25003.05</c:v>
                </c:pt>
                <c:pt idx="2141">
                  <c:v>25103.2</c:v>
                </c:pt>
                <c:pt idx="2142">
                  <c:v>25104.25</c:v>
                </c:pt>
                <c:pt idx="2143">
                  <c:v>25141.4</c:v>
                </c:pt>
                <c:pt idx="2144">
                  <c:v>24888.2</c:v>
                </c:pt>
                <c:pt idx="2145">
                  <c:v>24718.6</c:v>
                </c:pt>
                <c:pt idx="2146">
                  <c:v>24946.5</c:v>
                </c:pt>
                <c:pt idx="2147">
                  <c:v>24853.4</c:v>
                </c:pt>
                <c:pt idx="2148">
                  <c:v>24812.05</c:v>
                </c:pt>
                <c:pt idx="2149">
                  <c:v>24793.25</c:v>
                </c:pt>
                <c:pt idx="2150">
                  <c:v>25112.4</c:v>
                </c:pt>
                <c:pt idx="2151">
                  <c:v>24971.9</c:v>
                </c:pt>
                <c:pt idx="2152">
                  <c:v>25044.35</c:v>
                </c:pt>
                <c:pt idx="2153">
                  <c:v>25244.75</c:v>
                </c:pt>
                <c:pt idx="2154">
                  <c:v>25549</c:v>
                </c:pt>
                <c:pt idx="2155">
                  <c:v>25637.8</c:v>
                </c:pt>
                <c:pt idx="2156">
                  <c:v>25517.05</c:v>
                </c:pt>
                <c:pt idx="2157">
                  <c:v>25541.8</c:v>
                </c:pt>
                <c:pt idx="2158">
                  <c:v>25453.4</c:v>
                </c:pt>
                <c:pt idx="2159">
                  <c:v>25405.3</c:v>
                </c:pt>
                <c:pt idx="2160">
                  <c:v>25461</c:v>
                </c:pt>
                <c:pt idx="2161">
                  <c:v>25461.3</c:v>
                </c:pt>
                <c:pt idx="2162">
                  <c:v>25522.5</c:v>
                </c:pt>
                <c:pt idx="2163">
                  <c:v>25476.1</c:v>
                </c:pt>
                <c:pt idx="2164">
                  <c:v>25355.25</c:v>
                </c:pt>
                <c:pt idx="2165">
                  <c:v>25149.85</c:v>
                </c:pt>
                <c:pt idx="2166">
                  <c:v>25082.3</c:v>
                </c:pt>
                <c:pt idx="2167">
                  <c:v>25195.8</c:v>
                </c:pt>
                <c:pt idx="2168">
                  <c:v>25212.05</c:v>
                </c:pt>
                <c:pt idx="2169">
                  <c:v>25111.45</c:v>
                </c:pt>
                <c:pt idx="2170">
                  <c:v>24968.4</c:v>
                </c:pt>
                <c:pt idx="2171">
                  <c:v>25090.7</c:v>
                </c:pt>
                <c:pt idx="2172">
                  <c:v>25060.9</c:v>
                </c:pt>
                <c:pt idx="2173">
                  <c:v>25219.9</c:v>
                </c:pt>
                <c:pt idx="2174">
                  <c:v>25062.1</c:v>
                </c:pt>
                <c:pt idx="2175">
                  <c:v>24837</c:v>
                </c:pt>
                <c:pt idx="2176">
                  <c:v>24680.9</c:v>
                </c:pt>
                <c:pt idx="2177">
                  <c:v>24821.1</c:v>
                </c:pt>
                <c:pt idx="2178">
                  <c:v>24855.05</c:v>
                </c:pt>
                <c:pt idx="2179">
                  <c:v>24768.35</c:v>
                </c:pt>
                <c:pt idx="2180">
                  <c:v>24565.35</c:v>
                </c:pt>
                <c:pt idx="2181">
                  <c:v>24722.75</c:v>
                </c:pt>
                <c:pt idx="2182">
                  <c:v>24649.55</c:v>
                </c:pt>
                <c:pt idx="2183">
                  <c:v>24574.2</c:v>
                </c:pt>
                <c:pt idx="2184">
                  <c:v>24596.15</c:v>
                </c:pt>
                <c:pt idx="2185">
                  <c:v>24363.3</c:v>
                </c:pt>
                <c:pt idx="2186">
                  <c:v>24585.05</c:v>
                </c:pt>
                <c:pt idx="2187">
                  <c:v>24487.4</c:v>
                </c:pt>
                <c:pt idx="2188">
                  <c:v>24619.35</c:v>
                </c:pt>
                <c:pt idx="2189">
                  <c:v>24631.3</c:v>
                </c:pt>
                <c:pt idx="2190">
                  <c:v>24876.95</c:v>
                </c:pt>
                <c:pt idx="2191">
                  <c:v>24980.65</c:v>
                </c:pt>
                <c:pt idx="2192">
                  <c:v>25050.55</c:v>
                </c:pt>
                <c:pt idx="2193">
                  <c:v>25083.75</c:v>
                </c:pt>
                <c:pt idx="2194">
                  <c:v>24870.1</c:v>
                </c:pt>
                <c:pt idx="2195">
                  <c:v>24967.75</c:v>
                </c:pt>
                <c:pt idx="2196">
                  <c:v>24712.05</c:v>
                </c:pt>
                <c:pt idx="2197">
                  <c:v>24500.9</c:v>
                </c:pt>
                <c:pt idx="2198">
                  <c:v>24426.85</c:v>
                </c:pt>
                <c:pt idx="2199">
                  <c:v>24625.05</c:v>
                </c:pt>
                <c:pt idx="2200">
                  <c:v>24579.6</c:v>
                </c:pt>
                <c:pt idx="2201">
                  <c:v>24715.05</c:v>
                </c:pt>
                <c:pt idx="2202">
                  <c:v>24734.3</c:v>
                </c:pt>
                <c:pt idx="2203">
                  <c:v>24741</c:v>
                </c:pt>
                <c:pt idx="2204">
                  <c:v>24773.15</c:v>
                </c:pt>
                <c:pt idx="2205">
                  <c:v>24868.6</c:v>
                </c:pt>
                <c:pt idx="2206">
                  <c:v>24973.1</c:v>
                </c:pt>
                <c:pt idx="2207">
                  <c:v>25005.5</c:v>
                </c:pt>
                <c:pt idx="2208">
                  <c:v>25114</c:v>
                </c:pt>
                <c:pt idx="2209">
                  <c:v>25069.2</c:v>
                </c:pt>
                <c:pt idx="2210">
                  <c:v>25239.1</c:v>
                </c:pt>
                <c:pt idx="2211">
                  <c:v>25330.25</c:v>
                </c:pt>
                <c:pt idx="2212">
                  <c:v>25423.6</c:v>
                </c:pt>
                <c:pt idx="2213">
                  <c:v>25327.05</c:v>
                </c:pt>
                <c:pt idx="2214">
                  <c:v>25202.35</c:v>
                </c:pt>
                <c:pt idx="2215">
                  <c:v>25169.5</c:v>
                </c:pt>
                <c:pt idx="2216">
                  <c:v>25056.9</c:v>
                </c:pt>
                <c:pt idx="2217">
                  <c:v>24890.85</c:v>
                </c:pt>
                <c:pt idx="2218">
                  <c:v>24654.7</c:v>
                </c:pt>
                <c:pt idx="2219">
                  <c:v>24634.9</c:v>
                </c:pt>
                <c:pt idx="2220">
                  <c:v>24611.1</c:v>
                </c:pt>
                <c:pt idx="2221">
                  <c:v>24836.3</c:v>
                </c:pt>
                <c:pt idx="2222">
                  <c:v>24894.25</c:v>
                </c:pt>
                <c:pt idx="2223">
                  <c:v>25077.65</c:v>
                </c:pt>
                <c:pt idx="2224">
                  <c:v>25108.3</c:v>
                </c:pt>
                <c:pt idx="2225">
                  <c:v>25046.15</c:v>
                </c:pt>
                <c:pt idx="2226">
                  <c:v>25181.8</c:v>
                </c:pt>
                <c:pt idx="2227">
                  <c:v>25285.35</c:v>
                </c:pt>
                <c:pt idx="2228">
                  <c:v>25227.35</c:v>
                </c:pt>
                <c:pt idx="2229">
                  <c:v>25145.5</c:v>
                </c:pt>
                <c:pt idx="2230">
                  <c:v>25323.55</c:v>
                </c:pt>
                <c:pt idx="2231">
                  <c:v>25585.3</c:v>
                </c:pt>
                <c:pt idx="2232">
                  <c:v>25709.85</c:v>
                </c:pt>
                <c:pt idx="2233">
                  <c:v>25843.15</c:v>
                </c:pt>
                <c:pt idx="2234">
                  <c:v>25868.6</c:v>
                </c:pt>
                <c:pt idx="2235">
                  <c:v>25891.4</c:v>
                </c:pt>
                <c:pt idx="2236">
                  <c:v>25795.15</c:v>
                </c:pt>
                <c:pt idx="2237">
                  <c:v>25966.05</c:v>
                </c:pt>
                <c:pt idx="2238">
                  <c:v>25936.2</c:v>
                </c:pt>
                <c:pt idx="2239">
                  <c:v>26053.9</c:v>
                </c:pt>
                <c:pt idx="2240">
                  <c:v>25877.85</c:v>
                </c:pt>
                <c:pt idx="2241">
                  <c:v>25722.1</c:v>
                </c:pt>
                <c:pt idx="2242">
                  <c:v>25763.35</c:v>
                </c:pt>
                <c:pt idx="2243">
                  <c:v>25597.65</c:v>
                </c:pt>
                <c:pt idx="2244">
                  <c:v>25509.7</c:v>
                </c:pt>
                <c:pt idx="2245">
                  <c:v>25492.3</c:v>
                </c:pt>
                <c:pt idx="2246">
                  <c:v>25574.35</c:v>
                </c:pt>
                <c:pt idx="2247">
                  <c:v>25694.95</c:v>
                </c:pt>
                <c:pt idx="2248">
                  <c:v>25875.8</c:v>
                </c:pt>
                <c:pt idx="2249">
                  <c:v>25879.15</c:v>
                </c:pt>
                <c:pt idx="2250">
                  <c:v>25910.05</c:v>
                </c:pt>
                <c:pt idx="2251">
                  <c:v>26013.45</c:v>
                </c:pt>
                <c:pt idx="2252">
                  <c:v>25910.05</c:v>
                </c:pt>
                <c:pt idx="2253">
                  <c:v>26052.65</c:v>
                </c:pt>
                <c:pt idx="2254">
                  <c:v>26192.15</c:v>
                </c:pt>
                <c:pt idx="2255">
                  <c:v>26068.15</c:v>
                </c:pt>
                <c:pt idx="2256">
                  <c:v>25959.5</c:v>
                </c:pt>
                <c:pt idx="2257">
                  <c:v>25884.8</c:v>
                </c:pt>
                <c:pt idx="2258">
                  <c:v>26205.3</c:v>
                </c:pt>
                <c:pt idx="2259">
                  <c:v>26215.55</c:v>
                </c:pt>
                <c:pt idx="2260">
                  <c:v>26202.95</c:v>
                </c:pt>
                <c:pt idx="2261">
                  <c:v>26175.75</c:v>
                </c:pt>
                <c:pt idx="2262">
                  <c:v>26032.2</c:v>
                </c:pt>
                <c:pt idx="2263">
                  <c:v>25986</c:v>
                </c:pt>
                <c:pt idx="2264">
                  <c:v>26033.75</c:v>
                </c:pt>
                <c:pt idx="2265">
                  <c:v>26186.45</c:v>
                </c:pt>
                <c:pt idx="2266">
                  <c:v>25960.55</c:v>
                </c:pt>
                <c:pt idx="2267">
                  <c:v>25839.65</c:v>
                </c:pt>
                <c:pt idx="2268">
                  <c:v>25758</c:v>
                </c:pt>
                <c:pt idx="2269">
                  <c:v>25898.55</c:v>
                </c:pt>
                <c:pt idx="2270">
                  <c:v>26046.95</c:v>
                </c:pt>
                <c:pt idx="2271">
                  <c:v>26027.3</c:v>
                </c:pt>
                <c:pt idx="2272">
                  <c:v>25860.1</c:v>
                </c:pt>
                <c:pt idx="2273">
                  <c:v>25818.55</c:v>
                </c:pt>
                <c:pt idx="2274">
                  <c:v>25815.55</c:v>
                </c:pt>
                <c:pt idx="2275">
                  <c:v>25966.4</c:v>
                </c:pt>
                <c:pt idx="2276">
                  <c:v>26172.4</c:v>
                </c:pt>
                <c:pt idx="2277">
                  <c:v>26177.15</c:v>
                </c:pt>
                <c:pt idx="2278">
                  <c:v>26142.1</c:v>
                </c:pt>
                <c:pt idx="2279">
                  <c:v>26042.3</c:v>
                </c:pt>
                <c:pt idx="2280">
                  <c:v>25942.1</c:v>
                </c:pt>
                <c:pt idx="2281">
                  <c:v>25938.85</c:v>
                </c:pt>
                <c:pt idx="2282">
                  <c:v>26129.6</c:v>
                </c:pt>
                <c:pt idx="2283">
                  <c:v>26146.55</c:v>
                </c:pt>
                <c:pt idx="2284">
                  <c:v>26328.55</c:v>
                </c:pt>
                <c:pt idx="2285">
                  <c:v>26250.3</c:v>
                </c:pt>
                <c:pt idx="2286">
                  <c:v>26178.7</c:v>
                </c:pt>
                <c:pt idx="2287">
                  <c:v>26140.75</c:v>
                </c:pt>
                <c:pt idx="2288">
                  <c:v>25876.85</c:v>
                </c:pt>
                <c:pt idx="2289">
                  <c:v>25683.3</c:v>
                </c:pt>
                <c:pt idx="2290">
                  <c:v>25790.25</c:v>
                </c:pt>
                <c:pt idx="2291">
                  <c:v>25732.3</c:v>
                </c:pt>
                <c:pt idx="2292">
                  <c:v>25665.6</c:v>
                </c:pt>
                <c:pt idx="2293">
                  <c:v>25694.35</c:v>
                </c:pt>
                <c:pt idx="2294">
                  <c:v>25585.5</c:v>
                </c:pt>
                <c:pt idx="2295">
                  <c:v>25232.5</c:v>
                </c:pt>
                <c:pt idx="2296">
                  <c:v>25157.5</c:v>
                </c:pt>
                <c:pt idx="2297">
                  <c:v>25289.9</c:v>
                </c:pt>
                <c:pt idx="2298">
                  <c:v>25048.65</c:v>
                </c:pt>
                <c:pt idx="2299">
                  <c:v>25175.4</c:v>
                </c:pt>
                <c:pt idx="2300">
                  <c:v>25342.75</c:v>
                </c:pt>
                <c:pt idx="2301">
                  <c:v>25418.9</c:v>
                </c:pt>
                <c:pt idx="2302">
                  <c:v>25320.65</c:v>
                </c:pt>
                <c:pt idx="2303">
                  <c:v>25088.4</c:v>
                </c:pt>
                <c:pt idx="2304">
                  <c:v>25727.55</c:v>
                </c:pt>
                <c:pt idx="2305">
                  <c:v>25776</c:v>
                </c:pt>
                <c:pt idx="2306">
                  <c:v>25642.8</c:v>
                </c:pt>
                <c:pt idx="2307">
                  <c:v>25693.7</c:v>
                </c:pt>
                <c:pt idx="2308">
                  <c:v>25867.3</c:v>
                </c:pt>
                <c:pt idx="2309">
                  <c:v>25935.15</c:v>
                </c:pt>
                <c:pt idx="2310">
                  <c:v>25953.85</c:v>
                </c:pt>
                <c:pt idx="2311">
                  <c:v>25807.2</c:v>
                </c:pt>
                <c:pt idx="2312">
                  <c:v>25471.1</c:v>
                </c:pt>
                <c:pt idx="2313">
                  <c:v>25682.75</c:v>
                </c:pt>
                <c:pt idx="2314">
                  <c:v>25725.4</c:v>
                </c:pt>
                <c:pt idx="2315">
                  <c:v>25819.35</c:v>
                </c:pt>
                <c:pt idx="2316">
                  <c:v>25454.35</c:v>
                </c:pt>
                <c:pt idx="2317">
                  <c:v>25571.25</c:v>
                </c:pt>
                <c:pt idx="2318">
                  <c:v>25713</c:v>
                </c:pt>
                <c:pt idx="2319">
                  <c:v>25424.65</c:v>
                </c:pt>
                <c:pt idx="2320">
                  <c:v>25482.5</c:v>
                </c:pt>
                <c:pt idx="2321">
                  <c:v>25496.55</c:v>
                </c:pt>
                <c:pt idx="2322">
                  <c:v>25178.65</c:v>
                </c:pt>
                <c:pt idx="2323">
                  <c:v>24865.7</c:v>
                </c:pt>
                <c:pt idx="2324">
                  <c:v>24480.5</c:v>
                </c:pt>
                <c:pt idx="2325">
                  <c:v>24765.9</c:v>
                </c:pt>
                <c:pt idx="2326">
                  <c:v>24450.45</c:v>
                </c:pt>
                <c:pt idx="2327">
                  <c:v>24028.05</c:v>
                </c:pt>
                <c:pt idx="2328">
                  <c:v>24261.6</c:v>
                </c:pt>
                <c:pt idx="2329">
                  <c:v>23866.85</c:v>
                </c:pt>
                <c:pt idx="2330">
                  <c:v>23639.15</c:v>
                </c:pt>
                <c:pt idx="2331">
                  <c:v>23151.1</c:v>
                </c:pt>
                <c:pt idx="2332">
                  <c:v>23408.8</c:v>
                </c:pt>
                <c:pt idx="2333">
                  <c:v>23581.15</c:v>
                </c:pt>
                <c:pt idx="2334">
                  <c:v>23777.8</c:v>
                </c:pt>
                <c:pt idx="2335">
                  <c:v>23002.15</c:v>
                </c:pt>
                <c:pt idx="2336">
                  <c:v>23114.5</c:v>
                </c:pt>
                <c:pt idx="2337">
                  <c:v>22512.65</c:v>
                </c:pt>
                <c:pt idx="2338">
                  <c:v>22912.4</c:v>
                </c:pt>
                <c:pt idx="2339">
                  <c:v>23306.45</c:v>
                </c:pt>
                <c:pt idx="2340">
                  <c:v>22819.6</c:v>
                </c:pt>
                <c:pt idx="2341">
                  <c:v>22331.4</c:v>
                </c:pt>
                <c:pt idx="2342">
                  <c:v>22679.4</c:v>
                </c:pt>
                <c:pt idx="2343">
                  <c:v>22713.1</c:v>
                </c:pt>
                <c:pt idx="2344">
                  <c:v>22968.25</c:v>
                </c:pt>
                <c:pt idx="2345">
                  <c:v>23123.65</c:v>
                </c:pt>
                <c:pt idx="2346">
                  <c:v>23997.35</c:v>
                </c:pt>
                <c:pt idx="2347">
                  <c:v>23775.1</c:v>
                </c:pt>
                <c:pt idx="2348">
                  <c:v>24050.6</c:v>
                </c:pt>
                <c:pt idx="2349">
                  <c:v>23842.65</c:v>
                </c:pt>
                <c:pt idx="2350">
                  <c:v>24231.3</c:v>
                </c:pt>
                <c:pt idx="2351">
                  <c:v>24196.75</c:v>
                </c:pt>
                <c:pt idx="2352">
                  <c:v>24353.55</c:v>
                </c:pt>
                <c:pt idx="2353">
                  <c:v>24364.85</c:v>
                </c:pt>
                <c:pt idx="2354">
                  <c:v>24576.6</c:v>
                </c:pt>
                <c:pt idx="2355">
                  <c:v>24378.1</c:v>
                </c:pt>
                <c:pt idx="2356">
                  <c:v>24173.05</c:v>
                </c:pt>
                <c:pt idx="2357">
                  <c:v>23897.95</c:v>
                </c:pt>
                <c:pt idx="2358">
                  <c:v>24092.7</c:v>
                </c:pt>
                <c:pt idx="2359">
                  <c:v>23995.7</c:v>
                </c:pt>
                <c:pt idx="2360">
                  <c:v>24177.65</c:v>
                </c:pt>
                <c:pt idx="2361">
                  <c:v>23997.55</c:v>
                </c:pt>
                <c:pt idx="2362">
                  <c:v>24119.3</c:v>
                </c:pt>
                <c:pt idx="2363">
                  <c:v>24032.8</c:v>
                </c:pt>
                <c:pt idx="2364">
                  <c:v>24330.95</c:v>
                </c:pt>
                <c:pt idx="2365">
                  <c:v>24326.65</c:v>
                </c:pt>
                <c:pt idx="2366">
                  <c:v>24176.15</c:v>
                </c:pt>
                <c:pt idx="2367">
                  <c:v>23815.85</c:v>
                </c:pt>
                <c:pt idx="2368">
                  <c:v>23379.55</c:v>
                </c:pt>
                <c:pt idx="2369">
                  <c:v>23412.6</c:v>
                </c:pt>
                <c:pt idx="2370">
                  <c:v>23689.6</c:v>
                </c:pt>
                <c:pt idx="2371">
                  <c:v>23643.5</c:v>
                </c:pt>
                <c:pt idx="2372">
                  <c:v>23649.95</c:v>
                </c:pt>
                <c:pt idx="2373">
                  <c:v>23618</c:v>
                </c:pt>
                <c:pt idx="2374">
                  <c:v>23659</c:v>
                </c:pt>
                <c:pt idx="2375">
                  <c:v>23654.7</c:v>
                </c:pt>
                <c:pt idx="2376">
                  <c:v>23719.3</c:v>
                </c:pt>
                <c:pt idx="2377">
                  <c:v>24031.7</c:v>
                </c:pt>
                <c:pt idx="2378">
                  <c:v>23913.7</c:v>
                </c:pt>
                <c:pt idx="2379">
                  <c:v>23907.15</c:v>
                </c:pt>
                <c:pt idx="2380">
                  <c:v>23547.75</c:v>
                </c:pt>
                <c:pt idx="2381">
                  <c:v>23382.6</c:v>
                </c:pt>
                <c:pt idx="2382">
                  <c:v>23483.55</c:v>
                </c:pt>
                <c:pt idx="2383">
                  <c:v>23405.6</c:v>
                </c:pt>
                <c:pt idx="2384">
                  <c:v>23416.55</c:v>
                </c:pt>
                <c:pt idx="2385">
                  <c:v>23366.7</c:v>
                </c:pt>
                <c:pt idx="2386">
                  <c:v>23123</c:v>
                </c:pt>
                <c:pt idx="2387">
                  <c:v>23242.1</c:v>
                </c:pt>
                <c:pt idx="2388">
                  <c:v>23214.95</c:v>
                </c:pt>
                <c:pt idx="2389">
                  <c:v>23161.6</c:v>
                </c:pt>
                <c:pt idx="2390">
                  <c:v>23622.9</c:v>
                </c:pt>
                <c:pt idx="2391">
                  <c:v>23853.9</c:v>
                </c:pt>
                <c:pt idx="2392">
                  <c:v>23989.15</c:v>
                </c:pt>
                <c:pt idx="2393">
                  <c:v>24085.7</c:v>
                </c:pt>
                <c:pt idx="2394">
                  <c:v>24168</c:v>
                </c:pt>
                <c:pt idx="2395">
                  <c:v>24013.1</c:v>
                </c:pt>
                <c:pt idx="2396">
                  <c:v>24102.9</c:v>
                </c:pt>
                <c:pt idx="2397">
                  <c:v>23824.1</c:v>
                </c:pt>
                <c:pt idx="2398">
                  <c:v>24021.65</c:v>
                </c:pt>
                <c:pt idx="2399">
                  <c:v>24056</c:v>
                </c:pt>
                <c:pt idx="2400">
                  <c:v>23946.25</c:v>
                </c:pt>
                <c:pt idx="2401">
                  <c:v>23865.75</c:v>
                </c:pt>
                <c:pt idx="2402">
                  <c:v>24005.85</c:v>
                </c:pt>
                <c:pt idx="2403">
                  <c:v>24175.7</c:v>
                </c:pt>
                <c:pt idx="2404">
                  <c:v>24270.85</c:v>
                </c:pt>
                <c:pt idx="2405">
                  <c:v>24430.35</c:v>
                </c:pt>
                <c:pt idx="2406">
                  <c:v>24398.7</c:v>
                </c:pt>
                <c:pt idx="2407">
                  <c:v>23882.05</c:v>
                </c:pt>
                <c:pt idx="2408">
                  <c:v>23962.8</c:v>
                </c:pt>
                <c:pt idx="2409">
                  <c:v>24206.9</c:v>
                </c:pt>
                <c:pt idx="2410">
                  <c:v>24211</c:v>
                </c:pt>
                <c:pt idx="2411">
                  <c:v>24052.05</c:v>
                </c:pt>
                <c:pt idx="2412">
                  <c:v>24078.5</c:v>
                </c:pt>
                <c:pt idx="2413">
                  <c:v>24072.75</c:v>
                </c:pt>
                <c:pt idx="2414">
                  <c:v>24334.3</c:v>
                </c:pt>
                <c:pt idx="2415">
                  <c:v>24238.5</c:v>
                </c:pt>
                <c:pt idx="2416">
                  <c:v>24187.7</c:v>
                </c:pt>
                <c:pt idx="2417">
                  <c:v>23996.25</c:v>
                </c:pt>
                <c:pt idx="2418">
                  <c:v>23869.6</c:v>
                </c:pt>
                <c:pt idx="2419">
                  <c:v>23767.45</c:v>
                </c:pt>
                <c:pt idx="2420">
                  <c:v>23995.95</c:v>
                </c:pt>
                <c:pt idx="2421">
                  <c:v>23985.35</c:v>
                </c:pt>
                <c:pt idx="2422">
                  <c:v>24250.2</c:v>
                </c:pt>
                <c:pt idx="2423">
                  <c:v>24317.15</c:v>
                </c:pt>
                <c:pt idx="2424">
                  <c:v>24383.6</c:v>
                </c:pt>
                <c:pt idx="2425">
                  <c:v>24774.3</c:v>
                </c:pt>
                <c:pt idx="2426">
                  <c:v>24614.9</c:v>
                </c:pt>
                <c:pt idx="2427">
                  <c:v>24624.65</c:v>
                </c:pt>
                <c:pt idx="2428">
                  <c:v>24636</c:v>
                </c:pt>
                <c:pt idx="2429">
                  <c:v>24570.65</c:v>
                </c:pt>
                <c:pt idx="2430">
                  <c:v>24583.8</c:v>
                </c:pt>
                <c:pt idx="2431">
                  <c:v>24471.7</c:v>
                </c:pt>
                <c:pt idx="2432">
                  <c:v>24435.95</c:v>
                </c:pt>
                <c:pt idx="2433">
                  <c:v>24395.85</c:v>
                </c:pt>
                <c:pt idx="2434">
                  <c:v>24366</c:v>
                </c:pt>
                <c:pt idx="2435">
                  <c:v>24287.65</c:v>
                </c:pt>
                <c:pt idx="2436">
                  <c:v>24154.9</c:v>
                </c:pt>
                <c:pt idx="2437">
                  <c:v>24078.3</c:v>
                </c:pt>
                <c:pt idx="2438">
                  <c:v>24231.85</c:v>
                </c:pt>
                <c:pt idx="2439">
                  <c:v>24252</c:v>
                </c:pt>
                <c:pt idx="2440">
                  <c:v>24219.05</c:v>
                </c:pt>
                <c:pt idx="2441">
                  <c:v>24334.55</c:v>
                </c:pt>
                <c:pt idx="2442">
                  <c:v>24207.75</c:v>
                </c:pt>
                <c:pt idx="2443">
                  <c:v>24090.85</c:v>
                </c:pt>
                <c:pt idx="2444">
                  <c:v>24175.65</c:v>
                </c:pt>
                <c:pt idx="2445">
                  <c:v>24080.4</c:v>
                </c:pt>
                <c:pt idx="2446">
                  <c:v>24055.8</c:v>
                </c:pt>
                <c:pt idx="2447">
                  <c:v>23914.45</c:v>
                </c:pt>
                <c:pt idx="2448">
                  <c:v>23873.45</c:v>
                </c:pt>
                <c:pt idx="2449">
                  <c:v>23897.7</c:v>
                </c:pt>
                <c:pt idx="2450">
                  <c:v>23779.15</c:v>
                </c:pt>
                <c:pt idx="2451">
                  <c:v>23635.1</c:v>
                </c:pt>
                <c:pt idx="2452">
                  <c:v>23431.5</c:v>
                </c:pt>
                <c:pt idx="2453">
                  <c:v>23477.8</c:v>
                </c:pt>
                <c:pt idx="2454">
                  <c:v>23398.1</c:v>
                </c:pt>
                <c:pt idx="2455">
                  <c:v>23118.6</c:v>
                </c:pt>
                <c:pt idx="2456">
                  <c:v>23217.6</c:v>
                </c:pt>
                <c:pt idx="2457">
                  <c:v>23270.6</c:v>
                </c:pt>
                <c:pt idx="2458">
                  <c:v>23346.4</c:v>
                </c:pt>
                <c:pt idx="2459">
                  <c:v>23414.3</c:v>
                </c:pt>
                <c:pt idx="2460">
                  <c:v>23329</c:v>
                </c:pt>
                <c:pt idx="2461">
                  <c:v>23446.8</c:v>
                </c:pt>
                <c:pt idx="2462">
                  <c:v>23063.1</c:v>
                </c:pt>
                <c:pt idx="2463">
                  <c:v>23140.5</c:v>
                </c:pt>
                <c:pt idx="2464">
                  <c:v>22780.25</c:v>
                </c:pt>
              </c:numCache>
            </c:numRef>
          </c:yVal>
          <c:smooth val="0"/>
        </c:ser>
        <c:axId val="13914200"/>
        <c:axId val="97023733"/>
      </c:scatterChart>
      <c:valAx>
        <c:axId val="13914200"/>
        <c:scaling>
          <c:orientation val="minMax"/>
          <c:max val="46296"/>
          <c:min val="42643"/>
        </c:scaling>
        <c:delete val="0"/>
        <c:axPos val="b"/>
        <c:numFmt formatCode="mmm\ yyyy" sourceLinked="0"/>
        <c:majorTickMark val="out"/>
        <c:minorTickMark val="none"/>
        <c:tickLblPos val="nextTo"/>
        <c:spPr>
          <a:ln w="9360">
            <a:solidFill>
              <a:srgbClr val="bcbcb5"/>
            </a:solidFill>
            <a:round/>
          </a:ln>
        </c:spPr>
        <c:txPr>
          <a:bodyPr/>
          <a:lstStyle/>
          <a:p>
            <a:pPr>
              <a:defRPr b="0" sz="900" spc="-1" strike="noStrike">
                <a:solidFill>
                  <a:srgbClr val="6c6a62"/>
                </a:solidFill>
                <a:latin typeface="Fira Sans"/>
              </a:defRPr>
            </a:pPr>
          </a:p>
        </c:txPr>
        <c:crossAx val="97023733"/>
        <c:crosses val="autoZero"/>
        <c:crossBetween val="midCat"/>
        <c:majorUnit val="365.25"/>
      </c:valAx>
      <c:valAx>
        <c:axId val="97023733"/>
        <c:scaling>
          <c:orientation val="minMax"/>
          <c:max val="30000"/>
          <c:min val="0"/>
        </c:scaling>
        <c:delete val="0"/>
        <c:axPos val="l"/>
        <c:majorGridlines>
          <c:spPr>
            <a:ln w="9360">
              <a:solidFill>
                <a:srgbClr val="e4e4e0"/>
              </a:solidFill>
              <a:round/>
            </a:ln>
          </c:spPr>
        </c:majorGridlines>
        <c:title>
          <c:tx>
            <c:rich>
              <a:bodyPr rot="-5400000"/>
              <a:lstStyle/>
              <a:p>
                <a:pPr>
                  <a:defRPr b="0" sz="900" spc="-1" strike="noStrike">
                    <a:solidFill>
                      <a:srgbClr val="6c6a62"/>
                    </a:solidFill>
                    <a:latin typeface="Fira Sans"/>
                  </a:defRPr>
                </a:pPr>
                <a:r>
                  <a:rPr b="0" sz="900" spc="-1" strike="noStrike">
                    <a:solidFill>
                      <a:srgbClr val="6c6a62"/>
                    </a:solidFill>
                    <a:latin typeface="Fira Sans"/>
                  </a:rPr>
                  <a:t>Nifty 50</a:t>
                </a:r>
              </a:p>
            </c:rich>
          </c:tx>
          <c:overlay val="0"/>
          <c:spPr>
            <a:noFill/>
            <a:ln w="0">
              <a:noFill/>
            </a:ln>
          </c:spPr>
        </c:title>
        <c:numFmt formatCode="#,##0" sourceLinked="0"/>
        <c:majorTickMark val="none"/>
        <c:minorTickMark val="none"/>
        <c:tickLblPos val="nextTo"/>
        <c:spPr>
          <a:ln w="9360">
            <a:noFill/>
          </a:ln>
        </c:spPr>
        <c:txPr>
          <a:bodyPr/>
          <a:lstStyle/>
          <a:p>
            <a:pPr>
              <a:defRPr b="0" sz="900" spc="-1" strike="noStrike">
                <a:solidFill>
                  <a:srgbClr val="6c6a62"/>
                </a:solidFill>
                <a:latin typeface="Fira Sans"/>
              </a:defRPr>
            </a:pPr>
          </a:p>
        </c:txPr>
        <c:crossAx val="13914200"/>
        <c:crosses val="autoZero"/>
        <c:crossBetween val="midCat"/>
        <c:majorUnit val="5000"/>
      </c:valAx>
      <c:spPr>
        <a:noFill/>
        <a:ln w="0">
          <a:noFill/>
        </a:ln>
      </c:spPr>
    </c:plotArea>
    <c:legend>
      <c:legendPos val="t"/>
      <c:overlay val="0"/>
      <c:spPr>
        <a:noFill/>
        <a:ln w="0">
          <a:noFill/>
        </a:ln>
      </c:spPr>
      <c:txPr>
        <a:bodyPr/>
        <a:lstStyle/>
        <a:p>
          <a:pPr>
            <a:defRPr b="0" sz="1000" spc="-1" strike="noStrike">
              <a:solidFill>
                <a:srgbClr val="272623"/>
              </a:solidFill>
              <a:latin typeface="Fira Sans"/>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
        <c:varyColors val="0"/>
        <c:ser>
          <c:idx val="0"/>
          <c:order val="0"/>
          <c:tx>
            <c:strRef>
              <c:f>"Profit per unit, old method: parent company only (to Feb 2021)"</c:f>
              <c:strCache>
                <c:ptCount val="1"/>
                <c:pt idx="0">
                  <c:v>Profit per unit, old method: parent company only (to Feb 2021)</c:v>
                </c:pt>
              </c:strCache>
            </c:strRef>
          </c:tx>
          <c:spPr>
            <a:solidFill>
              <a:srgbClr val="e49b53"/>
            </a:solidFill>
            <a:ln w="25560">
              <a:solidFill>
                <a:srgbClr val="e49b5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Monthly!$A$2:$A$55</c:f>
              <c:numCache>
                <c:formatCode>mmm\-yyyy</c:formatCode>
                <c:ptCount val="54"/>
                <c:pt idx="0">
                  <c:v>42643</c:v>
                </c:pt>
                <c:pt idx="1">
                  <c:v>42671</c:v>
                </c:pt>
                <c:pt idx="2">
                  <c:v>42704</c:v>
                </c:pt>
                <c:pt idx="3">
                  <c:v>42734</c:v>
                </c:pt>
                <c:pt idx="4">
                  <c:v>42766</c:v>
                </c:pt>
                <c:pt idx="5">
                  <c:v>42794</c:v>
                </c:pt>
                <c:pt idx="6">
                  <c:v>42825</c:v>
                </c:pt>
                <c:pt idx="7">
                  <c:v>42853</c:v>
                </c:pt>
                <c:pt idx="8">
                  <c:v>42886</c:v>
                </c:pt>
                <c:pt idx="9">
                  <c:v>42916</c:v>
                </c:pt>
                <c:pt idx="10">
                  <c:v>42947</c:v>
                </c:pt>
                <c:pt idx="11">
                  <c:v>42978</c:v>
                </c:pt>
                <c:pt idx="12">
                  <c:v>43007</c:v>
                </c:pt>
                <c:pt idx="13">
                  <c:v>43039</c:v>
                </c:pt>
                <c:pt idx="14">
                  <c:v>43069</c:v>
                </c:pt>
                <c:pt idx="15">
                  <c:v>43098</c:v>
                </c:pt>
                <c:pt idx="16">
                  <c:v>43131</c:v>
                </c:pt>
                <c:pt idx="17">
                  <c:v>43159</c:v>
                </c:pt>
                <c:pt idx="18">
                  <c:v>43187</c:v>
                </c:pt>
                <c:pt idx="19">
                  <c:v>43220</c:v>
                </c:pt>
                <c:pt idx="20">
                  <c:v>43251</c:v>
                </c:pt>
                <c:pt idx="21">
                  <c:v>43280</c:v>
                </c:pt>
                <c:pt idx="22">
                  <c:v>43312</c:v>
                </c:pt>
                <c:pt idx="23">
                  <c:v>43343</c:v>
                </c:pt>
                <c:pt idx="24">
                  <c:v>43371</c:v>
                </c:pt>
                <c:pt idx="25">
                  <c:v>43404</c:v>
                </c:pt>
                <c:pt idx="26">
                  <c:v>43434</c:v>
                </c:pt>
                <c:pt idx="27">
                  <c:v>43465</c:v>
                </c:pt>
                <c:pt idx="28">
                  <c:v>43496</c:v>
                </c:pt>
                <c:pt idx="29">
                  <c:v>43524</c:v>
                </c:pt>
                <c:pt idx="30">
                  <c:v>43553</c:v>
                </c:pt>
                <c:pt idx="31">
                  <c:v>43585</c:v>
                </c:pt>
                <c:pt idx="32">
                  <c:v>43616</c:v>
                </c:pt>
                <c:pt idx="33">
                  <c:v>43644</c:v>
                </c:pt>
                <c:pt idx="34">
                  <c:v>43677</c:v>
                </c:pt>
                <c:pt idx="35">
                  <c:v>43707</c:v>
                </c:pt>
                <c:pt idx="36">
                  <c:v>43738</c:v>
                </c:pt>
                <c:pt idx="37">
                  <c:v>43769</c:v>
                </c:pt>
                <c:pt idx="38">
                  <c:v>43798</c:v>
                </c:pt>
                <c:pt idx="39">
                  <c:v>43830</c:v>
                </c:pt>
                <c:pt idx="40">
                  <c:v>43861</c:v>
                </c:pt>
                <c:pt idx="41">
                  <c:v>43889</c:v>
                </c:pt>
                <c:pt idx="42">
                  <c:v>43921</c:v>
                </c:pt>
                <c:pt idx="43">
                  <c:v>43951</c:v>
                </c:pt>
                <c:pt idx="44">
                  <c:v>43980</c:v>
                </c:pt>
                <c:pt idx="45">
                  <c:v>44012</c:v>
                </c:pt>
                <c:pt idx="46">
                  <c:v>44043</c:v>
                </c:pt>
                <c:pt idx="47">
                  <c:v>44074</c:v>
                </c:pt>
                <c:pt idx="48">
                  <c:v>44104</c:v>
                </c:pt>
                <c:pt idx="49">
                  <c:v>44134</c:v>
                </c:pt>
                <c:pt idx="50">
                  <c:v>44162</c:v>
                </c:pt>
                <c:pt idx="51">
                  <c:v>44196</c:v>
                </c:pt>
                <c:pt idx="52">
                  <c:v>44225</c:v>
                </c:pt>
                <c:pt idx="53">
                  <c:v>44253</c:v>
                </c:pt>
              </c:numCache>
            </c:numRef>
          </c:xVal>
          <c:yVal>
            <c:numRef>
              <c:f>Monthly!$E$2:$E$55</c:f>
              <c:numCache>
                <c:formatCode>\₹#,##0</c:formatCode>
                <c:ptCount val="54"/>
                <c:pt idx="0">
                  <c:v>367.997863247863</c:v>
                </c:pt>
                <c:pt idx="1">
                  <c:v>370.729613733906</c:v>
                </c:pt>
                <c:pt idx="2">
                  <c:v>380.763888888889</c:v>
                </c:pt>
                <c:pt idx="3">
                  <c:v>373.269493844049</c:v>
                </c:pt>
                <c:pt idx="4">
                  <c:v>373.855895196507</c:v>
                </c:pt>
                <c:pt idx="5">
                  <c:v>384.398268398268</c:v>
                </c:pt>
                <c:pt idx="6">
                  <c:v>393.723175965665</c:v>
                </c:pt>
                <c:pt idx="7">
                  <c:v>394.239406779661</c:v>
                </c:pt>
                <c:pt idx="8">
                  <c:v>394.313524590164</c:v>
                </c:pt>
                <c:pt idx="9">
                  <c:v>393.425619834711</c:v>
                </c:pt>
                <c:pt idx="10">
                  <c:v>392.105058365759</c:v>
                </c:pt>
                <c:pt idx="11">
                  <c:v>387.41796875</c:v>
                </c:pt>
                <c:pt idx="12">
                  <c:v>385.377952755906</c:v>
                </c:pt>
                <c:pt idx="13">
                  <c:v>391.488636363636</c:v>
                </c:pt>
                <c:pt idx="14">
                  <c:v>390.326335877863</c:v>
                </c:pt>
                <c:pt idx="15">
                  <c:v>391.18499257058</c:v>
                </c:pt>
                <c:pt idx="16">
                  <c:v>401.007272727273</c:v>
                </c:pt>
                <c:pt idx="17">
                  <c:v>408.282101167315</c:v>
                </c:pt>
                <c:pt idx="18">
                  <c:v>409.461538461539</c:v>
                </c:pt>
                <c:pt idx="19">
                  <c:v>402.222846441948</c:v>
                </c:pt>
                <c:pt idx="20">
                  <c:v>394.711397058824</c:v>
                </c:pt>
                <c:pt idx="21">
                  <c:v>413.679536679537</c:v>
                </c:pt>
                <c:pt idx="22">
                  <c:v>402.712765957447</c:v>
                </c:pt>
                <c:pt idx="23">
                  <c:v>411.285211267606</c:v>
                </c:pt>
                <c:pt idx="24">
                  <c:v>414.032196969697</c:v>
                </c:pt>
                <c:pt idx="25">
                  <c:v>415.464</c:v>
                </c:pt>
                <c:pt idx="26">
                  <c:v>413.56463878327</c:v>
                </c:pt>
                <c:pt idx="27">
                  <c:v>415.076423385556</c:v>
                </c:pt>
                <c:pt idx="28">
                  <c:v>411.82319391635</c:v>
                </c:pt>
                <c:pt idx="29">
                  <c:v>410.361216730038</c:v>
                </c:pt>
                <c:pt idx="30">
                  <c:v>400.824137931034</c:v>
                </c:pt>
                <c:pt idx="31">
                  <c:v>400.960750853242</c:v>
                </c:pt>
                <c:pt idx="32">
                  <c:v>404.162711864407</c:v>
                </c:pt>
                <c:pt idx="33">
                  <c:v>406.512068965517</c:v>
                </c:pt>
                <c:pt idx="34">
                  <c:v>405.766423357664</c:v>
                </c:pt>
                <c:pt idx="35">
                  <c:v>403.782051282051</c:v>
                </c:pt>
                <c:pt idx="36">
                  <c:v>434.638257575758</c:v>
                </c:pt>
                <c:pt idx="37">
                  <c:v>433.483576642336</c:v>
                </c:pt>
                <c:pt idx="38">
                  <c:v>429.040925266904</c:v>
                </c:pt>
                <c:pt idx="39">
                  <c:v>429.980565371025</c:v>
                </c:pt>
                <c:pt idx="40">
                  <c:v>453.109848484849</c:v>
                </c:pt>
                <c:pt idx="41">
                  <c:v>439.28431372549</c:v>
                </c:pt>
                <c:pt idx="42">
                  <c:v>443.182989690722</c:v>
                </c:pt>
                <c:pt idx="43">
                  <c:v>440.174107142857</c:v>
                </c:pt>
                <c:pt idx="44">
                  <c:v>427.691964285714</c:v>
                </c:pt>
                <c:pt idx="45">
                  <c:v>391.714828897338</c:v>
                </c:pt>
                <c:pt idx="46">
                  <c:v>366.670529801325</c:v>
                </c:pt>
                <c:pt idx="47">
                  <c:v>352.554179566564</c:v>
                </c:pt>
                <c:pt idx="48">
                  <c:v>343.961773700306</c:v>
                </c:pt>
                <c:pt idx="49">
                  <c:v>364.965517241379</c:v>
                </c:pt>
                <c:pt idx="50">
                  <c:v>363.275910364146</c:v>
                </c:pt>
                <c:pt idx="51">
                  <c:v>363.634590377113</c:v>
                </c:pt>
                <c:pt idx="52">
                  <c:v>372.530054644809</c:v>
                </c:pt>
                <c:pt idx="53">
                  <c:v>366.897727272727</c:v>
                </c:pt>
              </c:numCache>
            </c:numRef>
          </c:yVal>
          <c:smooth val="0"/>
        </c:ser>
        <c:ser>
          <c:idx val="1"/>
          <c:order val="1"/>
          <c:tx>
            <c:strRef>
              <c:f>"New method, with subsidiaries (from Mar 2021)"</c:f>
              <c:strCache>
                <c:ptCount val="1"/>
                <c:pt idx="0">
                  <c:v>New method, with subsidiaries (from Mar 2021)</c:v>
                </c:pt>
              </c:strCache>
            </c:strRef>
          </c:tx>
          <c:spPr>
            <a:solidFill>
              <a:srgbClr val="cf6827"/>
            </a:solidFill>
            <a:ln w="28440">
              <a:solidFill>
                <a:srgbClr val="cf6827"/>
              </a:solidFill>
              <a:round/>
            </a:ln>
          </c:spPr>
          <c:marker>
            <c:symbol val="none"/>
          </c:marker>
          <c:dPt>
            <c:idx val="66"/>
            <c:marker>
              <c:symbol val="none"/>
            </c:marker>
          </c:dPt>
          <c:dLbls>
            <c:dLbl>
              <c:idx val="66"/>
              <c:txPr>
                <a:bodyPr wrap="square"/>
                <a:lstStyle/>
                <a:p>
                  <a:pPr>
                    <a:defRPr b="1" sz="1000" spc="-1" strike="noStrike">
                      <a:solidFill>
                        <a:srgbClr val="272623"/>
                      </a:solidFill>
                      <a:latin typeface="Fira Sans"/>
                    </a:defRPr>
                  </a:pPr>
                </a:p>
              </c:txPr>
              <c:dLblPos val="t"/>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Monthly!$A$56:$A$122</c:f>
              <c:numCache>
                <c:formatCode>mmm\-yyyy</c:formatCode>
                <c:ptCount val="67"/>
                <c:pt idx="0">
                  <c:v>44286</c:v>
                </c:pt>
                <c:pt idx="1">
                  <c:v>44316</c:v>
                </c:pt>
                <c:pt idx="2">
                  <c:v>44347</c:v>
                </c:pt>
                <c:pt idx="3">
                  <c:v>44377</c:v>
                </c:pt>
                <c:pt idx="4">
                  <c:v>44407</c:v>
                </c:pt>
                <c:pt idx="5">
                  <c:v>44439</c:v>
                </c:pt>
                <c:pt idx="6">
                  <c:v>44469</c:v>
                </c:pt>
                <c:pt idx="7">
                  <c:v>44498</c:v>
                </c:pt>
                <c:pt idx="8">
                  <c:v>44530</c:v>
                </c:pt>
                <c:pt idx="9">
                  <c:v>44561</c:v>
                </c:pt>
                <c:pt idx="10">
                  <c:v>44592</c:v>
                </c:pt>
                <c:pt idx="11">
                  <c:v>44620</c:v>
                </c:pt>
                <c:pt idx="12">
                  <c:v>44651</c:v>
                </c:pt>
                <c:pt idx="13">
                  <c:v>44680</c:v>
                </c:pt>
                <c:pt idx="14">
                  <c:v>44712</c:v>
                </c:pt>
                <c:pt idx="15">
                  <c:v>44742</c:v>
                </c:pt>
                <c:pt idx="16">
                  <c:v>44771</c:v>
                </c:pt>
                <c:pt idx="17">
                  <c:v>44803</c:v>
                </c:pt>
                <c:pt idx="18">
                  <c:v>44834</c:v>
                </c:pt>
                <c:pt idx="19">
                  <c:v>44865</c:v>
                </c:pt>
                <c:pt idx="20">
                  <c:v>44895</c:v>
                </c:pt>
                <c:pt idx="21">
                  <c:v>44925</c:v>
                </c:pt>
                <c:pt idx="22">
                  <c:v>44957</c:v>
                </c:pt>
                <c:pt idx="23">
                  <c:v>44985</c:v>
                </c:pt>
                <c:pt idx="24">
                  <c:v>45016</c:v>
                </c:pt>
                <c:pt idx="25">
                  <c:v>45044</c:v>
                </c:pt>
                <c:pt idx="26">
                  <c:v>45077</c:v>
                </c:pt>
                <c:pt idx="27">
                  <c:v>45107</c:v>
                </c:pt>
                <c:pt idx="28">
                  <c:v>45138</c:v>
                </c:pt>
                <c:pt idx="29">
                  <c:v>45169</c:v>
                </c:pt>
                <c:pt idx="30">
                  <c:v>45198</c:v>
                </c:pt>
                <c:pt idx="31">
                  <c:v>45230</c:v>
                </c:pt>
                <c:pt idx="32">
                  <c:v>45260</c:v>
                </c:pt>
                <c:pt idx="33">
                  <c:v>45289</c:v>
                </c:pt>
                <c:pt idx="34">
                  <c:v>45322</c:v>
                </c:pt>
                <c:pt idx="35">
                  <c:v>45351</c:v>
                </c:pt>
                <c:pt idx="36">
                  <c:v>45379</c:v>
                </c:pt>
                <c:pt idx="37">
                  <c:v>45412</c:v>
                </c:pt>
                <c:pt idx="38">
                  <c:v>45443</c:v>
                </c:pt>
                <c:pt idx="39">
                  <c:v>45471</c:v>
                </c:pt>
                <c:pt idx="40">
                  <c:v>45504</c:v>
                </c:pt>
                <c:pt idx="41">
                  <c:v>45534</c:v>
                </c:pt>
                <c:pt idx="42">
                  <c:v>45565</c:v>
                </c:pt>
                <c:pt idx="43">
                  <c:v>45596</c:v>
                </c:pt>
                <c:pt idx="44">
                  <c:v>45625</c:v>
                </c:pt>
                <c:pt idx="45">
                  <c:v>45657</c:v>
                </c:pt>
                <c:pt idx="46">
                  <c:v>45688</c:v>
                </c:pt>
                <c:pt idx="47">
                  <c:v>45716</c:v>
                </c:pt>
                <c:pt idx="48">
                  <c:v>45744</c:v>
                </c:pt>
                <c:pt idx="49">
                  <c:v>45777</c:v>
                </c:pt>
                <c:pt idx="50">
                  <c:v>45807</c:v>
                </c:pt>
                <c:pt idx="51">
                  <c:v>45838</c:v>
                </c:pt>
                <c:pt idx="52">
                  <c:v>45869</c:v>
                </c:pt>
                <c:pt idx="53">
                  <c:v>45898</c:v>
                </c:pt>
                <c:pt idx="54">
                  <c:v>45930</c:v>
                </c:pt>
                <c:pt idx="55">
                  <c:v>45961</c:v>
                </c:pt>
                <c:pt idx="56">
                  <c:v>45989</c:v>
                </c:pt>
                <c:pt idx="57">
                  <c:v>46022</c:v>
                </c:pt>
                <c:pt idx="58">
                  <c:v>46052</c:v>
                </c:pt>
                <c:pt idx="59">
                  <c:v>46080</c:v>
                </c:pt>
                <c:pt idx="60">
                  <c:v>46111</c:v>
                </c:pt>
                <c:pt idx="61">
                  <c:v>46142</c:v>
                </c:pt>
                <c:pt idx="62">
                  <c:v>46171</c:v>
                </c:pt>
                <c:pt idx="63">
                  <c:v>46203</c:v>
                </c:pt>
                <c:pt idx="64">
                  <c:v>46234</c:v>
                </c:pt>
                <c:pt idx="65">
                  <c:v>46265</c:v>
                </c:pt>
                <c:pt idx="66">
                  <c:v>46293</c:v>
                </c:pt>
              </c:numCache>
            </c:numRef>
          </c:xVal>
          <c:yVal>
            <c:numRef>
              <c:f>Monthly!$E$56:$E$122</c:f>
              <c:numCache>
                <c:formatCode>\₹#,##0</c:formatCode>
                <c:ptCount val="67"/>
                <c:pt idx="0">
                  <c:v>442.490963855422</c:v>
                </c:pt>
                <c:pt idx="1">
                  <c:v>454.38198757764</c:v>
                </c:pt>
                <c:pt idx="2">
                  <c:v>533.657534246575</c:v>
                </c:pt>
                <c:pt idx="3">
                  <c:v>555.530035335689</c:v>
                </c:pt>
                <c:pt idx="4">
                  <c:v>583.816666666667</c:v>
                </c:pt>
                <c:pt idx="5">
                  <c:v>651.414448669202</c:v>
                </c:pt>
                <c:pt idx="6">
                  <c:v>652.524074074074</c:v>
                </c:pt>
                <c:pt idx="7">
                  <c:v>687.612840466926</c:v>
                </c:pt>
                <c:pt idx="8">
                  <c:v>725.777777777778</c:v>
                </c:pt>
                <c:pt idx="9">
                  <c:v>719.786395686437</c:v>
                </c:pt>
                <c:pt idx="10">
                  <c:v>741.019230769231</c:v>
                </c:pt>
                <c:pt idx="11">
                  <c:v>777.49537037037</c:v>
                </c:pt>
                <c:pt idx="12">
                  <c:v>762.652838427948</c:v>
                </c:pt>
                <c:pt idx="13">
                  <c:v>777.388636363636</c:v>
                </c:pt>
                <c:pt idx="14">
                  <c:v>812.968137254902</c:v>
                </c:pt>
                <c:pt idx="15">
                  <c:v>809.24358974359</c:v>
                </c:pt>
                <c:pt idx="16">
                  <c:v>828.900966183575</c:v>
                </c:pt>
                <c:pt idx="17">
                  <c:v>837.702830188679</c:v>
                </c:pt>
                <c:pt idx="18">
                  <c:v>829.822815533981</c:v>
                </c:pt>
                <c:pt idx="19">
                  <c:v>841.691588785047</c:v>
                </c:pt>
                <c:pt idx="20">
                  <c:v>833.704444444444</c:v>
                </c:pt>
                <c:pt idx="21">
                  <c:v>830.899495181276</c:v>
                </c:pt>
                <c:pt idx="22">
                  <c:v>853.243961352657</c:v>
                </c:pt>
                <c:pt idx="23">
                  <c:v>848.232843137255</c:v>
                </c:pt>
                <c:pt idx="24">
                  <c:v>850.968137254902</c:v>
                </c:pt>
                <c:pt idx="25">
                  <c:v>864.354066985646</c:v>
                </c:pt>
                <c:pt idx="26">
                  <c:v>858.074074074074</c:v>
                </c:pt>
                <c:pt idx="27">
                  <c:v>856.654017857143</c:v>
                </c:pt>
                <c:pt idx="28">
                  <c:v>858.860869565217</c:v>
                </c:pt>
                <c:pt idx="29">
                  <c:v>875.172727272727</c:v>
                </c:pt>
                <c:pt idx="30">
                  <c:v>884.608108108108</c:v>
                </c:pt>
                <c:pt idx="31">
                  <c:v>935.274509803922</c:v>
                </c:pt>
                <c:pt idx="32">
                  <c:v>936.425581395349</c:v>
                </c:pt>
                <c:pt idx="33">
                  <c:v>937.911091929219</c:v>
                </c:pt>
                <c:pt idx="34">
                  <c:v>965.586666666667</c:v>
                </c:pt>
                <c:pt idx="35">
                  <c:v>968.405286343612</c:v>
                </c:pt>
                <c:pt idx="36">
                  <c:v>974.973799126638</c:v>
                </c:pt>
                <c:pt idx="37">
                  <c:v>1027.49318181818</c:v>
                </c:pt>
                <c:pt idx="38">
                  <c:v>1052.83644859813</c:v>
                </c:pt>
                <c:pt idx="39">
                  <c:v>1048.49781659389</c:v>
                </c:pt>
                <c:pt idx="40">
                  <c:v>1066.28846153846</c:v>
                </c:pt>
                <c:pt idx="41">
                  <c:v>1073.86808510638</c:v>
                </c:pt>
                <c:pt idx="42">
                  <c:v>1062.17489711934</c:v>
                </c:pt>
                <c:pt idx="43">
                  <c:v>1071.03318584071</c:v>
                </c:pt>
                <c:pt idx="44">
                  <c:v>1086.98648648649</c:v>
                </c:pt>
                <c:pt idx="45">
                  <c:v>1085.12161541992</c:v>
                </c:pt>
                <c:pt idx="46">
                  <c:v>1103.68075117371</c:v>
                </c:pt>
                <c:pt idx="47">
                  <c:v>1123.08121827411</c:v>
                </c:pt>
                <c:pt idx="48">
                  <c:v>1099.03504672897</c:v>
                </c:pt>
                <c:pt idx="49">
                  <c:v>1111.15068493151</c:v>
                </c:pt>
                <c:pt idx="50">
                  <c:v>1109.89686098655</c:v>
                </c:pt>
                <c:pt idx="51">
                  <c:v>1109.43695652174</c:v>
                </c:pt>
                <c:pt idx="52">
                  <c:v>1130.97488584475</c:v>
                </c:pt>
                <c:pt idx="53">
                  <c:v>1136.13255813954</c:v>
                </c:pt>
                <c:pt idx="54">
                  <c:v>1128.9495412844</c:v>
                </c:pt>
                <c:pt idx="55">
                  <c:v>1138.14601769912</c:v>
                </c:pt>
                <c:pt idx="56">
                  <c:v>1149.25219298246</c:v>
                </c:pt>
                <c:pt idx="57">
                  <c:v>1148.55384615385</c:v>
                </c:pt>
                <c:pt idx="58">
                  <c:v>1150.93863636364</c:v>
                </c:pt>
                <c:pt idx="59">
                  <c:v>1144.48409090909</c:v>
                </c:pt>
                <c:pt idx="60">
                  <c:v>1139.35714285714</c:v>
                </c:pt>
                <c:pt idx="61">
                  <c:v>1148.20813397129</c:v>
                </c:pt>
                <c:pt idx="62">
                  <c:v>1159.98768472906</c:v>
                </c:pt>
                <c:pt idx="63">
                  <c:v>1158.53155339806</c:v>
                </c:pt>
                <c:pt idx="64">
                  <c:v>1177.95169082126</c:v>
                </c:pt>
                <c:pt idx="65">
                  <c:v>1180.41176470588</c:v>
                </c:pt>
                <c:pt idx="66">
                  <c:v>1182.77518172378</c:v>
                </c:pt>
              </c:numCache>
            </c:numRef>
          </c:yVal>
          <c:smooth val="0"/>
        </c:ser>
        <c:axId val="19770977"/>
        <c:axId val="24710225"/>
      </c:scatterChart>
      <c:valAx>
        <c:axId val="19770977"/>
        <c:scaling>
          <c:orientation val="minMax"/>
          <c:max val="46296"/>
          <c:min val="42643"/>
        </c:scaling>
        <c:delete val="0"/>
        <c:axPos val="b"/>
        <c:numFmt formatCode="mmm\ yyyy" sourceLinked="0"/>
        <c:majorTickMark val="out"/>
        <c:minorTickMark val="none"/>
        <c:tickLblPos val="nextTo"/>
        <c:spPr>
          <a:ln w="9360">
            <a:solidFill>
              <a:srgbClr val="bcbcb5"/>
            </a:solidFill>
            <a:round/>
          </a:ln>
        </c:spPr>
        <c:txPr>
          <a:bodyPr/>
          <a:lstStyle/>
          <a:p>
            <a:pPr>
              <a:defRPr b="0" sz="900" spc="-1" strike="noStrike">
                <a:solidFill>
                  <a:srgbClr val="6c6a62"/>
                </a:solidFill>
                <a:latin typeface="Fira Sans"/>
              </a:defRPr>
            </a:pPr>
          </a:p>
        </c:txPr>
        <c:crossAx val="24710225"/>
        <c:crosses val="autoZero"/>
        <c:crossBetween val="midCat"/>
        <c:majorUnit val="365.25"/>
      </c:valAx>
      <c:valAx>
        <c:axId val="24710225"/>
        <c:scaling>
          <c:orientation val="minMax"/>
          <c:max val="1400"/>
          <c:min val="0"/>
        </c:scaling>
        <c:delete val="0"/>
        <c:axPos val="l"/>
        <c:majorGridlines>
          <c:spPr>
            <a:ln w="9360">
              <a:solidFill>
                <a:srgbClr val="e4e4e0"/>
              </a:solidFill>
              <a:round/>
            </a:ln>
          </c:spPr>
        </c:majorGridlines>
        <c:title>
          <c:tx>
            <c:rich>
              <a:bodyPr rot="-5400000"/>
              <a:lstStyle/>
              <a:p>
                <a:pPr>
                  <a:defRPr b="0" sz="900" spc="-1" strike="noStrike">
                    <a:solidFill>
                      <a:srgbClr val="6c6a62"/>
                    </a:solidFill>
                    <a:latin typeface="Fira Sans"/>
                  </a:defRPr>
                </a:pPr>
                <a:r>
                  <a:rPr b="0" sz="900" spc="-1" strike="noStrike">
                    <a:solidFill>
                      <a:srgbClr val="6c6a62"/>
                    </a:solidFill>
                    <a:latin typeface="Fira Sans"/>
                  </a:rPr>
                  <a:t>Profit per unit, last 4 quarters (₹)</a:t>
                </a:r>
              </a:p>
            </c:rich>
          </c:tx>
          <c:overlay val="0"/>
          <c:spPr>
            <a:noFill/>
            <a:ln w="0">
              <a:noFill/>
            </a:ln>
          </c:spPr>
        </c:title>
        <c:numFmt formatCode="\₹#,##0" sourceLinked="0"/>
        <c:majorTickMark val="none"/>
        <c:minorTickMark val="none"/>
        <c:tickLblPos val="nextTo"/>
        <c:spPr>
          <a:ln w="9360">
            <a:noFill/>
          </a:ln>
        </c:spPr>
        <c:txPr>
          <a:bodyPr/>
          <a:lstStyle/>
          <a:p>
            <a:pPr>
              <a:defRPr b="0" sz="900" spc="-1" strike="noStrike">
                <a:solidFill>
                  <a:srgbClr val="6c6a62"/>
                </a:solidFill>
                <a:latin typeface="Fira Sans"/>
              </a:defRPr>
            </a:pPr>
          </a:p>
        </c:txPr>
        <c:crossAx val="19770977"/>
        <c:crosses val="autoZero"/>
        <c:crossBetween val="midCat"/>
        <c:majorUnit val="200"/>
      </c:valAx>
      <c:spPr>
        <a:noFill/>
        <a:ln w="0">
          <a:noFill/>
        </a:ln>
      </c:spPr>
    </c:plotArea>
    <c:legend>
      <c:legendPos val="t"/>
      <c:overlay val="0"/>
      <c:spPr>
        <a:noFill/>
        <a:ln w="0">
          <a:noFill/>
        </a:ln>
      </c:spPr>
      <c:txPr>
        <a:bodyPr/>
        <a:lstStyle/>
        <a:p>
          <a:pPr>
            <a:defRPr b="0" sz="1000" spc="-1" strike="noStrike">
              <a:solidFill>
                <a:srgbClr val="272623"/>
              </a:solidFill>
              <a:latin typeface="Fira Sans"/>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
        <c:varyColors val="0"/>
        <c:ser>
          <c:idx val="0"/>
          <c:order val="0"/>
          <c:tx>
            <c:strRef>
              <c:f>"NSE P/E, old method (to Feb 2021)"</c:f>
              <c:strCache>
                <c:ptCount val="1"/>
                <c:pt idx="0">
                  <c:v>NSE P/E, old method (to Feb 2021)</c:v>
                </c:pt>
              </c:strCache>
            </c:strRef>
          </c:tx>
          <c:spPr>
            <a:solidFill>
              <a:srgbClr val="6a9ac6"/>
            </a:solidFill>
            <a:ln w="25560">
              <a:solidFill>
                <a:srgbClr val="6a9ac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Monthly!$A$2:$A$55</c:f>
              <c:numCache>
                <c:formatCode>mmm\-yyyy</c:formatCode>
                <c:ptCount val="54"/>
                <c:pt idx="0">
                  <c:v>42643</c:v>
                </c:pt>
                <c:pt idx="1">
                  <c:v>42671</c:v>
                </c:pt>
                <c:pt idx="2">
                  <c:v>42704</c:v>
                </c:pt>
                <c:pt idx="3">
                  <c:v>42734</c:v>
                </c:pt>
                <c:pt idx="4">
                  <c:v>42766</c:v>
                </c:pt>
                <c:pt idx="5">
                  <c:v>42794</c:v>
                </c:pt>
                <c:pt idx="6">
                  <c:v>42825</c:v>
                </c:pt>
                <c:pt idx="7">
                  <c:v>42853</c:v>
                </c:pt>
                <c:pt idx="8">
                  <c:v>42886</c:v>
                </c:pt>
                <c:pt idx="9">
                  <c:v>42916</c:v>
                </c:pt>
                <c:pt idx="10">
                  <c:v>42947</c:v>
                </c:pt>
                <c:pt idx="11">
                  <c:v>42978</c:v>
                </c:pt>
                <c:pt idx="12">
                  <c:v>43007</c:v>
                </c:pt>
                <c:pt idx="13">
                  <c:v>43039</c:v>
                </c:pt>
                <c:pt idx="14">
                  <c:v>43069</c:v>
                </c:pt>
                <c:pt idx="15">
                  <c:v>43098</c:v>
                </c:pt>
                <c:pt idx="16">
                  <c:v>43131</c:v>
                </c:pt>
                <c:pt idx="17">
                  <c:v>43159</c:v>
                </c:pt>
                <c:pt idx="18">
                  <c:v>43187</c:v>
                </c:pt>
                <c:pt idx="19">
                  <c:v>43220</c:v>
                </c:pt>
                <c:pt idx="20">
                  <c:v>43251</c:v>
                </c:pt>
                <c:pt idx="21">
                  <c:v>43280</c:v>
                </c:pt>
                <c:pt idx="22">
                  <c:v>43312</c:v>
                </c:pt>
                <c:pt idx="23">
                  <c:v>43343</c:v>
                </c:pt>
                <c:pt idx="24">
                  <c:v>43371</c:v>
                </c:pt>
                <c:pt idx="25">
                  <c:v>43404</c:v>
                </c:pt>
                <c:pt idx="26">
                  <c:v>43434</c:v>
                </c:pt>
                <c:pt idx="27">
                  <c:v>43465</c:v>
                </c:pt>
                <c:pt idx="28">
                  <c:v>43496</c:v>
                </c:pt>
                <c:pt idx="29">
                  <c:v>43524</c:v>
                </c:pt>
                <c:pt idx="30">
                  <c:v>43553</c:v>
                </c:pt>
                <c:pt idx="31">
                  <c:v>43585</c:v>
                </c:pt>
                <c:pt idx="32">
                  <c:v>43616</c:v>
                </c:pt>
                <c:pt idx="33">
                  <c:v>43644</c:v>
                </c:pt>
                <c:pt idx="34">
                  <c:v>43677</c:v>
                </c:pt>
                <c:pt idx="35">
                  <c:v>43707</c:v>
                </c:pt>
                <c:pt idx="36">
                  <c:v>43738</c:v>
                </c:pt>
                <c:pt idx="37">
                  <c:v>43769</c:v>
                </c:pt>
                <c:pt idx="38">
                  <c:v>43798</c:v>
                </c:pt>
                <c:pt idx="39">
                  <c:v>43830</c:v>
                </c:pt>
                <c:pt idx="40">
                  <c:v>43861</c:v>
                </c:pt>
                <c:pt idx="41">
                  <c:v>43889</c:v>
                </c:pt>
                <c:pt idx="42">
                  <c:v>43921</c:v>
                </c:pt>
                <c:pt idx="43">
                  <c:v>43951</c:v>
                </c:pt>
                <c:pt idx="44">
                  <c:v>43980</c:v>
                </c:pt>
                <c:pt idx="45">
                  <c:v>44012</c:v>
                </c:pt>
                <c:pt idx="46">
                  <c:v>44043</c:v>
                </c:pt>
                <c:pt idx="47">
                  <c:v>44074</c:v>
                </c:pt>
                <c:pt idx="48">
                  <c:v>44104</c:v>
                </c:pt>
                <c:pt idx="49">
                  <c:v>44134</c:v>
                </c:pt>
                <c:pt idx="50">
                  <c:v>44162</c:v>
                </c:pt>
                <c:pt idx="51">
                  <c:v>44196</c:v>
                </c:pt>
                <c:pt idx="52">
                  <c:v>44225</c:v>
                </c:pt>
                <c:pt idx="53">
                  <c:v>44253</c:v>
                </c:pt>
              </c:numCache>
            </c:numRef>
          </c:xVal>
          <c:yVal>
            <c:numRef>
              <c:f>Monthly!$C$2:$C$55</c:f>
              <c:numCache>
                <c:formatCode>0.0\x</c:formatCode>
                <c:ptCount val="54"/>
                <c:pt idx="0">
                  <c:v>23.4</c:v>
                </c:pt>
                <c:pt idx="1">
                  <c:v>23.3</c:v>
                </c:pt>
                <c:pt idx="2">
                  <c:v>21.6</c:v>
                </c:pt>
                <c:pt idx="3">
                  <c:v>21.93</c:v>
                </c:pt>
                <c:pt idx="4">
                  <c:v>22.9</c:v>
                </c:pt>
                <c:pt idx="5">
                  <c:v>23.1</c:v>
                </c:pt>
                <c:pt idx="6">
                  <c:v>23.3</c:v>
                </c:pt>
                <c:pt idx="7">
                  <c:v>23.6</c:v>
                </c:pt>
                <c:pt idx="8">
                  <c:v>24.4</c:v>
                </c:pt>
                <c:pt idx="9">
                  <c:v>24.2</c:v>
                </c:pt>
                <c:pt idx="10">
                  <c:v>25.7</c:v>
                </c:pt>
                <c:pt idx="11">
                  <c:v>25.6</c:v>
                </c:pt>
                <c:pt idx="12">
                  <c:v>25.4</c:v>
                </c:pt>
                <c:pt idx="13">
                  <c:v>26.4</c:v>
                </c:pt>
                <c:pt idx="14">
                  <c:v>26.2</c:v>
                </c:pt>
                <c:pt idx="15">
                  <c:v>26.92</c:v>
                </c:pt>
                <c:pt idx="16">
                  <c:v>27.5</c:v>
                </c:pt>
                <c:pt idx="17">
                  <c:v>25.7</c:v>
                </c:pt>
                <c:pt idx="18">
                  <c:v>24.7</c:v>
                </c:pt>
                <c:pt idx="19">
                  <c:v>26.7</c:v>
                </c:pt>
                <c:pt idx="20">
                  <c:v>27.2</c:v>
                </c:pt>
                <c:pt idx="21">
                  <c:v>25.9</c:v>
                </c:pt>
                <c:pt idx="22">
                  <c:v>28.2</c:v>
                </c:pt>
                <c:pt idx="23">
                  <c:v>28.4</c:v>
                </c:pt>
                <c:pt idx="24">
                  <c:v>26.4</c:v>
                </c:pt>
                <c:pt idx="25">
                  <c:v>25</c:v>
                </c:pt>
                <c:pt idx="26">
                  <c:v>26.3</c:v>
                </c:pt>
                <c:pt idx="27">
                  <c:v>26.17</c:v>
                </c:pt>
                <c:pt idx="28">
                  <c:v>26.3</c:v>
                </c:pt>
                <c:pt idx="29">
                  <c:v>26.3</c:v>
                </c:pt>
                <c:pt idx="30">
                  <c:v>29</c:v>
                </c:pt>
                <c:pt idx="31">
                  <c:v>29.3</c:v>
                </c:pt>
                <c:pt idx="32">
                  <c:v>29.5</c:v>
                </c:pt>
                <c:pt idx="33">
                  <c:v>29</c:v>
                </c:pt>
                <c:pt idx="34">
                  <c:v>27.4</c:v>
                </c:pt>
                <c:pt idx="35">
                  <c:v>27.3</c:v>
                </c:pt>
                <c:pt idx="36">
                  <c:v>26.4</c:v>
                </c:pt>
                <c:pt idx="37">
                  <c:v>27.4</c:v>
                </c:pt>
                <c:pt idx="38">
                  <c:v>28.1</c:v>
                </c:pt>
                <c:pt idx="39">
                  <c:v>28.3</c:v>
                </c:pt>
                <c:pt idx="40">
                  <c:v>26.4</c:v>
                </c:pt>
                <c:pt idx="41">
                  <c:v>25.5</c:v>
                </c:pt>
                <c:pt idx="42">
                  <c:v>19.4</c:v>
                </c:pt>
                <c:pt idx="43">
                  <c:v>22.4</c:v>
                </c:pt>
                <c:pt idx="44">
                  <c:v>22.4</c:v>
                </c:pt>
                <c:pt idx="45">
                  <c:v>26.3</c:v>
                </c:pt>
                <c:pt idx="46">
                  <c:v>30.2</c:v>
                </c:pt>
                <c:pt idx="47">
                  <c:v>32.3</c:v>
                </c:pt>
                <c:pt idx="48">
                  <c:v>32.7</c:v>
                </c:pt>
                <c:pt idx="49">
                  <c:v>31.9</c:v>
                </c:pt>
                <c:pt idx="50">
                  <c:v>35.7</c:v>
                </c:pt>
                <c:pt idx="51">
                  <c:v>38.45</c:v>
                </c:pt>
                <c:pt idx="52">
                  <c:v>36.6</c:v>
                </c:pt>
                <c:pt idx="53">
                  <c:v>39.6</c:v>
                </c:pt>
              </c:numCache>
            </c:numRef>
          </c:yVal>
          <c:smooth val="0"/>
        </c:ser>
        <c:ser>
          <c:idx val="1"/>
          <c:order val="1"/>
          <c:tx>
            <c:strRef>
              <c:f>"New method (from Mar 2021)"</c:f>
              <c:strCache>
                <c:ptCount val="1"/>
                <c:pt idx="0">
                  <c:v>New method (from Mar 2021)</c:v>
                </c:pt>
              </c:strCache>
            </c:strRef>
          </c:tx>
          <c:spPr>
            <a:solidFill>
              <a:srgbClr val="356494"/>
            </a:solidFill>
            <a:ln w="28440">
              <a:solidFill>
                <a:srgbClr val="356494"/>
              </a:solidFill>
              <a:round/>
            </a:ln>
          </c:spPr>
          <c:marker>
            <c:symbol val="none"/>
          </c:marker>
          <c:dPt>
            <c:idx val="66"/>
            <c:marker>
              <c:symbol val="none"/>
            </c:marker>
          </c:dPt>
          <c:dLbls>
            <c:dLbl>
              <c:idx val="66"/>
              <c:txPr>
                <a:bodyPr wrap="square"/>
                <a:lstStyle/>
                <a:p>
                  <a:pPr>
                    <a:defRPr b="1" sz="1000" spc="-1" strike="noStrike">
                      <a:solidFill>
                        <a:srgbClr val="272623"/>
                      </a:solidFill>
                      <a:latin typeface="Fira Sans"/>
                    </a:defRPr>
                  </a:pPr>
                </a:p>
              </c:txPr>
              <c:dLblPos val="b"/>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Monthly!$A$56:$A$122</c:f>
              <c:numCache>
                <c:formatCode>mmm\-yyyy</c:formatCode>
                <c:ptCount val="67"/>
                <c:pt idx="0">
                  <c:v>44286</c:v>
                </c:pt>
                <c:pt idx="1">
                  <c:v>44316</c:v>
                </c:pt>
                <c:pt idx="2">
                  <c:v>44347</c:v>
                </c:pt>
                <c:pt idx="3">
                  <c:v>44377</c:v>
                </c:pt>
                <c:pt idx="4">
                  <c:v>44407</c:v>
                </c:pt>
                <c:pt idx="5">
                  <c:v>44439</c:v>
                </c:pt>
                <c:pt idx="6">
                  <c:v>44469</c:v>
                </c:pt>
                <c:pt idx="7">
                  <c:v>44498</c:v>
                </c:pt>
                <c:pt idx="8">
                  <c:v>44530</c:v>
                </c:pt>
                <c:pt idx="9">
                  <c:v>44561</c:v>
                </c:pt>
                <c:pt idx="10">
                  <c:v>44592</c:v>
                </c:pt>
                <c:pt idx="11">
                  <c:v>44620</c:v>
                </c:pt>
                <c:pt idx="12">
                  <c:v>44651</c:v>
                </c:pt>
                <c:pt idx="13">
                  <c:v>44680</c:v>
                </c:pt>
                <c:pt idx="14">
                  <c:v>44712</c:v>
                </c:pt>
                <c:pt idx="15">
                  <c:v>44742</c:v>
                </c:pt>
                <c:pt idx="16">
                  <c:v>44771</c:v>
                </c:pt>
                <c:pt idx="17">
                  <c:v>44803</c:v>
                </c:pt>
                <c:pt idx="18">
                  <c:v>44834</c:v>
                </c:pt>
                <c:pt idx="19">
                  <c:v>44865</c:v>
                </c:pt>
                <c:pt idx="20">
                  <c:v>44895</c:v>
                </c:pt>
                <c:pt idx="21">
                  <c:v>44925</c:v>
                </c:pt>
                <c:pt idx="22">
                  <c:v>44957</c:v>
                </c:pt>
                <c:pt idx="23">
                  <c:v>44985</c:v>
                </c:pt>
                <c:pt idx="24">
                  <c:v>45016</c:v>
                </c:pt>
                <c:pt idx="25">
                  <c:v>45044</c:v>
                </c:pt>
                <c:pt idx="26">
                  <c:v>45077</c:v>
                </c:pt>
                <c:pt idx="27">
                  <c:v>45107</c:v>
                </c:pt>
                <c:pt idx="28">
                  <c:v>45138</c:v>
                </c:pt>
                <c:pt idx="29">
                  <c:v>45169</c:v>
                </c:pt>
                <c:pt idx="30">
                  <c:v>45198</c:v>
                </c:pt>
                <c:pt idx="31">
                  <c:v>45230</c:v>
                </c:pt>
                <c:pt idx="32">
                  <c:v>45260</c:v>
                </c:pt>
                <c:pt idx="33">
                  <c:v>45289</c:v>
                </c:pt>
                <c:pt idx="34">
                  <c:v>45322</c:v>
                </c:pt>
                <c:pt idx="35">
                  <c:v>45351</c:v>
                </c:pt>
                <c:pt idx="36">
                  <c:v>45379</c:v>
                </c:pt>
                <c:pt idx="37">
                  <c:v>45412</c:v>
                </c:pt>
                <c:pt idx="38">
                  <c:v>45443</c:v>
                </c:pt>
                <c:pt idx="39">
                  <c:v>45471</c:v>
                </c:pt>
                <c:pt idx="40">
                  <c:v>45504</c:v>
                </c:pt>
                <c:pt idx="41">
                  <c:v>45534</c:v>
                </c:pt>
                <c:pt idx="42">
                  <c:v>45565</c:v>
                </c:pt>
                <c:pt idx="43">
                  <c:v>45596</c:v>
                </c:pt>
                <c:pt idx="44">
                  <c:v>45625</c:v>
                </c:pt>
                <c:pt idx="45">
                  <c:v>45657</c:v>
                </c:pt>
                <c:pt idx="46">
                  <c:v>45688</c:v>
                </c:pt>
                <c:pt idx="47">
                  <c:v>45716</c:v>
                </c:pt>
                <c:pt idx="48">
                  <c:v>45744</c:v>
                </c:pt>
                <c:pt idx="49">
                  <c:v>45777</c:v>
                </c:pt>
                <c:pt idx="50">
                  <c:v>45807</c:v>
                </c:pt>
                <c:pt idx="51">
                  <c:v>45838</c:v>
                </c:pt>
                <c:pt idx="52">
                  <c:v>45869</c:v>
                </c:pt>
                <c:pt idx="53">
                  <c:v>45898</c:v>
                </c:pt>
                <c:pt idx="54">
                  <c:v>45930</c:v>
                </c:pt>
                <c:pt idx="55">
                  <c:v>45961</c:v>
                </c:pt>
                <c:pt idx="56">
                  <c:v>45989</c:v>
                </c:pt>
                <c:pt idx="57">
                  <c:v>46022</c:v>
                </c:pt>
                <c:pt idx="58">
                  <c:v>46052</c:v>
                </c:pt>
                <c:pt idx="59">
                  <c:v>46080</c:v>
                </c:pt>
                <c:pt idx="60">
                  <c:v>46111</c:v>
                </c:pt>
                <c:pt idx="61">
                  <c:v>46142</c:v>
                </c:pt>
                <c:pt idx="62">
                  <c:v>46171</c:v>
                </c:pt>
                <c:pt idx="63">
                  <c:v>46203</c:v>
                </c:pt>
                <c:pt idx="64">
                  <c:v>46234</c:v>
                </c:pt>
                <c:pt idx="65">
                  <c:v>46265</c:v>
                </c:pt>
                <c:pt idx="66">
                  <c:v>46293</c:v>
                </c:pt>
              </c:numCache>
            </c:numRef>
          </c:xVal>
          <c:yVal>
            <c:numRef>
              <c:f>Monthly!$C$56:$C$122</c:f>
              <c:numCache>
                <c:formatCode>0.0\x</c:formatCode>
                <c:ptCount val="67"/>
                <c:pt idx="0">
                  <c:v>33.2</c:v>
                </c:pt>
                <c:pt idx="1">
                  <c:v>32.2</c:v>
                </c:pt>
                <c:pt idx="2">
                  <c:v>29.2</c:v>
                </c:pt>
                <c:pt idx="3">
                  <c:v>28.3</c:v>
                </c:pt>
                <c:pt idx="4">
                  <c:v>27</c:v>
                </c:pt>
                <c:pt idx="5">
                  <c:v>26.3</c:v>
                </c:pt>
                <c:pt idx="6">
                  <c:v>27</c:v>
                </c:pt>
                <c:pt idx="7">
                  <c:v>25.7</c:v>
                </c:pt>
                <c:pt idx="8">
                  <c:v>23.4</c:v>
                </c:pt>
                <c:pt idx="9">
                  <c:v>24.11</c:v>
                </c:pt>
                <c:pt idx="10">
                  <c:v>23.4</c:v>
                </c:pt>
                <c:pt idx="11">
                  <c:v>21.6</c:v>
                </c:pt>
                <c:pt idx="12">
                  <c:v>22.9</c:v>
                </c:pt>
                <c:pt idx="13">
                  <c:v>22</c:v>
                </c:pt>
                <c:pt idx="14">
                  <c:v>20.4</c:v>
                </c:pt>
                <c:pt idx="15">
                  <c:v>19.5</c:v>
                </c:pt>
                <c:pt idx="16">
                  <c:v>20.7</c:v>
                </c:pt>
                <c:pt idx="17">
                  <c:v>21.2</c:v>
                </c:pt>
                <c:pt idx="18">
                  <c:v>20.6</c:v>
                </c:pt>
                <c:pt idx="19">
                  <c:v>21.4</c:v>
                </c:pt>
                <c:pt idx="20">
                  <c:v>22.5</c:v>
                </c:pt>
                <c:pt idx="21">
                  <c:v>21.79</c:v>
                </c:pt>
                <c:pt idx="22">
                  <c:v>20.7</c:v>
                </c:pt>
                <c:pt idx="23">
                  <c:v>20.4</c:v>
                </c:pt>
                <c:pt idx="24">
                  <c:v>20.4</c:v>
                </c:pt>
                <c:pt idx="25">
                  <c:v>20.9</c:v>
                </c:pt>
                <c:pt idx="26">
                  <c:v>21.6</c:v>
                </c:pt>
                <c:pt idx="27">
                  <c:v>22.4</c:v>
                </c:pt>
                <c:pt idx="28">
                  <c:v>23</c:v>
                </c:pt>
                <c:pt idx="29">
                  <c:v>22</c:v>
                </c:pt>
                <c:pt idx="30">
                  <c:v>22.2</c:v>
                </c:pt>
                <c:pt idx="31">
                  <c:v>20.4</c:v>
                </c:pt>
                <c:pt idx="32">
                  <c:v>21.5</c:v>
                </c:pt>
                <c:pt idx="33">
                  <c:v>23.17</c:v>
                </c:pt>
                <c:pt idx="34">
                  <c:v>22.5</c:v>
                </c:pt>
                <c:pt idx="35">
                  <c:v>22.7</c:v>
                </c:pt>
                <c:pt idx="36">
                  <c:v>22.9</c:v>
                </c:pt>
                <c:pt idx="37">
                  <c:v>22</c:v>
                </c:pt>
                <c:pt idx="38">
                  <c:v>21.4</c:v>
                </c:pt>
                <c:pt idx="39">
                  <c:v>22.9</c:v>
                </c:pt>
                <c:pt idx="40">
                  <c:v>23.4</c:v>
                </c:pt>
                <c:pt idx="41">
                  <c:v>23.5</c:v>
                </c:pt>
                <c:pt idx="42">
                  <c:v>24.3</c:v>
                </c:pt>
                <c:pt idx="43">
                  <c:v>22.6</c:v>
                </c:pt>
                <c:pt idx="44">
                  <c:v>22.2</c:v>
                </c:pt>
                <c:pt idx="45">
                  <c:v>21.79</c:v>
                </c:pt>
                <c:pt idx="46">
                  <c:v>21.3</c:v>
                </c:pt>
                <c:pt idx="47">
                  <c:v>19.7</c:v>
                </c:pt>
                <c:pt idx="48">
                  <c:v>21.4</c:v>
                </c:pt>
                <c:pt idx="49">
                  <c:v>21.9</c:v>
                </c:pt>
                <c:pt idx="50">
                  <c:v>22.3</c:v>
                </c:pt>
                <c:pt idx="51">
                  <c:v>23</c:v>
                </c:pt>
                <c:pt idx="52">
                  <c:v>21.9</c:v>
                </c:pt>
                <c:pt idx="53">
                  <c:v>21.5</c:v>
                </c:pt>
                <c:pt idx="54">
                  <c:v>21.8</c:v>
                </c:pt>
                <c:pt idx="55">
                  <c:v>22.6</c:v>
                </c:pt>
                <c:pt idx="56">
                  <c:v>22.8</c:v>
                </c:pt>
                <c:pt idx="57">
                  <c:v>22.75</c:v>
                </c:pt>
                <c:pt idx="58">
                  <c:v>22</c:v>
                </c:pt>
                <c:pt idx="59">
                  <c:v>22</c:v>
                </c:pt>
                <c:pt idx="60">
                  <c:v>19.6</c:v>
                </c:pt>
                <c:pt idx="61">
                  <c:v>20.9</c:v>
                </c:pt>
                <c:pt idx="62">
                  <c:v>20.3</c:v>
                </c:pt>
                <c:pt idx="63">
                  <c:v>20.6</c:v>
                </c:pt>
                <c:pt idx="64">
                  <c:v>20.7</c:v>
                </c:pt>
                <c:pt idx="65">
                  <c:v>20.4</c:v>
                </c:pt>
                <c:pt idx="66">
                  <c:v>19.26</c:v>
                </c:pt>
              </c:numCache>
            </c:numRef>
          </c:yVal>
          <c:smooth val="0"/>
        </c:ser>
        <c:ser>
          <c:idx val="2"/>
          <c:order val="2"/>
          <c:tx>
            <c:strRef>
              <c:f>"Latest level (19.3x)"</c:f>
              <c:strCache>
                <c:ptCount val="1"/>
                <c:pt idx="0">
                  <c:v>Latest level (19.3x)</c:v>
                </c:pt>
              </c:strCache>
            </c:strRef>
          </c:tx>
          <c:spPr>
            <a:solidFill>
              <a:srgbClr val="8e8c81"/>
            </a:solidFill>
            <a:ln w="12600">
              <a:solidFill>
                <a:srgbClr val="8e8c81"/>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Summary!$A$50:$A$51</c:f>
              <c:numCache>
                <c:formatCode>dd\-mmm\-yyyy</c:formatCode>
                <c:ptCount val="2"/>
                <c:pt idx="0">
                  <c:v>42643</c:v>
                </c:pt>
                <c:pt idx="1">
                  <c:v>46293</c:v>
                </c:pt>
              </c:numCache>
            </c:numRef>
          </c:xVal>
          <c:yVal>
            <c:numRef>
              <c:f>Summary!$B$50:$B$51</c:f>
              <c:numCache>
                <c:formatCode>0.00</c:formatCode>
                <c:ptCount val="2"/>
                <c:pt idx="0">
                  <c:v>19.26</c:v>
                </c:pt>
                <c:pt idx="1">
                  <c:v>19.26</c:v>
                </c:pt>
              </c:numCache>
            </c:numRef>
          </c:yVal>
          <c:smooth val="0"/>
        </c:ser>
        <c:axId val="90845500"/>
        <c:axId val="6137255"/>
      </c:scatterChart>
      <c:valAx>
        <c:axId val="90845500"/>
        <c:scaling>
          <c:orientation val="minMax"/>
          <c:max val="46296"/>
          <c:min val="42643"/>
        </c:scaling>
        <c:delete val="0"/>
        <c:axPos val="b"/>
        <c:numFmt formatCode="mmm\ yyyy" sourceLinked="0"/>
        <c:majorTickMark val="out"/>
        <c:minorTickMark val="none"/>
        <c:tickLblPos val="nextTo"/>
        <c:spPr>
          <a:ln w="9360">
            <a:solidFill>
              <a:srgbClr val="bcbcb5"/>
            </a:solidFill>
            <a:round/>
          </a:ln>
        </c:spPr>
        <c:txPr>
          <a:bodyPr/>
          <a:lstStyle/>
          <a:p>
            <a:pPr>
              <a:defRPr b="0" sz="900" spc="-1" strike="noStrike">
                <a:solidFill>
                  <a:srgbClr val="6c6a62"/>
                </a:solidFill>
                <a:latin typeface="Fira Sans"/>
              </a:defRPr>
            </a:pPr>
          </a:p>
        </c:txPr>
        <c:crossAx val="6137255"/>
        <c:crosses val="autoZero"/>
        <c:crossBetween val="midCat"/>
        <c:majorUnit val="365.25"/>
      </c:valAx>
      <c:valAx>
        <c:axId val="6137255"/>
        <c:scaling>
          <c:orientation val="minMax"/>
          <c:max val="45"/>
          <c:min val="10"/>
        </c:scaling>
        <c:delete val="0"/>
        <c:axPos val="l"/>
        <c:majorGridlines>
          <c:spPr>
            <a:ln w="9360">
              <a:solidFill>
                <a:srgbClr val="e4e4e0"/>
              </a:solidFill>
              <a:round/>
            </a:ln>
          </c:spPr>
        </c:majorGridlines>
        <c:title>
          <c:tx>
            <c:rich>
              <a:bodyPr rot="-5400000"/>
              <a:lstStyle/>
              <a:p>
                <a:pPr>
                  <a:defRPr b="0" sz="900" spc="-1" strike="noStrike">
                    <a:solidFill>
                      <a:srgbClr val="6c6a62"/>
                    </a:solidFill>
                    <a:latin typeface="Fira Sans"/>
                  </a:defRPr>
                </a:pPr>
                <a:r>
                  <a:rPr b="0" sz="900" spc="-1" strike="noStrike">
                    <a:solidFill>
                      <a:srgbClr val="6c6a62"/>
                    </a:solidFill>
                    <a:latin typeface="Fira Sans"/>
                  </a:rPr>
                  <a:t>NSE P/E (trailing)</a:t>
                </a:r>
              </a:p>
            </c:rich>
          </c:tx>
          <c:overlay val="0"/>
          <c:spPr>
            <a:noFill/>
            <a:ln w="0">
              <a:noFill/>
            </a:ln>
          </c:spPr>
        </c:title>
        <c:numFmt formatCode="&quot;   &quot;0\x" sourceLinked="0"/>
        <c:majorTickMark val="none"/>
        <c:minorTickMark val="none"/>
        <c:tickLblPos val="nextTo"/>
        <c:spPr>
          <a:ln w="9360">
            <a:noFill/>
          </a:ln>
        </c:spPr>
        <c:txPr>
          <a:bodyPr/>
          <a:lstStyle/>
          <a:p>
            <a:pPr>
              <a:defRPr b="0" sz="900" spc="-1" strike="noStrike">
                <a:solidFill>
                  <a:srgbClr val="6c6a62"/>
                </a:solidFill>
                <a:latin typeface="Fira Sans"/>
              </a:defRPr>
            </a:pPr>
          </a:p>
        </c:txPr>
        <c:crossAx val="90845500"/>
        <c:crosses val="autoZero"/>
        <c:crossBetween val="midCat"/>
        <c:majorUnit val="5"/>
      </c:valAx>
      <c:spPr>
        <a:noFill/>
        <a:ln w="0">
          <a:noFill/>
        </a:ln>
      </c:spPr>
    </c:plotArea>
    <c:legend>
      <c:legendPos val="t"/>
      <c:overlay val="0"/>
      <c:spPr>
        <a:noFill/>
        <a:ln w="0">
          <a:noFill/>
        </a:ln>
      </c:spPr>
      <c:txPr>
        <a:bodyPr/>
        <a:lstStyle/>
        <a:p>
          <a:pPr>
            <a:defRPr b="0" sz="1000" spc="-1" strike="noStrike">
              <a:solidFill>
                <a:srgbClr val="272623"/>
              </a:solidFill>
              <a:latin typeface="Fira Sans"/>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7</xdr:row>
      <xdr:rowOff>0</xdr:rowOff>
    </xdr:from>
    <xdr:to>
      <xdr:col>22</xdr:col>
      <xdr:colOff>57960</xdr:colOff>
      <xdr:row>20</xdr:row>
      <xdr:rowOff>43200</xdr:rowOff>
    </xdr:to>
    <xdr:graphicFrame>
      <xdr:nvGraphicFramePr>
        <xdr:cNvPr id="0" name="Chart 1"/>
        <xdr:cNvGraphicFramePr/>
      </xdr:nvGraphicFramePr>
      <xdr:xfrm>
        <a:off x="222120" y="1866960"/>
        <a:ext cx="134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22</xdr:row>
      <xdr:rowOff>0</xdr:rowOff>
    </xdr:from>
    <xdr:to>
      <xdr:col>22</xdr:col>
      <xdr:colOff>57960</xdr:colOff>
      <xdr:row>35</xdr:row>
      <xdr:rowOff>42840</xdr:rowOff>
    </xdr:to>
    <xdr:graphicFrame>
      <xdr:nvGraphicFramePr>
        <xdr:cNvPr id="1" name="Chart 2"/>
        <xdr:cNvGraphicFramePr/>
      </xdr:nvGraphicFramePr>
      <xdr:xfrm>
        <a:off x="222120" y="4724280"/>
        <a:ext cx="1349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0</xdr:rowOff>
    </xdr:from>
    <xdr:to>
      <xdr:col>22</xdr:col>
      <xdr:colOff>57960</xdr:colOff>
      <xdr:row>50</xdr:row>
      <xdr:rowOff>43200</xdr:rowOff>
    </xdr:to>
    <xdr:graphicFrame>
      <xdr:nvGraphicFramePr>
        <xdr:cNvPr id="2" name="Chart 3"/>
        <xdr:cNvGraphicFramePr/>
      </xdr:nvGraphicFramePr>
      <xdr:xfrm>
        <a:off x="222120" y="7581960"/>
        <a:ext cx="1349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0</xdr:colOff>
      <xdr:row>1</xdr:row>
      <xdr:rowOff>0</xdr:rowOff>
    </xdr:from>
    <xdr:to>
      <xdr:col>20</xdr:col>
      <xdr:colOff>552240</xdr:colOff>
      <xdr:row>2</xdr:row>
      <xdr:rowOff>171360</xdr:rowOff>
    </xdr:to>
    <xdr:pic>
      <xdr:nvPicPr>
        <xdr:cNvPr id="3" name="Image 4" descr="Picture"/>
        <xdr:cNvPicPr/>
      </xdr:nvPicPr>
      <xdr:blipFill>
        <a:blip r:embed="rId4"/>
        <a:stretch/>
      </xdr:blipFill>
      <xdr:spPr>
        <a:xfrm>
          <a:off x="12383640" y="123840"/>
          <a:ext cx="552240" cy="552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V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2" min="2" style="0" width="7.2"/>
  </cols>
  <sheetData>
    <row r="1" customFormat="false" ht="9.75" hidden="false" customHeight="true" outlineLevel="0" collapsed="false"/>
    <row r="2" customFormat="false" ht="30" hidden="false" customHeight="true" outlineLevel="0" collapsed="false">
      <c r="B2" s="1" t="s">
        <v>0</v>
      </c>
    </row>
    <row r="3" customFormat="false" ht="30" hidden="false" customHeight="true" outlineLevel="0" collapsed="false">
      <c r="B3" s="2" t="s">
        <v>1</v>
      </c>
      <c r="C3" s="2"/>
      <c r="D3" s="2"/>
      <c r="E3" s="2"/>
      <c r="F3" s="2"/>
      <c r="G3" s="2"/>
      <c r="H3" s="2"/>
      <c r="I3" s="2"/>
      <c r="J3" s="2"/>
      <c r="K3" s="2"/>
      <c r="L3" s="2"/>
      <c r="M3" s="2"/>
      <c r="N3" s="2"/>
      <c r="O3" s="2"/>
      <c r="P3" s="2"/>
      <c r="Q3" s="2"/>
      <c r="R3" s="2"/>
      <c r="S3" s="2"/>
    </row>
    <row r="4" customFormat="false" ht="30" hidden="false" customHeight="true" outlineLevel="0" collapsed="false">
      <c r="B4" s="2" t="s">
        <v>2</v>
      </c>
      <c r="C4" s="2"/>
      <c r="D4" s="2"/>
      <c r="E4" s="2"/>
      <c r="F4" s="2"/>
      <c r="G4" s="2"/>
      <c r="H4" s="2"/>
      <c r="I4" s="2"/>
      <c r="J4" s="2"/>
      <c r="K4" s="2"/>
      <c r="L4" s="2"/>
      <c r="M4" s="2"/>
      <c r="N4" s="2"/>
      <c r="O4" s="2"/>
      <c r="P4" s="2"/>
      <c r="Q4" s="2"/>
      <c r="R4" s="2"/>
      <c r="S4" s="2"/>
    </row>
    <row r="5" customFormat="false" ht="7.5" hidden="false" customHeight="true" outlineLevel="0" collapsed="false"/>
    <row r="6" customFormat="false" ht="33.75" hidden="false" customHeight="true" outlineLevel="0" collapsed="false">
      <c r="B6" s="3" t="str">
        <f aca="false">"Nifty 50   "&amp;TEXT(Summary!C15,"#,##0")&amp;"  →  "&amp;TEXT(Summary!C22,"#,##0")&amp;"   ("&amp;TEXT(Summary!I15,"0.0")&amp;"x)"</f>
        <v>Nifty 50   8,611  →  22,780   (2.6x)</v>
      </c>
      <c r="I6" s="4" t="str">
        <f aca="false">"Profit per unit   ₹"&amp;TEXT(Summary!F15,"#,##0")&amp;"*  →  ₹"&amp;TEXT(Summary!F22,"#,##0")&amp;"   ("&amp;TEXT(Summary!D34,"0.0")&amp;"x to "&amp;TEXT(Summary!C34,"0.0")&amp;"x)"</f>
        <v>Profit per unit   ₹368*  →  ₹1,183   (2.7x to 2.8x)</v>
      </c>
      <c r="Q6" s="5" t="str">
        <f aca="false">"P/E   "&amp;TEXT(Summary!D15,"0.0")&amp;"x*  →  "&amp;TEXT(Summary!D22,"0.0")&amp;"x   ("&amp;TEXT(Summary!D36,"+0%;-0%")&amp;" to "&amp;TEXT(Summary!C36,"+0%;-0%")&amp;")"</f>
        <v>P/E   23.4x*  →  19.3x   (-1% to -6%)</v>
      </c>
    </row>
    <row r="7" customFormat="false" ht="6" hidden="false" customHeight="true" outlineLevel="0" collapsed="false"/>
    <row r="53" customFormat="false" ht="24" hidden="false" customHeight="true" outlineLevel="0" collapsed="false">
      <c r="B53" s="6" t="s">
        <v>3</v>
      </c>
      <c r="C53" s="6"/>
      <c r="D53" s="6"/>
      <c r="E53" s="6"/>
      <c r="F53" s="6"/>
      <c r="G53" s="6"/>
      <c r="H53" s="6"/>
      <c r="I53" s="6"/>
      <c r="J53" s="6"/>
      <c r="K53" s="6"/>
      <c r="L53" s="6"/>
      <c r="M53" s="6"/>
      <c r="N53" s="6"/>
      <c r="O53" s="6"/>
      <c r="P53" s="6"/>
      <c r="Q53" s="6"/>
      <c r="R53" s="6"/>
      <c r="S53" s="6"/>
      <c r="T53" s="6"/>
      <c r="U53" s="6"/>
      <c r="V53" s="6"/>
    </row>
    <row r="54" customFormat="false" ht="24" hidden="false" customHeight="true" outlineLevel="0" collapsed="false">
      <c r="B54" s="6" t="s">
        <v>4</v>
      </c>
      <c r="C54" s="6"/>
      <c r="D54" s="6"/>
      <c r="E54" s="6"/>
      <c r="F54" s="6"/>
      <c r="G54" s="6"/>
      <c r="H54" s="6"/>
      <c r="I54" s="6"/>
      <c r="J54" s="6"/>
      <c r="K54" s="6"/>
      <c r="L54" s="6"/>
      <c r="M54" s="6"/>
      <c r="N54" s="6"/>
      <c r="O54" s="6"/>
      <c r="P54" s="6"/>
      <c r="Q54" s="6"/>
      <c r="R54" s="6"/>
      <c r="S54" s="6"/>
      <c r="T54" s="6"/>
      <c r="U54" s="6"/>
      <c r="V54" s="6"/>
    </row>
    <row r="55" customFormat="false" ht="12.75" hidden="false" customHeight="true" outlineLevel="0" collapsed="false">
      <c r="B55" s="6"/>
      <c r="C55" s="6"/>
      <c r="D55" s="6"/>
      <c r="E55" s="6"/>
      <c r="F55" s="6"/>
      <c r="G55" s="6"/>
      <c r="H55" s="6"/>
      <c r="I55" s="6"/>
      <c r="J55" s="6"/>
      <c r="K55" s="6"/>
      <c r="L55" s="6"/>
      <c r="M55" s="6"/>
      <c r="N55" s="6"/>
      <c r="O55" s="6"/>
      <c r="P55" s="6"/>
      <c r="Q55" s="6"/>
      <c r="R55" s="6"/>
      <c r="S55" s="6"/>
      <c r="T55" s="6"/>
      <c r="U55" s="6"/>
      <c r="V55" s="6"/>
    </row>
    <row r="56" customFormat="false" ht="24" hidden="false" customHeight="true" outlineLevel="0" collapsed="false">
      <c r="B56" s="7" t="s">
        <v>5</v>
      </c>
      <c r="C56" s="7"/>
      <c r="D56" s="7"/>
      <c r="E56" s="7"/>
      <c r="F56" s="7"/>
      <c r="G56" s="7"/>
      <c r="H56" s="7"/>
      <c r="I56" s="7"/>
      <c r="J56" s="7"/>
      <c r="K56" s="7"/>
      <c r="L56" s="7"/>
      <c r="M56" s="7"/>
      <c r="N56" s="7"/>
      <c r="O56" s="7"/>
      <c r="P56" s="7"/>
      <c r="Q56" s="7"/>
      <c r="R56" s="7"/>
      <c r="S56" s="7"/>
      <c r="T56" s="7"/>
      <c r="U56" s="7"/>
      <c r="V56" s="7"/>
    </row>
  </sheetData>
  <mergeCells count="6">
    <mergeCell ref="B3:S3"/>
    <mergeCell ref="B4:S4"/>
    <mergeCell ref="B53:V53"/>
    <mergeCell ref="B54:V54"/>
    <mergeCell ref="B55:V55"/>
    <mergeCell ref="B56:V56"/>
  </mergeCells>
  <printOptions headings="false" gridLines="false" gridLinesSet="true" horizontalCentered="false" verticalCentered="false"/>
  <pageMargins left="0.3" right="0.3"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1"/>
    <col collapsed="false" customWidth="true" hidden="false" outlineLevel="0" max="4" min="4" style="0" width="13"/>
    <col collapsed="false" customWidth="true" hidden="false" outlineLevel="0" max="6" min="5" style="0" width="14"/>
    <col collapsed="false" customWidth="true" hidden="false" outlineLevel="0" max="7" min="7" style="0" width="13"/>
    <col collapsed="false" customWidth="true" hidden="false" outlineLevel="0" max="8" min="8" style="0" width="12"/>
    <col collapsed="false" customWidth="true" hidden="false" outlineLevel="0" max="9" min="9" style="0" width="70"/>
  </cols>
  <sheetData>
    <row r="1" customFormat="false" ht="57.75" hidden="false" customHeight="true" outlineLevel="0" collapsed="false">
      <c r="A1" s="8" t="s">
        <v>6</v>
      </c>
      <c r="B1" s="8" t="s">
        <v>7</v>
      </c>
      <c r="C1" s="8" t="s">
        <v>8</v>
      </c>
      <c r="D1" s="8" t="s">
        <v>9</v>
      </c>
      <c r="E1" s="8" t="s">
        <v>10</v>
      </c>
      <c r="F1" s="8" t="s">
        <v>11</v>
      </c>
      <c r="G1" s="8" t="s">
        <v>12</v>
      </c>
      <c r="H1" s="8" t="s">
        <v>13</v>
      </c>
      <c r="I1" s="8" t="s">
        <v>14</v>
      </c>
    </row>
    <row r="2" customFormat="false" ht="15" hidden="false" customHeight="false" outlineLevel="0" collapsed="false">
      <c r="A2" s="9" t="n">
        <v>42643</v>
      </c>
      <c r="B2" s="10" t="n">
        <f aca="false">INDEX(Daily!$B:$B,MATCH(A2,Daily!$A:$A,0))</f>
        <v>8611.15</v>
      </c>
      <c r="C2" s="11" t="n">
        <v>23.4</v>
      </c>
      <c r="D2" s="12" t="s">
        <v>15</v>
      </c>
      <c r="E2" s="13" t="n">
        <f aca="false">B2/C2</f>
        <v>367.997863247863</v>
      </c>
      <c r="F2" s="14" t="n">
        <f aca="false">IF(D2="standalone",E2*Summary!$B$11,E2)</f>
        <v>443.476199673265</v>
      </c>
      <c r="G2" s="15" t="n">
        <f aca="false">B2/F2</f>
        <v>19.4173892676639</v>
      </c>
    </row>
    <row r="3" customFormat="false" ht="15" hidden="false" customHeight="false" outlineLevel="0" collapsed="false">
      <c r="A3" s="9" t="n">
        <v>42671</v>
      </c>
      <c r="B3" s="10" t="n">
        <f aca="false">INDEX(Daily!$B:$B,MATCH(A3,Daily!$A:$A,0))</f>
        <v>8638</v>
      </c>
      <c r="C3" s="11" t="n">
        <v>23.3</v>
      </c>
      <c r="D3" s="12" t="s">
        <v>15</v>
      </c>
      <c r="E3" s="13" t="n">
        <f aca="false">B3/C3</f>
        <v>370.729613733906</v>
      </c>
      <c r="F3" s="14" t="n">
        <f aca="false">IF(D3="standalone",E3*Summary!$B$11,E3)</f>
        <v>446.768246842543</v>
      </c>
      <c r="G3" s="15" t="n">
        <f aca="false">B3/F3</f>
        <v>19.3344089716482</v>
      </c>
    </row>
    <row r="4" customFormat="false" ht="15" hidden="false" customHeight="false" outlineLevel="0" collapsed="false">
      <c r="A4" s="9" t="n">
        <v>42704</v>
      </c>
      <c r="B4" s="10" t="n">
        <f aca="false">INDEX(Daily!$B:$B,MATCH(A4,Daily!$A:$A,0))</f>
        <v>8224.5</v>
      </c>
      <c r="C4" s="11" t="n">
        <v>21.6</v>
      </c>
      <c r="D4" s="12" t="s">
        <v>15</v>
      </c>
      <c r="E4" s="13" t="n">
        <f aca="false">B4/C4</f>
        <v>380.763888888889</v>
      </c>
      <c r="F4" s="14" t="n">
        <f aca="false">IF(D4="standalone",E4*Summary!$B$11,E4)</f>
        <v>458.860605675645</v>
      </c>
      <c r="G4" s="15" t="n">
        <f aca="false">B4/F4</f>
        <v>17.923743939382</v>
      </c>
    </row>
    <row r="5" customFormat="false" ht="15" hidden="false" customHeight="false" outlineLevel="0" collapsed="false">
      <c r="A5" s="9" t="n">
        <v>42734</v>
      </c>
      <c r="B5" s="10" t="n">
        <f aca="false">INDEX(Daily!$B:$B,MATCH(A5,Daily!$A:$A,0))</f>
        <v>8185.8</v>
      </c>
      <c r="C5" s="11" t="n">
        <v>21.93</v>
      </c>
      <c r="D5" s="12" t="s">
        <v>15</v>
      </c>
      <c r="E5" s="13" t="n">
        <f aca="false">B5/C5</f>
        <v>373.269493844049</v>
      </c>
      <c r="F5" s="14" t="n">
        <f aca="false">IF(D5="standalone",E5*Summary!$B$11,E5)</f>
        <v>449.829069992251</v>
      </c>
      <c r="G5" s="15" t="n">
        <f aca="false">B5/F5</f>
        <v>18.1975789162337</v>
      </c>
    </row>
    <row r="6" customFormat="false" ht="15" hidden="false" customHeight="false" outlineLevel="0" collapsed="false">
      <c r="A6" s="9" t="n">
        <v>42766</v>
      </c>
      <c r="B6" s="10" t="n">
        <f aca="false">INDEX(Daily!$B:$B,MATCH(A6,Daily!$A:$A,0))</f>
        <v>8561.3</v>
      </c>
      <c r="C6" s="11" t="n">
        <v>22.9</v>
      </c>
      <c r="D6" s="12" t="s">
        <v>15</v>
      </c>
      <c r="E6" s="13" t="n">
        <f aca="false">B6/C6</f>
        <v>373.855895196507</v>
      </c>
      <c r="F6" s="14" t="n">
        <f aca="false">IF(D6="standalone",E6*Summary!$B$11,E6)</f>
        <v>450.535745408722</v>
      </c>
      <c r="G6" s="15" t="n">
        <f aca="false">B6/F6</f>
        <v>19.0024877875856</v>
      </c>
    </row>
    <row r="7" customFormat="false" ht="15" hidden="false" customHeight="false" outlineLevel="0" collapsed="false">
      <c r="A7" s="9" t="n">
        <v>42794</v>
      </c>
      <c r="B7" s="10" t="n">
        <f aca="false">INDEX(Daily!$B:$B,MATCH(A7,Daily!$A:$A,0))</f>
        <v>8879.6</v>
      </c>
      <c r="C7" s="11" t="n">
        <v>23.1</v>
      </c>
      <c r="D7" s="12" t="s">
        <v>15</v>
      </c>
      <c r="E7" s="13" t="n">
        <f aca="false">B7/C7</f>
        <v>384.398268398268</v>
      </c>
      <c r="F7" s="14" t="n">
        <f aca="false">IF(D7="standalone",E7*Summary!$B$11,E7)</f>
        <v>463.240415924446</v>
      </c>
      <c r="G7" s="15" t="n">
        <f aca="false">B7/F7</f>
        <v>19.1684483796169</v>
      </c>
    </row>
    <row r="8" customFormat="false" ht="15" hidden="false" customHeight="false" outlineLevel="0" collapsed="false">
      <c r="A8" s="9" t="n">
        <v>42825</v>
      </c>
      <c r="B8" s="10" t="n">
        <f aca="false">INDEX(Daily!$B:$B,MATCH(A8,Daily!$A:$A,0))</f>
        <v>9173.75</v>
      </c>
      <c r="C8" s="11" t="n">
        <v>23.3</v>
      </c>
      <c r="D8" s="12" t="s">
        <v>15</v>
      </c>
      <c r="E8" s="13" t="n">
        <f aca="false">B8/C8</f>
        <v>393.723175965665</v>
      </c>
      <c r="F8" s="14" t="n">
        <f aca="false">IF(D8="standalone",E8*Summary!$B$11,E8)</f>
        <v>474.477912071287</v>
      </c>
      <c r="G8" s="15" t="n">
        <f aca="false">B8/F8</f>
        <v>19.3344089716482</v>
      </c>
    </row>
    <row r="9" customFormat="false" ht="15" hidden="false" customHeight="false" outlineLevel="0" collapsed="false">
      <c r="A9" s="9" t="n">
        <v>42853</v>
      </c>
      <c r="B9" s="10" t="n">
        <f aca="false">INDEX(Daily!$B:$B,MATCH(A9,Daily!$A:$A,0))</f>
        <v>9304.05</v>
      </c>
      <c r="C9" s="11" t="n">
        <v>23.6</v>
      </c>
      <c r="D9" s="12" t="s">
        <v>15</v>
      </c>
      <c r="E9" s="13" t="n">
        <f aca="false">B9/C9</f>
        <v>394.239406779661</v>
      </c>
      <c r="F9" s="14" t="n">
        <f aca="false">IF(D9="standalone",E9*Summary!$B$11,E9)</f>
        <v>475.100024595323</v>
      </c>
      <c r="G9" s="15" t="n">
        <f aca="false">B9/F9</f>
        <v>19.5833498596952</v>
      </c>
    </row>
    <row r="10" customFormat="false" ht="15" hidden="false" customHeight="false" outlineLevel="0" collapsed="false">
      <c r="A10" s="9" t="n">
        <v>42886</v>
      </c>
      <c r="B10" s="10" t="n">
        <f aca="false">INDEX(Daily!$B:$B,MATCH(A10,Daily!$A:$A,0))</f>
        <v>9621.25</v>
      </c>
      <c r="C10" s="11" t="n">
        <v>24.4</v>
      </c>
      <c r="D10" s="12" t="s">
        <v>15</v>
      </c>
      <c r="E10" s="13" t="n">
        <f aca="false">B10/C10</f>
        <v>394.313524590164</v>
      </c>
      <c r="F10" s="14" t="n">
        <f aca="false">IF(D10="standalone",E10*Summary!$B$11,E10)</f>
        <v>475.189344366476</v>
      </c>
      <c r="G10" s="15" t="n">
        <f aca="false">B10/F10</f>
        <v>20.2471922278204</v>
      </c>
    </row>
    <row r="11" customFormat="false" ht="15" hidden="false" customHeight="false" outlineLevel="0" collapsed="false">
      <c r="A11" s="9" t="n">
        <v>42916</v>
      </c>
      <c r="B11" s="10" t="n">
        <f aca="false">INDEX(Daily!$B:$B,MATCH(A11,Daily!$A:$A,0))</f>
        <v>9520.9</v>
      </c>
      <c r="C11" s="11" t="n">
        <v>24.2</v>
      </c>
      <c r="D11" s="12" t="s">
        <v>15</v>
      </c>
      <c r="E11" s="13" t="n">
        <f aca="false">B11/C11</f>
        <v>393.425619834711</v>
      </c>
      <c r="F11" s="14" t="n">
        <f aca="false">IF(D11="standalone",E11*Summary!$B$11,E11)</f>
        <v>474.11932558119</v>
      </c>
      <c r="G11" s="15" t="n">
        <f aca="false">B11/F11</f>
        <v>20.0812316357891</v>
      </c>
    </row>
    <row r="12" customFormat="false" ht="15" hidden="false" customHeight="false" outlineLevel="0" collapsed="false">
      <c r="A12" s="9" t="n">
        <v>42947</v>
      </c>
      <c r="B12" s="10" t="n">
        <f aca="false">INDEX(Daily!$B:$B,MATCH(A12,Daily!$A:$A,0))</f>
        <v>10077.1</v>
      </c>
      <c r="C12" s="11" t="n">
        <v>25.7</v>
      </c>
      <c r="D12" s="12" t="s">
        <v>15</v>
      </c>
      <c r="E12" s="13" t="n">
        <f aca="false">B12/C12</f>
        <v>392.105058365759</v>
      </c>
      <c r="F12" s="14" t="n">
        <f aca="false">IF(D12="standalone",E12*Summary!$B$11,E12)</f>
        <v>472.527909868835</v>
      </c>
      <c r="G12" s="15" t="n">
        <f aca="false">B12/F12</f>
        <v>21.325936076024</v>
      </c>
    </row>
    <row r="13" customFormat="false" ht="15" hidden="false" customHeight="false" outlineLevel="0" collapsed="false">
      <c r="A13" s="9" t="n">
        <v>42978</v>
      </c>
      <c r="B13" s="10" t="n">
        <f aca="false">INDEX(Daily!$B:$B,MATCH(A13,Daily!$A:$A,0))</f>
        <v>9917.9</v>
      </c>
      <c r="C13" s="11" t="n">
        <v>25.6</v>
      </c>
      <c r="D13" s="12" t="s">
        <v>15</v>
      </c>
      <c r="E13" s="13" t="n">
        <f aca="false">B13/C13</f>
        <v>387.41796875</v>
      </c>
      <c r="F13" s="14" t="n">
        <f aca="false">IF(D13="standalone",E13*Summary!$B$11,E13)</f>
        <v>466.879473022003</v>
      </c>
      <c r="G13" s="15" t="n">
        <f aca="false">B13/F13</f>
        <v>21.2429557800083</v>
      </c>
    </row>
    <row r="14" customFormat="false" ht="15" hidden="false" customHeight="false" outlineLevel="0" collapsed="false">
      <c r="A14" s="9" t="n">
        <v>43007</v>
      </c>
      <c r="B14" s="10" t="n">
        <f aca="false">INDEX(Daily!$B:$B,MATCH(A14,Daily!$A:$A,0))</f>
        <v>9788.6</v>
      </c>
      <c r="C14" s="11" t="n">
        <v>25.4</v>
      </c>
      <c r="D14" s="12" t="s">
        <v>15</v>
      </c>
      <c r="E14" s="13" t="n">
        <f aca="false">B14/C14</f>
        <v>385.377952755906</v>
      </c>
      <c r="F14" s="14" t="n">
        <f aca="false">IF(D14="standalone",E14*Summary!$B$11,E14)</f>
        <v>464.421038800812</v>
      </c>
      <c r="G14" s="15" t="n">
        <f aca="false">B14/F14</f>
        <v>21.076995187977</v>
      </c>
      <c r="H14" s="16" t="n">
        <f aca="false">F14/F2-1</f>
        <v>0.0472287783267262</v>
      </c>
    </row>
    <row r="15" customFormat="false" ht="15" hidden="false" customHeight="false" outlineLevel="0" collapsed="false">
      <c r="A15" s="9" t="n">
        <v>43039</v>
      </c>
      <c r="B15" s="10" t="n">
        <f aca="false">INDEX(Daily!$B:$B,MATCH(A15,Daily!$A:$A,0))</f>
        <v>10335.3</v>
      </c>
      <c r="C15" s="11" t="n">
        <v>26.4</v>
      </c>
      <c r="D15" s="12" t="s">
        <v>15</v>
      </c>
      <c r="E15" s="13" t="n">
        <f aca="false">B15/C15</f>
        <v>391.488636363636</v>
      </c>
      <c r="F15" s="14" t="n">
        <f aca="false">IF(D15="standalone",E15*Summary!$B$11,E15)</f>
        <v>471.785056406362</v>
      </c>
      <c r="G15" s="15" t="n">
        <f aca="false">B15/F15</f>
        <v>21.9067981481336</v>
      </c>
      <c r="H15" s="16" t="n">
        <f aca="false">F15/F3-1</f>
        <v>0.0559950483066367</v>
      </c>
    </row>
    <row r="16" customFormat="false" ht="15" hidden="false" customHeight="false" outlineLevel="0" collapsed="false">
      <c r="A16" s="9" t="n">
        <v>43069</v>
      </c>
      <c r="B16" s="10" t="n">
        <f aca="false">INDEX(Daily!$B:$B,MATCH(A16,Daily!$A:$A,0))</f>
        <v>10226.55</v>
      </c>
      <c r="C16" s="11" t="n">
        <v>26.2</v>
      </c>
      <c r="D16" s="12" t="s">
        <v>15</v>
      </c>
      <c r="E16" s="13" t="n">
        <f aca="false">B16/C16</f>
        <v>390.326335877863</v>
      </c>
      <c r="F16" s="14" t="n">
        <f aca="false">IF(D16="standalone",E16*Summary!$B$11,E16)</f>
        <v>470.384361854062</v>
      </c>
      <c r="G16" s="15" t="n">
        <f aca="false">B16/F16</f>
        <v>21.7408375561023</v>
      </c>
      <c r="H16" s="16" t="n">
        <f aca="false">F16/F4-1</f>
        <v>0.0251138494694914</v>
      </c>
    </row>
    <row r="17" customFormat="false" ht="15" hidden="false" customHeight="false" outlineLevel="0" collapsed="false">
      <c r="A17" s="9" t="n">
        <v>43098</v>
      </c>
      <c r="B17" s="10" t="n">
        <f aca="false">INDEX(Daily!$B:$B,MATCH(A17,Daily!$A:$A,0))</f>
        <v>10530.7</v>
      </c>
      <c r="C17" s="11" t="n">
        <v>26.92</v>
      </c>
      <c r="D17" s="12" t="s">
        <v>15</v>
      </c>
      <c r="E17" s="13" t="n">
        <f aca="false">B17/C17</f>
        <v>391.18499257058</v>
      </c>
      <c r="F17" s="14" t="n">
        <f aca="false">IF(D17="standalone",E17*Summary!$B$11,E17)</f>
        <v>471.419133642</v>
      </c>
      <c r="G17" s="15" t="n">
        <f aca="false">B17/F17</f>
        <v>22.338295687415</v>
      </c>
      <c r="H17" s="16" t="n">
        <f aca="false">F17/F5-1</f>
        <v>0.0479961502935338</v>
      </c>
    </row>
    <row r="18" customFormat="false" ht="15" hidden="false" customHeight="false" outlineLevel="0" collapsed="false">
      <c r="A18" s="9" t="n">
        <v>43131</v>
      </c>
      <c r="B18" s="10" t="n">
        <f aca="false">INDEX(Daily!$B:$B,MATCH(A18,Daily!$A:$A,0))</f>
        <v>11027.7</v>
      </c>
      <c r="C18" s="11" t="n">
        <v>27.5</v>
      </c>
      <c r="D18" s="12" t="s">
        <v>15</v>
      </c>
      <c r="E18" s="13" t="n">
        <f aca="false">B18/C18</f>
        <v>401.007272727273</v>
      </c>
      <c r="F18" s="14" t="n">
        <f aca="false">IF(D18="standalone",E18*Summary!$B$11,E18)</f>
        <v>483.256016165099</v>
      </c>
      <c r="G18" s="15" t="n">
        <f aca="false">B18/F18</f>
        <v>22.8195814043058</v>
      </c>
      <c r="H18" s="16" t="n">
        <f aca="false">F18/F6-1</f>
        <v>0.0726252491390964</v>
      </c>
    </row>
    <row r="19" customFormat="false" ht="15" hidden="false" customHeight="false" outlineLevel="0" collapsed="false">
      <c r="A19" s="9" t="n">
        <v>43159</v>
      </c>
      <c r="B19" s="10" t="n">
        <f aca="false">INDEX(Daily!$B:$B,MATCH(A19,Daily!$A:$A,0))</f>
        <v>10492.85</v>
      </c>
      <c r="C19" s="11" t="n">
        <v>25.7</v>
      </c>
      <c r="D19" s="12" t="s">
        <v>15</v>
      </c>
      <c r="E19" s="13" t="n">
        <f aca="false">B19/C19</f>
        <v>408.282101167315</v>
      </c>
      <c r="F19" s="14" t="n">
        <f aca="false">IF(D19="standalone",E19*Summary!$B$11,E19)</f>
        <v>492.022950954859</v>
      </c>
      <c r="G19" s="15" t="n">
        <f aca="false">B19/F19</f>
        <v>21.325936076024</v>
      </c>
      <c r="H19" s="16" t="n">
        <f aca="false">F19/F7-1</f>
        <v>0.0621330394347697</v>
      </c>
    </row>
    <row r="20" customFormat="false" ht="15" hidden="false" customHeight="false" outlineLevel="0" collapsed="false">
      <c r="A20" s="9" t="n">
        <v>43187</v>
      </c>
      <c r="B20" s="10" t="n">
        <f aca="false">INDEX(Daily!$B:$B,MATCH(A20,Daily!$A:$A,0))</f>
        <v>10113.7</v>
      </c>
      <c r="C20" s="11" t="n">
        <v>24.7</v>
      </c>
      <c r="D20" s="12" t="s">
        <v>15</v>
      </c>
      <c r="E20" s="13" t="n">
        <f aca="false">B20/C20</f>
        <v>409.461538461539</v>
      </c>
      <c r="F20" s="14" t="n">
        <f aca="false">IF(D20="standalone",E20*Summary!$B$11,E20)</f>
        <v>493.444297166977</v>
      </c>
      <c r="G20" s="15" t="n">
        <f aca="false">B20/F20</f>
        <v>20.4961331158674</v>
      </c>
      <c r="H20" s="16" t="n">
        <f aca="false">F20/F8-1</f>
        <v>0.0399731675872841</v>
      </c>
    </row>
    <row r="21" customFormat="false" ht="15" hidden="false" customHeight="false" outlineLevel="0" collapsed="false">
      <c r="A21" s="9" t="n">
        <v>43220</v>
      </c>
      <c r="B21" s="10" t="n">
        <f aca="false">INDEX(Daily!$B:$B,MATCH(A21,Daily!$A:$A,0))</f>
        <v>10739.35</v>
      </c>
      <c r="C21" s="11" t="n">
        <v>26.7</v>
      </c>
      <c r="D21" s="12" t="s">
        <v>15</v>
      </c>
      <c r="E21" s="13" t="n">
        <f aca="false">B21/C21</f>
        <v>402.222846441948</v>
      </c>
      <c r="F21" s="14" t="n">
        <f aca="false">IF(D21="standalone",E21*Summary!$B$11,E21)</f>
        <v>484.720910571411</v>
      </c>
      <c r="G21" s="15" t="n">
        <f aca="false">B21/F21</f>
        <v>22.1557390361806</v>
      </c>
      <c r="H21" s="16" t="n">
        <f aca="false">F21/F9-1</f>
        <v>0.0202502325363647</v>
      </c>
    </row>
    <row r="22" customFormat="false" ht="15" hidden="false" customHeight="false" outlineLevel="0" collapsed="false">
      <c r="A22" s="9" t="n">
        <v>43251</v>
      </c>
      <c r="B22" s="10" t="n">
        <f aca="false">INDEX(Daily!$B:$B,MATCH(A22,Daily!$A:$A,0))</f>
        <v>10736.15</v>
      </c>
      <c r="C22" s="11" t="n">
        <v>27.2</v>
      </c>
      <c r="D22" s="12" t="s">
        <v>15</v>
      </c>
      <c r="E22" s="13" t="n">
        <f aca="false">B22/C22</f>
        <v>394.711397058824</v>
      </c>
      <c r="F22" s="14" t="n">
        <f aca="false">IF(D22="standalone",E22*Summary!$B$11,E22)</f>
        <v>475.668822613438</v>
      </c>
      <c r="G22" s="15" t="n">
        <f aca="false">B22/F22</f>
        <v>22.5706405162588</v>
      </c>
      <c r="H22" s="16" t="n">
        <f aca="false">F22/F10-1</f>
        <v>0.00100902567081129</v>
      </c>
    </row>
    <row r="23" customFormat="false" ht="15" hidden="false" customHeight="false" outlineLevel="0" collapsed="false">
      <c r="A23" s="9" t="n">
        <v>43280</v>
      </c>
      <c r="B23" s="10" t="n">
        <f aca="false">INDEX(Daily!$B:$B,MATCH(A23,Daily!$A:$A,0))</f>
        <v>10714.3</v>
      </c>
      <c r="C23" s="11" t="n">
        <v>25.9</v>
      </c>
      <c r="D23" s="12" t="s">
        <v>15</v>
      </c>
      <c r="E23" s="13" t="n">
        <f aca="false">B23/C23</f>
        <v>413.679536679537</v>
      </c>
      <c r="F23" s="14" t="n">
        <f aca="false">IF(D23="standalone",E23*Summary!$B$11,E23)</f>
        <v>498.527429453228</v>
      </c>
      <c r="G23" s="15" t="n">
        <f aca="false">B23/F23</f>
        <v>21.4918966680553</v>
      </c>
      <c r="H23" s="16" t="n">
        <f aca="false">F23/F11-1</f>
        <v>0.0514809301268564</v>
      </c>
    </row>
    <row r="24" customFormat="false" ht="15" hidden="false" customHeight="false" outlineLevel="0" collapsed="false">
      <c r="A24" s="9" t="n">
        <v>43312</v>
      </c>
      <c r="B24" s="10" t="n">
        <f aca="false">INDEX(Daily!$B:$B,MATCH(A24,Daily!$A:$A,0))</f>
        <v>11356.5</v>
      </c>
      <c r="C24" s="11" t="n">
        <v>28.2</v>
      </c>
      <c r="D24" s="12" t="s">
        <v>15</v>
      </c>
      <c r="E24" s="13" t="n">
        <f aca="false">B24/C24</f>
        <v>402.712765957447</v>
      </c>
      <c r="F24" s="14" t="n">
        <f aca="false">IF(D24="standalone",E24*Summary!$B$11,E24)</f>
        <v>485.311315208443</v>
      </c>
      <c r="G24" s="15" t="n">
        <f aca="false">B24/F24</f>
        <v>23.4004434764154</v>
      </c>
      <c r="H24" s="16" t="n">
        <f aca="false">F24/F12-1</f>
        <v>0.027053228121819</v>
      </c>
    </row>
    <row r="25" customFormat="false" ht="15" hidden="false" customHeight="false" outlineLevel="0" collapsed="false">
      <c r="A25" s="9" t="n">
        <v>43343</v>
      </c>
      <c r="B25" s="10" t="n">
        <f aca="false">INDEX(Daily!$B:$B,MATCH(A25,Daily!$A:$A,0))</f>
        <v>11680.5</v>
      </c>
      <c r="C25" s="11" t="n">
        <v>28.4</v>
      </c>
      <c r="D25" s="12" t="s">
        <v>15</v>
      </c>
      <c r="E25" s="13" t="n">
        <f aca="false">B25/C25</f>
        <v>411.285211267606</v>
      </c>
      <c r="F25" s="14" t="n">
        <f aca="false">IF(D25="standalone",E25*Summary!$B$11,E25)</f>
        <v>495.642015051381</v>
      </c>
      <c r="G25" s="15" t="n">
        <f aca="false">B25/F25</f>
        <v>23.5664040684467</v>
      </c>
      <c r="H25" s="16" t="n">
        <f aca="false">F25/F13-1</f>
        <v>0.0616059254933712</v>
      </c>
    </row>
    <row r="26" customFormat="false" ht="15" hidden="false" customHeight="false" outlineLevel="0" collapsed="false">
      <c r="A26" s="9" t="n">
        <v>43371</v>
      </c>
      <c r="B26" s="10" t="n">
        <f aca="false">INDEX(Daily!$B:$B,MATCH(A26,Daily!$A:$A,0))</f>
        <v>10930.45</v>
      </c>
      <c r="C26" s="11" t="n">
        <v>26.4</v>
      </c>
      <c r="D26" s="12" t="s">
        <v>15</v>
      </c>
      <c r="E26" s="13" t="n">
        <f aca="false">B26/C26</f>
        <v>414.032196969697</v>
      </c>
      <c r="F26" s="14" t="n">
        <f aca="false">IF(D26="standalone",E26*Summary!$B$11,E26)</f>
        <v>498.952422261272</v>
      </c>
      <c r="G26" s="15" t="n">
        <f aca="false">B26/F26</f>
        <v>21.9067981481336</v>
      </c>
      <c r="H26" s="16" t="n">
        <f aca="false">F26/F14-1</f>
        <v>0.0743536157397691</v>
      </c>
    </row>
    <row r="27" customFormat="false" ht="15" hidden="false" customHeight="false" outlineLevel="0" collapsed="false">
      <c r="A27" s="9" t="n">
        <v>43404</v>
      </c>
      <c r="B27" s="10" t="n">
        <f aca="false">INDEX(Daily!$B:$B,MATCH(A27,Daily!$A:$A,0))</f>
        <v>10386.6</v>
      </c>
      <c r="C27" s="11" t="n">
        <v>25</v>
      </c>
      <c r="D27" s="12" t="s">
        <v>15</v>
      </c>
      <c r="E27" s="13" t="n">
        <f aca="false">B27/C27</f>
        <v>415.464</v>
      </c>
      <c r="F27" s="14" t="n">
        <f aca="false">IF(D27="standalone",E27*Summary!$B$11,E27)</f>
        <v>500.677895776133</v>
      </c>
      <c r="G27" s="15" t="n">
        <f aca="false">B27/F27</f>
        <v>20.7450740039144</v>
      </c>
      <c r="H27" s="16" t="n">
        <f aca="false">F27/F15-1</f>
        <v>0.061241531450466</v>
      </c>
    </row>
    <row r="28" customFormat="false" ht="15" hidden="false" customHeight="false" outlineLevel="0" collapsed="false">
      <c r="A28" s="9" t="n">
        <v>43434</v>
      </c>
      <c r="B28" s="10" t="n">
        <f aca="false">INDEX(Daily!$B:$B,MATCH(A28,Daily!$A:$A,0))</f>
        <v>10876.75</v>
      </c>
      <c r="C28" s="11" t="n">
        <v>26.3</v>
      </c>
      <c r="D28" s="12" t="s">
        <v>15</v>
      </c>
      <c r="E28" s="13" t="n">
        <f aca="false">B28/C28</f>
        <v>413.56463878327</v>
      </c>
      <c r="F28" s="14" t="n">
        <f aca="false">IF(D28="standalone",E28*Summary!$B$11,E28)</f>
        <v>498.388965381896</v>
      </c>
      <c r="G28" s="15" t="n">
        <f aca="false">B28/F28</f>
        <v>21.8238178521179</v>
      </c>
      <c r="H28" s="16" t="n">
        <f aca="false">F28/F16-1</f>
        <v>0.0595355751569859</v>
      </c>
    </row>
    <row r="29" customFormat="false" ht="15" hidden="false" customHeight="false" outlineLevel="0" collapsed="false">
      <c r="A29" s="9" t="n">
        <v>43465</v>
      </c>
      <c r="B29" s="10" t="n">
        <f aca="false">INDEX(Daily!$B:$B,MATCH(A29,Daily!$A:$A,0))</f>
        <v>10862.55</v>
      </c>
      <c r="C29" s="11" t="n">
        <v>26.17</v>
      </c>
      <c r="D29" s="12" t="s">
        <v>15</v>
      </c>
      <c r="E29" s="13" t="n">
        <f aca="false">B29/C29</f>
        <v>415.076423385556</v>
      </c>
      <c r="F29" s="14" t="n">
        <f aca="false">IF(D29="standalone",E29*Summary!$B$11,E29)</f>
        <v>500.210825118333</v>
      </c>
      <c r="G29" s="15" t="n">
        <f aca="false">B29/F29</f>
        <v>21.7159434672976</v>
      </c>
      <c r="H29" s="16" t="n">
        <f aca="false">F29/F17-1</f>
        <v>0.0610745076337913</v>
      </c>
    </row>
    <row r="30" customFormat="false" ht="15" hidden="false" customHeight="false" outlineLevel="0" collapsed="false">
      <c r="A30" s="9" t="n">
        <v>43496</v>
      </c>
      <c r="B30" s="10" t="n">
        <f aca="false">INDEX(Daily!$B:$B,MATCH(A30,Daily!$A:$A,0))</f>
        <v>10830.95</v>
      </c>
      <c r="C30" s="11" t="n">
        <v>26.3</v>
      </c>
      <c r="D30" s="12" t="s">
        <v>15</v>
      </c>
      <c r="E30" s="13" t="n">
        <f aca="false">B30/C30</f>
        <v>411.82319391635</v>
      </c>
      <c r="F30" s="14" t="n">
        <f aca="false">IF(D30="standalone",E30*Summary!$B$11,E30)</f>
        <v>496.290340828193</v>
      </c>
      <c r="G30" s="15" t="n">
        <f aca="false">B30/F30</f>
        <v>21.8238178521179</v>
      </c>
      <c r="H30" s="16" t="n">
        <f aca="false">F30/F18-1</f>
        <v>0.0269718828676533</v>
      </c>
    </row>
    <row r="31" customFormat="false" ht="15" hidden="false" customHeight="false" outlineLevel="0" collapsed="false">
      <c r="A31" s="9" t="n">
        <v>43524</v>
      </c>
      <c r="B31" s="10" t="n">
        <f aca="false">INDEX(Daily!$B:$B,MATCH(A31,Daily!$A:$A,0))</f>
        <v>10792.5</v>
      </c>
      <c r="C31" s="11" t="n">
        <v>26.3</v>
      </c>
      <c r="D31" s="12" t="s">
        <v>15</v>
      </c>
      <c r="E31" s="13" t="n">
        <f aca="false">B31/C31</f>
        <v>410.361216730038</v>
      </c>
      <c r="F31" s="14" t="n">
        <f aca="false">IF(D31="standalone",E31*Summary!$B$11,E31)</f>
        <v>494.528504276012</v>
      </c>
      <c r="G31" s="15" t="n">
        <f aca="false">B31/F31</f>
        <v>21.8238178521179</v>
      </c>
      <c r="H31" s="16" t="n">
        <f aca="false">F31/F19-1</f>
        <v>0.00509235050172041</v>
      </c>
    </row>
    <row r="32" customFormat="false" ht="15" hidden="false" customHeight="false" outlineLevel="0" collapsed="false">
      <c r="A32" s="9" t="n">
        <v>43553</v>
      </c>
      <c r="B32" s="10" t="n">
        <f aca="false">INDEX(Daily!$B:$B,MATCH(A32,Daily!$A:$A,0))</f>
        <v>11623.9</v>
      </c>
      <c r="C32" s="11" t="n">
        <v>29</v>
      </c>
      <c r="D32" s="12" t="s">
        <v>15</v>
      </c>
      <c r="E32" s="13" t="n">
        <f aca="false">B32/C32</f>
        <v>400.824137931034</v>
      </c>
      <c r="F32" s="14" t="n">
        <f aca="false">IF(D32="standalone",E32*Summary!$B$11,E32)</f>
        <v>483.035319439452</v>
      </c>
      <c r="G32" s="15" t="n">
        <f aca="false">B32/F32</f>
        <v>24.0642858445407</v>
      </c>
      <c r="H32" s="16" t="n">
        <f aca="false">F32/F20-1</f>
        <v>-0.0210945344536075</v>
      </c>
    </row>
    <row r="33" customFormat="false" ht="15" hidden="false" customHeight="false" outlineLevel="0" collapsed="false">
      <c r="A33" s="9" t="n">
        <v>43585</v>
      </c>
      <c r="B33" s="10" t="n">
        <f aca="false">INDEX(Daily!$B:$B,MATCH(A33,Daily!$A:$A,0))</f>
        <v>11748.15</v>
      </c>
      <c r="C33" s="11" t="n">
        <v>29.3</v>
      </c>
      <c r="D33" s="12" t="s">
        <v>15</v>
      </c>
      <c r="E33" s="13" t="n">
        <f aca="false">B33/C33</f>
        <v>400.960750853242</v>
      </c>
      <c r="F33" s="14" t="n">
        <f aca="false">IF(D33="standalone",E33*Summary!$B$11,E33)</f>
        <v>483.199952405069</v>
      </c>
      <c r="G33" s="15" t="n">
        <f aca="false">B33/F33</f>
        <v>24.3132267325877</v>
      </c>
      <c r="H33" s="16" t="n">
        <f aca="false">F33/F21-1</f>
        <v>-0.0031378018426097</v>
      </c>
    </row>
    <row r="34" customFormat="false" ht="15" hidden="false" customHeight="false" outlineLevel="0" collapsed="false">
      <c r="A34" s="9" t="n">
        <v>43616</v>
      </c>
      <c r="B34" s="10" t="n">
        <f aca="false">INDEX(Daily!$B:$B,MATCH(A34,Daily!$A:$A,0))</f>
        <v>11922.8</v>
      </c>
      <c r="C34" s="11" t="n">
        <v>29.5</v>
      </c>
      <c r="D34" s="12" t="s">
        <v>15</v>
      </c>
      <c r="E34" s="13" t="n">
        <f aca="false">B34/C34</f>
        <v>404.162711864407</v>
      </c>
      <c r="F34" s="14" t="n">
        <f aca="false">IF(D34="standalone",E34*Summary!$B$11,E34)</f>
        <v>487.058652801317</v>
      </c>
      <c r="G34" s="15" t="n">
        <f aca="false">B34/F34</f>
        <v>24.479187324619</v>
      </c>
      <c r="H34" s="16" t="n">
        <f aca="false">F34/F22-1</f>
        <v>0.0239448743461914</v>
      </c>
    </row>
    <row r="35" customFormat="false" ht="15" hidden="false" customHeight="false" outlineLevel="0" collapsed="false">
      <c r="A35" s="9" t="n">
        <v>43644</v>
      </c>
      <c r="B35" s="10" t="n">
        <f aca="false">INDEX(Daily!$B:$B,MATCH(A35,Daily!$A:$A,0))</f>
        <v>11788.85</v>
      </c>
      <c r="C35" s="11" t="n">
        <v>29</v>
      </c>
      <c r="D35" s="12" t="s">
        <v>15</v>
      </c>
      <c r="E35" s="13" t="n">
        <f aca="false">B35/C35</f>
        <v>406.512068965517</v>
      </c>
      <c r="F35" s="14" t="n">
        <f aca="false">IF(D35="standalone",E35*Summary!$B$11,E35)</f>
        <v>489.889875650495</v>
      </c>
      <c r="G35" s="15" t="n">
        <f aca="false">B35/F35</f>
        <v>24.0642858445407</v>
      </c>
      <c r="H35" s="16" t="n">
        <f aca="false">F35/F23-1</f>
        <v>-0.0173261355191756</v>
      </c>
    </row>
    <row r="36" customFormat="false" ht="15" hidden="false" customHeight="false" outlineLevel="0" collapsed="false">
      <c r="A36" s="9" t="n">
        <v>43677</v>
      </c>
      <c r="B36" s="10" t="n">
        <f aca="false">INDEX(Daily!$B:$B,MATCH(A36,Daily!$A:$A,0))</f>
        <v>11118</v>
      </c>
      <c r="C36" s="11" t="n">
        <v>27.4</v>
      </c>
      <c r="D36" s="12" t="s">
        <v>15</v>
      </c>
      <c r="E36" s="13" t="n">
        <f aca="false">B36/C36</f>
        <v>405.766423357664</v>
      </c>
      <c r="F36" s="14" t="n">
        <f aca="false">IF(D36="standalone",E36*Summary!$B$11,E36)</f>
        <v>488.991294127344</v>
      </c>
      <c r="G36" s="15" t="n">
        <f aca="false">B36/F36</f>
        <v>22.7366011082902</v>
      </c>
      <c r="H36" s="16" t="n">
        <f aca="false">F36/F24-1</f>
        <v>0.00758271815137879</v>
      </c>
    </row>
    <row r="37" customFormat="false" ht="15" hidden="false" customHeight="false" outlineLevel="0" collapsed="false">
      <c r="A37" s="9" t="n">
        <v>43707</v>
      </c>
      <c r="B37" s="10" t="n">
        <f aca="false">INDEX(Daily!$B:$B,MATCH(A37,Daily!$A:$A,0))</f>
        <v>11023.25</v>
      </c>
      <c r="C37" s="11" t="n">
        <v>27.3</v>
      </c>
      <c r="D37" s="12" t="s">
        <v>15</v>
      </c>
      <c r="E37" s="13" t="n">
        <f aca="false">B37/C37</f>
        <v>403.782051282051</v>
      </c>
      <c r="F37" s="14" t="n">
        <f aca="false">IF(D37="standalone",E37*Summary!$B$11,E37)</f>
        <v>486.5999166909</v>
      </c>
      <c r="G37" s="15" t="n">
        <f aca="false">B37/F37</f>
        <v>22.6536208122745</v>
      </c>
      <c r="H37" s="16" t="n">
        <f aca="false">F37/F25-1</f>
        <v>-0.0182432039373096</v>
      </c>
    </row>
    <row r="38" customFormat="false" ht="15" hidden="false" customHeight="false" outlineLevel="0" collapsed="false">
      <c r="A38" s="9" t="n">
        <v>43738</v>
      </c>
      <c r="B38" s="10" t="n">
        <f aca="false">INDEX(Daily!$B:$B,MATCH(A38,Daily!$A:$A,0))</f>
        <v>11474.45</v>
      </c>
      <c r="C38" s="11" t="n">
        <v>26.4</v>
      </c>
      <c r="D38" s="12" t="s">
        <v>15</v>
      </c>
      <c r="E38" s="13" t="n">
        <f aca="false">B38/C38</f>
        <v>434.638257575758</v>
      </c>
      <c r="F38" s="14" t="n">
        <f aca="false">IF(D38="standalone",E38*Summary!$B$11,E38)</f>
        <v>523.784896469574</v>
      </c>
      <c r="G38" s="15" t="n">
        <f aca="false">B38/F38</f>
        <v>21.9067981481336</v>
      </c>
      <c r="H38" s="16" t="n">
        <f aca="false">F38/F26-1</f>
        <v>0.0497692226761022</v>
      </c>
    </row>
    <row r="39" customFormat="false" ht="15" hidden="false" customHeight="false" outlineLevel="0" collapsed="false">
      <c r="A39" s="9" t="n">
        <v>43769</v>
      </c>
      <c r="B39" s="10" t="n">
        <f aca="false">INDEX(Daily!$B:$B,MATCH(A39,Daily!$A:$A,0))</f>
        <v>11877.45</v>
      </c>
      <c r="C39" s="11" t="n">
        <v>27.4</v>
      </c>
      <c r="D39" s="12" t="s">
        <v>15</v>
      </c>
      <c r="E39" s="13" t="n">
        <f aca="false">B39/C39</f>
        <v>433.483576642336</v>
      </c>
      <c r="F39" s="14" t="n">
        <f aca="false">IF(D39="standalone",E39*Summary!$B$11,E39)</f>
        <v>522.3933842807</v>
      </c>
      <c r="G39" s="15" t="n">
        <f aca="false">B39/F39</f>
        <v>22.7366011082902</v>
      </c>
      <c r="H39" s="16" t="n">
        <f aca="false">F39/F27-1</f>
        <v>0.0433721733828583</v>
      </c>
    </row>
    <row r="40" customFormat="false" ht="15" hidden="false" customHeight="false" outlineLevel="0" collapsed="false">
      <c r="A40" s="9" t="n">
        <v>43798</v>
      </c>
      <c r="B40" s="10" t="n">
        <f aca="false">INDEX(Daily!$B:$B,MATCH(A40,Daily!$A:$A,0))</f>
        <v>12056.05</v>
      </c>
      <c r="C40" s="11" t="n">
        <v>28.1</v>
      </c>
      <c r="D40" s="12" t="s">
        <v>15</v>
      </c>
      <c r="E40" s="13" t="n">
        <f aca="false">B40/C40</f>
        <v>429.040925266904</v>
      </c>
      <c r="F40" s="14" t="n">
        <f aca="false">IF(D40="standalone",E40*Summary!$B$11,E40)</f>
        <v>517.039521268939</v>
      </c>
      <c r="G40" s="15" t="n">
        <f aca="false">B40/F40</f>
        <v>23.3174631803998</v>
      </c>
      <c r="H40" s="16" t="n">
        <f aca="false">F40/F28-1</f>
        <v>0.0374216870406667</v>
      </c>
    </row>
    <row r="41" customFormat="false" ht="15" hidden="false" customHeight="false" outlineLevel="0" collapsed="false">
      <c r="A41" s="9" t="n">
        <v>43830</v>
      </c>
      <c r="B41" s="10" t="n">
        <f aca="false">INDEX(Daily!$B:$B,MATCH(A41,Daily!$A:$A,0))</f>
        <v>12168.45</v>
      </c>
      <c r="C41" s="11" t="n">
        <v>28.3</v>
      </c>
      <c r="D41" s="12" t="s">
        <v>15</v>
      </c>
      <c r="E41" s="13" t="n">
        <f aca="false">B41/C41</f>
        <v>429.980565371025</v>
      </c>
      <c r="F41" s="14" t="n">
        <f aca="false">IF(D41="standalone",E41*Summary!$B$11,E41)</f>
        <v>518.171886600515</v>
      </c>
      <c r="G41" s="15" t="n">
        <f aca="false">B41/F41</f>
        <v>23.4834237724311</v>
      </c>
      <c r="H41" s="16" t="n">
        <f aca="false">F41/F29-1</f>
        <v>0.0359069827765781</v>
      </c>
    </row>
    <row r="42" customFormat="false" ht="15" hidden="false" customHeight="false" outlineLevel="0" collapsed="false">
      <c r="A42" s="9" t="n">
        <v>43861</v>
      </c>
      <c r="B42" s="10" t="n">
        <f aca="false">INDEX(Daily!$B:$B,MATCH(A42,Daily!$A:$A,0))</f>
        <v>11962.1</v>
      </c>
      <c r="C42" s="11" t="n">
        <v>26.4</v>
      </c>
      <c r="D42" s="12" t="s">
        <v>15</v>
      </c>
      <c r="E42" s="13" t="n">
        <f aca="false">B42/C42</f>
        <v>453.109848484849</v>
      </c>
      <c r="F42" s="14" t="n">
        <f aca="false">IF(D42="standalone",E42*Summary!$B$11,E42)</f>
        <v>546.045109792512</v>
      </c>
      <c r="G42" s="15" t="n">
        <f aca="false">B42/F42</f>
        <v>21.9067981481336</v>
      </c>
      <c r="H42" s="16" t="n">
        <f aca="false">F42/F30-1</f>
        <v>0.100253349443171</v>
      </c>
    </row>
    <row r="43" customFormat="false" ht="15" hidden="false" customHeight="false" outlineLevel="0" collapsed="false">
      <c r="A43" s="9" t="n">
        <v>43889</v>
      </c>
      <c r="B43" s="10" t="n">
        <f aca="false">INDEX(Daily!$B:$B,MATCH(A43,Daily!$A:$A,0))</f>
        <v>11201.75</v>
      </c>
      <c r="C43" s="11" t="n">
        <v>25.5</v>
      </c>
      <c r="D43" s="12" t="s">
        <v>15</v>
      </c>
      <c r="E43" s="13" t="n">
        <f aca="false">B43/C43</f>
        <v>439.28431372549</v>
      </c>
      <c r="F43" s="14" t="n">
        <f aca="false">IF(D43="standalone",E43*Summary!$B$11,E43)</f>
        <v>529.383883666313</v>
      </c>
      <c r="G43" s="15" t="n">
        <f aca="false">B43/F43</f>
        <v>21.1599754839927</v>
      </c>
      <c r="H43" s="16" t="n">
        <f aca="false">F43/F31-1</f>
        <v>0.0704820431763162</v>
      </c>
    </row>
    <row r="44" customFormat="false" ht="15" hidden="false" customHeight="false" outlineLevel="0" collapsed="false">
      <c r="A44" s="9" t="n">
        <v>43921</v>
      </c>
      <c r="B44" s="10" t="n">
        <f aca="false">INDEX(Daily!$B:$B,MATCH(A44,Daily!$A:$A,0))</f>
        <v>8597.75</v>
      </c>
      <c r="C44" s="11" t="n">
        <v>19.4</v>
      </c>
      <c r="D44" s="12" t="s">
        <v>15</v>
      </c>
      <c r="E44" s="13" t="n">
        <f aca="false">B44/C44</f>
        <v>443.182989690722</v>
      </c>
      <c r="F44" s="14" t="n">
        <f aca="false">IF(D44="standalone",E44*Summary!$B$11,E44)</f>
        <v>534.082198992274</v>
      </c>
      <c r="G44" s="15" t="n">
        <f aca="false">B44/F44</f>
        <v>16.0981774270376</v>
      </c>
      <c r="H44" s="16" t="n">
        <f aca="false">F44/F32-1</f>
        <v>0.105679393407628</v>
      </c>
    </row>
    <row r="45" customFormat="false" ht="15" hidden="false" customHeight="false" outlineLevel="0" collapsed="false">
      <c r="A45" s="9" t="n">
        <v>43951</v>
      </c>
      <c r="B45" s="10" t="n">
        <f aca="false">INDEX(Daily!$B:$B,MATCH(A45,Daily!$A:$A,0))</f>
        <v>9859.9</v>
      </c>
      <c r="C45" s="11" t="n">
        <v>22.4</v>
      </c>
      <c r="D45" s="12" t="s">
        <v>15</v>
      </c>
      <c r="E45" s="13" t="n">
        <f aca="false">B45/C45</f>
        <v>440.174107142857</v>
      </c>
      <c r="F45" s="14" t="n">
        <f aca="false">IF(D45="standalone",E45*Summary!$B$11,E45)</f>
        <v>530.456178488205</v>
      </c>
      <c r="G45" s="15" t="n">
        <f aca="false">B45/F45</f>
        <v>18.5875863075073</v>
      </c>
      <c r="H45" s="16" t="n">
        <f aca="false">F45/F33-1</f>
        <v>0.0977984907654155</v>
      </c>
    </row>
    <row r="46" customFormat="false" ht="15" hidden="false" customHeight="false" outlineLevel="0" collapsed="false">
      <c r="A46" s="9" t="n">
        <v>43980</v>
      </c>
      <c r="B46" s="10" t="n">
        <f aca="false">INDEX(Daily!$B:$B,MATCH(A46,Daily!$A:$A,0))</f>
        <v>9580.3</v>
      </c>
      <c r="C46" s="11" t="n">
        <v>22.4</v>
      </c>
      <c r="D46" s="12" t="s">
        <v>15</v>
      </c>
      <c r="E46" s="13" t="n">
        <f aca="false">B46/C46</f>
        <v>427.691964285714</v>
      </c>
      <c r="F46" s="14" t="n">
        <f aca="false">IF(D46="standalone",E46*Summary!$B$11,E46)</f>
        <v>515.413881151995</v>
      </c>
      <c r="G46" s="15" t="n">
        <f aca="false">B46/F46</f>
        <v>18.5875863075073</v>
      </c>
      <c r="H46" s="16" t="n">
        <f aca="false">F46/F34-1</f>
        <v>0.058217276682371</v>
      </c>
    </row>
    <row r="47" customFormat="false" ht="15" hidden="false" customHeight="false" outlineLevel="0" collapsed="false">
      <c r="A47" s="9" t="n">
        <v>44012</v>
      </c>
      <c r="B47" s="10" t="n">
        <f aca="false">INDEX(Daily!$B:$B,MATCH(A47,Daily!$A:$A,0))</f>
        <v>10302.1</v>
      </c>
      <c r="C47" s="11" t="n">
        <v>26.3</v>
      </c>
      <c r="D47" s="12" t="s">
        <v>15</v>
      </c>
      <c r="E47" s="13" t="n">
        <f aca="false">B47/C47</f>
        <v>391.714828897338</v>
      </c>
      <c r="F47" s="14" t="n">
        <f aca="false">IF(D47="standalone",E47*Summary!$B$11,E47)</f>
        <v>472.057642242474</v>
      </c>
      <c r="G47" s="15" t="n">
        <f aca="false">B47/F47</f>
        <v>21.8238178521179</v>
      </c>
      <c r="H47" s="16" t="n">
        <f aca="false">F47/F35-1</f>
        <v>-0.0364004938545478</v>
      </c>
    </row>
    <row r="48" customFormat="false" ht="15" hidden="false" customHeight="false" outlineLevel="0" collapsed="false">
      <c r="A48" s="9" t="n">
        <v>44043</v>
      </c>
      <c r="B48" s="10" t="n">
        <f aca="false">INDEX(Daily!$B:$B,MATCH(A48,Daily!$A:$A,0))</f>
        <v>11073.45</v>
      </c>
      <c r="C48" s="11" t="n">
        <v>30.2</v>
      </c>
      <c r="D48" s="12" t="s">
        <v>15</v>
      </c>
      <c r="E48" s="13" t="n">
        <f aca="false">B48/C48</f>
        <v>366.670529801325</v>
      </c>
      <c r="F48" s="14" t="n">
        <f aca="false">IF(D48="standalone",E48*Summary!$B$11,E48)</f>
        <v>441.876623014381</v>
      </c>
      <c r="G48" s="15" t="n">
        <f aca="false">B48/F48</f>
        <v>25.0600493967286</v>
      </c>
      <c r="H48" s="16" t="n">
        <f aca="false">F48/F36-1</f>
        <v>-0.0963507360535806</v>
      </c>
    </row>
    <row r="49" customFormat="false" ht="15" hidden="false" customHeight="false" outlineLevel="0" collapsed="false">
      <c r="A49" s="9" t="n">
        <v>44074</v>
      </c>
      <c r="B49" s="10" t="n">
        <f aca="false">INDEX(Daily!$B:$B,MATCH(A49,Daily!$A:$A,0))</f>
        <v>11387.5</v>
      </c>
      <c r="C49" s="11" t="n">
        <v>32.3</v>
      </c>
      <c r="D49" s="12" t="s">
        <v>15</v>
      </c>
      <c r="E49" s="13" t="n">
        <f aca="false">B49/C49</f>
        <v>352.554179566564</v>
      </c>
      <c r="F49" s="14" t="n">
        <f aca="false">IF(D49="standalone",E49*Summary!$B$11,E49)</f>
        <v>424.864933598261</v>
      </c>
      <c r="G49" s="15" t="n">
        <f aca="false">B49/F49</f>
        <v>26.8026356130574</v>
      </c>
      <c r="H49" s="16" t="n">
        <f aca="false">F49/F37-1</f>
        <v>-0.126870106169489</v>
      </c>
    </row>
    <row r="50" customFormat="false" ht="15" hidden="false" customHeight="false" outlineLevel="0" collapsed="false">
      <c r="A50" s="9" t="n">
        <v>44104</v>
      </c>
      <c r="B50" s="10" t="n">
        <f aca="false">INDEX(Daily!$B:$B,MATCH(A50,Daily!$A:$A,0))</f>
        <v>11247.55</v>
      </c>
      <c r="C50" s="11" t="n">
        <v>32.7</v>
      </c>
      <c r="D50" s="12" t="s">
        <v>15</v>
      </c>
      <c r="E50" s="13" t="n">
        <f aca="false">B50/C50</f>
        <v>343.961773700306</v>
      </c>
      <c r="F50" s="14" t="n">
        <f aca="false">IF(D50="standalone",E50*Summary!$B$11,E50)</f>
        <v>414.51017918206</v>
      </c>
      <c r="G50" s="15" t="n">
        <f aca="false">B50/F50</f>
        <v>27.13455679712</v>
      </c>
      <c r="H50" s="16" t="n">
        <f aca="false">F50/F38-1</f>
        <v>-0.208625178053147</v>
      </c>
    </row>
    <row r="51" customFormat="false" ht="15" hidden="false" customHeight="false" outlineLevel="0" collapsed="false">
      <c r="A51" s="9" t="n">
        <v>44134</v>
      </c>
      <c r="B51" s="10" t="n">
        <f aca="false">INDEX(Daily!$B:$B,MATCH(A51,Daily!$A:$A,0))</f>
        <v>11642.4</v>
      </c>
      <c r="C51" s="11" t="n">
        <v>31.9</v>
      </c>
      <c r="D51" s="12" t="s">
        <v>15</v>
      </c>
      <c r="E51" s="13" t="n">
        <f aca="false">B51/C51</f>
        <v>364.965517241379</v>
      </c>
      <c r="F51" s="14" t="n">
        <f aca="false">IF(D51="standalone",E51*Summary!$B$11,E51)</f>
        <v>439.821903229309</v>
      </c>
      <c r="G51" s="15" t="n">
        <f aca="false">B51/F51</f>
        <v>26.4707144289947</v>
      </c>
      <c r="H51" s="16" t="n">
        <f aca="false">F51/F39-1</f>
        <v>-0.158063795476824</v>
      </c>
    </row>
    <row r="52" customFormat="false" ht="15" hidden="false" customHeight="false" outlineLevel="0" collapsed="false">
      <c r="A52" s="9" t="n">
        <v>44162</v>
      </c>
      <c r="B52" s="10" t="n">
        <f aca="false">INDEX(Daily!$B:$B,MATCH(A52,Daily!$A:$A,0))</f>
        <v>12968.95</v>
      </c>
      <c r="C52" s="11" t="n">
        <v>35.7</v>
      </c>
      <c r="D52" s="12" t="s">
        <v>15</v>
      </c>
      <c r="E52" s="13" t="n">
        <f aca="false">B52/C52</f>
        <v>363.275910364146</v>
      </c>
      <c r="F52" s="14" t="n">
        <f aca="false">IF(D52="standalone",E52*Summary!$B$11,E52)</f>
        <v>437.785748915139</v>
      </c>
      <c r="G52" s="15" t="n">
        <f aca="false">B52/F52</f>
        <v>29.6239656775897</v>
      </c>
      <c r="H52" s="16" t="n">
        <f aca="false">F52/F40-1</f>
        <v>-0.153283780240419</v>
      </c>
    </row>
    <row r="53" customFormat="false" ht="15" hidden="false" customHeight="false" outlineLevel="0" collapsed="false">
      <c r="A53" s="9" t="n">
        <v>44196</v>
      </c>
      <c r="B53" s="10" t="n">
        <f aca="false">INDEX(Daily!$B:$B,MATCH(A53,Daily!$A:$A,0))</f>
        <v>13981.75</v>
      </c>
      <c r="C53" s="11" t="n">
        <v>38.45</v>
      </c>
      <c r="D53" s="12" t="s">
        <v>15</v>
      </c>
      <c r="E53" s="13" t="n">
        <f aca="false">B53/C53</f>
        <v>363.634590377113</v>
      </c>
      <c r="F53" s="14" t="n">
        <f aca="false">IF(D53="standalone",E53*Summary!$B$11,E53)</f>
        <v>438.21799612344</v>
      </c>
      <c r="G53" s="15" t="n">
        <f aca="false">B53/F53</f>
        <v>31.9059238180203</v>
      </c>
      <c r="H53" s="16" t="n">
        <f aca="false">F53/F41-1</f>
        <v>-0.154299938967387</v>
      </c>
    </row>
    <row r="54" customFormat="false" ht="15" hidden="false" customHeight="false" outlineLevel="0" collapsed="false">
      <c r="A54" s="9" t="n">
        <v>44225</v>
      </c>
      <c r="B54" s="10" t="n">
        <f aca="false">INDEX(Daily!$B:$B,MATCH(A54,Daily!$A:$A,0))</f>
        <v>13634.6</v>
      </c>
      <c r="C54" s="11" t="n">
        <v>36.6</v>
      </c>
      <c r="D54" s="12" t="s">
        <v>15</v>
      </c>
      <c r="E54" s="13" t="n">
        <f aca="false">B54/C54</f>
        <v>372.530054644809</v>
      </c>
      <c r="F54" s="14" t="n">
        <f aca="false">IF(D54="standalone",E54*Summary!$B$11,E54)</f>
        <v>448.937967845422</v>
      </c>
      <c r="G54" s="15" t="n">
        <f aca="false">B54/F54</f>
        <v>30.3707883417307</v>
      </c>
      <c r="H54" s="16" t="n">
        <f aca="false">F54/F42-1</f>
        <v>-0.177837215654195</v>
      </c>
    </row>
    <row r="55" customFormat="false" ht="15" hidden="false" customHeight="false" outlineLevel="0" collapsed="false">
      <c r="A55" s="9" t="n">
        <v>44253</v>
      </c>
      <c r="B55" s="10" t="n">
        <f aca="false">INDEX(Daily!$B:$B,MATCH(A55,Daily!$A:$A,0))</f>
        <v>14529.15</v>
      </c>
      <c r="C55" s="11" t="n">
        <v>39.6</v>
      </c>
      <c r="D55" s="12" t="s">
        <v>15</v>
      </c>
      <c r="E55" s="13" t="n">
        <f aca="false">B55/C55</f>
        <v>366.897727272727</v>
      </c>
      <c r="F55" s="14" t="n">
        <f aca="false">IF(D55="standalone",E55*Summary!$B$11,E55)</f>
        <v>442.150419906308</v>
      </c>
      <c r="G55" s="15" t="n">
        <f aca="false">B55/F55</f>
        <v>32.8601972222004</v>
      </c>
      <c r="H55" s="16" t="n">
        <f aca="false">F55/F43-1</f>
        <v>-0.164782998598028</v>
      </c>
    </row>
    <row r="56" customFormat="false" ht="15" hidden="false" customHeight="false" outlineLevel="0" collapsed="false">
      <c r="A56" s="9" t="n">
        <v>44286</v>
      </c>
      <c r="B56" s="10" t="n">
        <f aca="false">INDEX(Daily!$B:$B,MATCH(A56,Daily!$A:$A,0))</f>
        <v>14690.7</v>
      </c>
      <c r="C56" s="11" t="n">
        <v>33.2</v>
      </c>
      <c r="D56" s="12" t="s">
        <v>16</v>
      </c>
      <c r="E56" s="13" t="n">
        <f aca="false">B56/C56</f>
        <v>442.490963855422</v>
      </c>
      <c r="F56" s="14" t="n">
        <f aca="false">IF(D56="standalone",E56*Summary!$B$11,E56)</f>
        <v>442.490963855422</v>
      </c>
      <c r="G56" s="15" t="n">
        <f aca="false">B56/F56</f>
        <v>33.2</v>
      </c>
      <c r="H56" s="16" t="n">
        <f aca="false">F56/F44-1</f>
        <v>-0.171492768921469</v>
      </c>
      <c r="I56" s="17" t="s">
        <v>17</v>
      </c>
    </row>
    <row r="57" customFormat="false" ht="15" hidden="false" customHeight="false" outlineLevel="0" collapsed="false">
      <c r="A57" s="9" t="n">
        <v>44316</v>
      </c>
      <c r="B57" s="10" t="n">
        <f aca="false">INDEX(Daily!$B:$B,MATCH(A57,Daily!$A:$A,0))</f>
        <v>14631.1</v>
      </c>
      <c r="C57" s="11" t="n">
        <v>32.2</v>
      </c>
      <c r="D57" s="12" t="s">
        <v>16</v>
      </c>
      <c r="E57" s="13" t="n">
        <f aca="false">B57/C57</f>
        <v>454.38198757764</v>
      </c>
      <c r="F57" s="14" t="n">
        <f aca="false">IF(D57="standalone",E57*Summary!$B$11,E57)</f>
        <v>454.38198757764</v>
      </c>
      <c r="G57" s="15" t="n">
        <f aca="false">B57/F57</f>
        <v>32.2</v>
      </c>
      <c r="H57" s="16" t="n">
        <f aca="false">F57/F45-1</f>
        <v>-0.143412771866238</v>
      </c>
    </row>
    <row r="58" customFormat="false" ht="15" hidden="false" customHeight="false" outlineLevel="0" collapsed="false">
      <c r="A58" s="9" t="n">
        <v>44347</v>
      </c>
      <c r="B58" s="10" t="n">
        <f aca="false">INDEX(Daily!$B:$B,MATCH(A58,Daily!$A:$A,0))</f>
        <v>15582.8</v>
      </c>
      <c r="C58" s="11" t="n">
        <v>29.2</v>
      </c>
      <c r="D58" s="12" t="s">
        <v>16</v>
      </c>
      <c r="E58" s="13" t="n">
        <f aca="false">B58/C58</f>
        <v>533.657534246575</v>
      </c>
      <c r="F58" s="14" t="n">
        <f aca="false">IF(D58="standalone",E58*Summary!$B$11,E58)</f>
        <v>533.657534246575</v>
      </c>
      <c r="G58" s="15" t="n">
        <f aca="false">B58/F58</f>
        <v>29.2</v>
      </c>
      <c r="H58" s="16" t="n">
        <f aca="false">F58/F46-1</f>
        <v>0.0353961229251427</v>
      </c>
    </row>
    <row r="59" customFormat="false" ht="15" hidden="false" customHeight="false" outlineLevel="0" collapsed="false">
      <c r="A59" s="9" t="n">
        <v>44377</v>
      </c>
      <c r="B59" s="10" t="n">
        <f aca="false">INDEX(Daily!$B:$B,MATCH(A59,Daily!$A:$A,0))</f>
        <v>15721.5</v>
      </c>
      <c r="C59" s="11" t="n">
        <v>28.3</v>
      </c>
      <c r="D59" s="12" t="s">
        <v>16</v>
      </c>
      <c r="E59" s="13" t="n">
        <f aca="false">B59/C59</f>
        <v>555.530035335689</v>
      </c>
      <c r="F59" s="14" t="n">
        <f aca="false">IF(D59="standalone",E59*Summary!$B$11,E59)</f>
        <v>555.530035335689</v>
      </c>
      <c r="G59" s="15" t="n">
        <f aca="false">B59/F59</f>
        <v>28.3</v>
      </c>
      <c r="H59" s="16" t="n">
        <f aca="false">F59/F47-1</f>
        <v>0.1768266957753</v>
      </c>
    </row>
    <row r="60" customFormat="false" ht="15" hidden="false" customHeight="false" outlineLevel="0" collapsed="false">
      <c r="A60" s="9" t="n">
        <v>44407</v>
      </c>
      <c r="B60" s="10" t="n">
        <f aca="false">INDEX(Daily!$B:$B,MATCH(A60,Daily!$A:$A,0))</f>
        <v>15763.05</v>
      </c>
      <c r="C60" s="11" t="n">
        <v>27</v>
      </c>
      <c r="D60" s="12" t="s">
        <v>16</v>
      </c>
      <c r="E60" s="13" t="n">
        <f aca="false">B60/C60</f>
        <v>583.816666666667</v>
      </c>
      <c r="F60" s="14" t="n">
        <f aca="false">IF(D60="standalone",E60*Summary!$B$11,E60)</f>
        <v>583.816666666667</v>
      </c>
      <c r="G60" s="15" t="n">
        <f aca="false">B60/F60</f>
        <v>27</v>
      </c>
      <c r="H60" s="16" t="n">
        <f aca="false">F60/F48-1</f>
        <v>0.321220984002283</v>
      </c>
    </row>
    <row r="61" customFormat="false" ht="15" hidden="false" customHeight="false" outlineLevel="0" collapsed="false">
      <c r="A61" s="9" t="n">
        <v>44439</v>
      </c>
      <c r="B61" s="10" t="n">
        <f aca="false">INDEX(Daily!$B:$B,MATCH(A61,Daily!$A:$A,0))</f>
        <v>17132.2</v>
      </c>
      <c r="C61" s="11" t="n">
        <v>26.3</v>
      </c>
      <c r="D61" s="12" t="s">
        <v>16</v>
      </c>
      <c r="E61" s="13" t="n">
        <f aca="false">B61/C61</f>
        <v>651.414448669202</v>
      </c>
      <c r="F61" s="14" t="n">
        <f aca="false">IF(D61="standalone",E61*Summary!$B$11,E61)</f>
        <v>651.414448669202</v>
      </c>
      <c r="G61" s="15" t="n">
        <f aca="false">B61/F61</f>
        <v>26.3</v>
      </c>
      <c r="H61" s="16" t="n">
        <f aca="false">F61/F49-1</f>
        <v>0.533227143864876</v>
      </c>
    </row>
    <row r="62" customFormat="false" ht="15" hidden="false" customHeight="false" outlineLevel="0" collapsed="false">
      <c r="A62" s="9" t="n">
        <v>44469</v>
      </c>
      <c r="B62" s="10" t="n">
        <f aca="false">INDEX(Daily!$B:$B,MATCH(A62,Daily!$A:$A,0))</f>
        <v>17618.15</v>
      </c>
      <c r="C62" s="11" t="n">
        <v>27</v>
      </c>
      <c r="D62" s="12" t="s">
        <v>16</v>
      </c>
      <c r="E62" s="13" t="n">
        <f aca="false">B62/C62</f>
        <v>652.524074074074</v>
      </c>
      <c r="F62" s="14" t="n">
        <f aca="false">IF(D62="standalone",E62*Summary!$B$11,E62)</f>
        <v>652.524074074074</v>
      </c>
      <c r="G62" s="15" t="n">
        <f aca="false">B62/F62</f>
        <v>27</v>
      </c>
      <c r="H62" s="16" t="n">
        <f aca="false">F62/F50-1</f>
        <v>0.57420518685857</v>
      </c>
    </row>
    <row r="63" customFormat="false" ht="15" hidden="false" customHeight="false" outlineLevel="0" collapsed="false">
      <c r="A63" s="9" t="n">
        <v>44498</v>
      </c>
      <c r="B63" s="10" t="n">
        <f aca="false">INDEX(Daily!$B:$B,MATCH(A63,Daily!$A:$A,0))</f>
        <v>17671.65</v>
      </c>
      <c r="C63" s="11" t="n">
        <v>25.7</v>
      </c>
      <c r="D63" s="12" t="s">
        <v>16</v>
      </c>
      <c r="E63" s="13" t="n">
        <f aca="false">B63/C63</f>
        <v>687.612840466926</v>
      </c>
      <c r="F63" s="14" t="n">
        <f aca="false">IF(D63="standalone",E63*Summary!$B$11,E63)</f>
        <v>687.612840466926</v>
      </c>
      <c r="G63" s="15" t="n">
        <f aca="false">B63/F63</f>
        <v>25.7</v>
      </c>
      <c r="H63" s="16" t="n">
        <f aca="false">F63/F51-1</f>
        <v>0.563389261467561</v>
      </c>
    </row>
    <row r="64" customFormat="false" ht="15" hidden="false" customHeight="false" outlineLevel="0" collapsed="false">
      <c r="A64" s="9" t="n">
        <v>44530</v>
      </c>
      <c r="B64" s="10" t="n">
        <f aca="false">INDEX(Daily!$B:$B,MATCH(A64,Daily!$A:$A,0))</f>
        <v>16983.2</v>
      </c>
      <c r="C64" s="11" t="n">
        <v>23.4</v>
      </c>
      <c r="D64" s="12" t="s">
        <v>16</v>
      </c>
      <c r="E64" s="13" t="n">
        <f aca="false">B64/C64</f>
        <v>725.777777777778</v>
      </c>
      <c r="F64" s="14" t="n">
        <f aca="false">IF(D64="standalone",E64*Summary!$B$11,E64)</f>
        <v>725.777777777778</v>
      </c>
      <c r="G64" s="15" t="n">
        <f aca="false">B64/F64</f>
        <v>23.4</v>
      </c>
      <c r="H64" s="16" t="n">
        <f aca="false">F64/F52-1</f>
        <v>0.657837834091907</v>
      </c>
    </row>
    <row r="65" customFormat="false" ht="15" hidden="false" customHeight="false" outlineLevel="0" collapsed="false">
      <c r="A65" s="9" t="n">
        <v>44561</v>
      </c>
      <c r="B65" s="10" t="n">
        <f aca="false">INDEX(Daily!$B:$B,MATCH(A65,Daily!$A:$A,0))</f>
        <v>17354.05</v>
      </c>
      <c r="C65" s="11" t="n">
        <v>24.11</v>
      </c>
      <c r="D65" s="12" t="s">
        <v>16</v>
      </c>
      <c r="E65" s="13" t="n">
        <f aca="false">B65/C65</f>
        <v>719.786395686437</v>
      </c>
      <c r="F65" s="14" t="n">
        <f aca="false">IF(D65="standalone",E65*Summary!$B$11,E65)</f>
        <v>719.786395686437</v>
      </c>
      <c r="G65" s="15" t="n">
        <f aca="false">B65/F65</f>
        <v>24.11</v>
      </c>
      <c r="H65" s="16" t="n">
        <f aca="false">F65/F53-1</f>
        <v>0.642530434746644</v>
      </c>
    </row>
    <row r="66" customFormat="false" ht="15" hidden="false" customHeight="false" outlineLevel="0" collapsed="false">
      <c r="A66" s="9" t="n">
        <v>44592</v>
      </c>
      <c r="B66" s="10" t="n">
        <f aca="false">INDEX(Daily!$B:$B,MATCH(A66,Daily!$A:$A,0))</f>
        <v>17339.85</v>
      </c>
      <c r="C66" s="11" t="n">
        <v>23.4</v>
      </c>
      <c r="D66" s="12" t="s">
        <v>16</v>
      </c>
      <c r="E66" s="13" t="n">
        <f aca="false">B66/C66</f>
        <v>741.019230769231</v>
      </c>
      <c r="F66" s="14" t="n">
        <f aca="false">IF(D66="standalone",E66*Summary!$B$11,E66)</f>
        <v>741.019230769231</v>
      </c>
      <c r="G66" s="15" t="n">
        <f aca="false">B66/F66</f>
        <v>23.4</v>
      </c>
      <c r="H66" s="16" t="n">
        <f aca="false">F66/F54-1</f>
        <v>0.650604947328441</v>
      </c>
    </row>
    <row r="67" customFormat="false" ht="15" hidden="false" customHeight="false" outlineLevel="0" collapsed="false">
      <c r="A67" s="9" t="n">
        <v>44620</v>
      </c>
      <c r="B67" s="10" t="n">
        <f aca="false">INDEX(Daily!$B:$B,MATCH(A67,Daily!$A:$A,0))</f>
        <v>16793.9</v>
      </c>
      <c r="C67" s="11" t="n">
        <v>21.6</v>
      </c>
      <c r="D67" s="12" t="s">
        <v>16</v>
      </c>
      <c r="E67" s="13" t="n">
        <f aca="false">B67/C67</f>
        <v>777.49537037037</v>
      </c>
      <c r="F67" s="14" t="n">
        <f aca="false">IF(D67="standalone",E67*Summary!$B$11,E67)</f>
        <v>777.49537037037</v>
      </c>
      <c r="G67" s="15" t="n">
        <f aca="false">B67/F67</f>
        <v>21.6</v>
      </c>
      <c r="H67" s="16" t="n">
        <f aca="false">F67/F55-1</f>
        <v>0.75844087298418</v>
      </c>
    </row>
    <row r="68" customFormat="false" ht="15" hidden="false" customHeight="false" outlineLevel="0" collapsed="false">
      <c r="A68" s="9" t="n">
        <v>44651</v>
      </c>
      <c r="B68" s="10" t="n">
        <f aca="false">INDEX(Daily!$B:$B,MATCH(A68,Daily!$A:$A,0))</f>
        <v>17464.75</v>
      </c>
      <c r="C68" s="11" t="n">
        <v>22.9</v>
      </c>
      <c r="D68" s="12" t="s">
        <v>16</v>
      </c>
      <c r="E68" s="13" t="n">
        <f aca="false">B68/C68</f>
        <v>762.652838427948</v>
      </c>
      <c r="F68" s="14" t="n">
        <f aca="false">IF(D68="standalone",E68*Summary!$B$11,E68)</f>
        <v>762.652838427948</v>
      </c>
      <c r="G68" s="15" t="n">
        <f aca="false">B68/F68</f>
        <v>22.9</v>
      </c>
      <c r="H68" s="16" t="n">
        <f aca="false">F68/F56-1</f>
        <v>0.723544435309949</v>
      </c>
    </row>
    <row r="69" customFormat="false" ht="15" hidden="false" customHeight="false" outlineLevel="0" collapsed="false">
      <c r="A69" s="9" t="n">
        <v>44680</v>
      </c>
      <c r="B69" s="10" t="n">
        <f aca="false">INDEX(Daily!$B:$B,MATCH(A69,Daily!$A:$A,0))</f>
        <v>17102.55</v>
      </c>
      <c r="C69" s="11" t="n">
        <v>22</v>
      </c>
      <c r="D69" s="12" t="s">
        <v>16</v>
      </c>
      <c r="E69" s="13" t="n">
        <f aca="false">B69/C69</f>
        <v>777.388636363636</v>
      </c>
      <c r="F69" s="14" t="n">
        <f aca="false">IF(D69="standalone",E69*Summary!$B$11,E69)</f>
        <v>777.388636363636</v>
      </c>
      <c r="G69" s="15" t="n">
        <f aca="false">B69/F69</f>
        <v>22</v>
      </c>
      <c r="H69" s="16" t="n">
        <f aca="false">F69/F57-1</f>
        <v>0.710870275707848</v>
      </c>
    </row>
    <row r="70" customFormat="false" ht="15" hidden="false" customHeight="false" outlineLevel="0" collapsed="false">
      <c r="A70" s="9" t="n">
        <v>44712</v>
      </c>
      <c r="B70" s="10" t="n">
        <f aca="false">INDEX(Daily!$B:$B,MATCH(A70,Daily!$A:$A,0))</f>
        <v>16584.55</v>
      </c>
      <c r="C70" s="11" t="n">
        <v>20.4</v>
      </c>
      <c r="D70" s="12" t="s">
        <v>16</v>
      </c>
      <c r="E70" s="13" t="n">
        <f aca="false">B70/C70</f>
        <v>812.968137254902</v>
      </c>
      <c r="F70" s="14" t="n">
        <f aca="false">IF(D70="standalone",E70*Summary!$B$11,E70)</f>
        <v>812.968137254902</v>
      </c>
      <c r="G70" s="15" t="n">
        <f aca="false">B70/F70</f>
        <v>20.4</v>
      </c>
      <c r="H70" s="16" t="n">
        <f aca="false">F70/F58-1</f>
        <v>0.523389224519543</v>
      </c>
    </row>
    <row r="71" customFormat="false" ht="15" hidden="false" customHeight="false" outlineLevel="0" collapsed="false">
      <c r="A71" s="9" t="n">
        <v>44742</v>
      </c>
      <c r="B71" s="10" t="n">
        <f aca="false">INDEX(Daily!$B:$B,MATCH(A71,Daily!$A:$A,0))</f>
        <v>15780.25</v>
      </c>
      <c r="C71" s="11" t="n">
        <v>19.5</v>
      </c>
      <c r="D71" s="12" t="s">
        <v>16</v>
      </c>
      <c r="E71" s="13" t="n">
        <f aca="false">B71/C71</f>
        <v>809.24358974359</v>
      </c>
      <c r="F71" s="14" t="n">
        <f aca="false">IF(D71="standalone",E71*Summary!$B$11,E71)</f>
        <v>809.24358974359</v>
      </c>
      <c r="G71" s="15" t="n">
        <f aca="false">B71/F71</f>
        <v>19.5</v>
      </c>
      <c r="H71" s="16" t="n">
        <f aca="false">F71/F59-1</f>
        <v>0.45670537733318</v>
      </c>
    </row>
    <row r="72" customFormat="false" ht="15" hidden="false" customHeight="false" outlineLevel="0" collapsed="false">
      <c r="A72" s="9" t="n">
        <v>44771</v>
      </c>
      <c r="B72" s="10" t="n">
        <f aca="false">INDEX(Daily!$B:$B,MATCH(A72,Daily!$A:$A,0))</f>
        <v>17158.25</v>
      </c>
      <c r="C72" s="11" t="n">
        <v>20.7</v>
      </c>
      <c r="D72" s="12" t="s">
        <v>16</v>
      </c>
      <c r="E72" s="13" t="n">
        <f aca="false">B72/C72</f>
        <v>828.900966183575</v>
      </c>
      <c r="F72" s="14" t="n">
        <f aca="false">IF(D72="standalone",E72*Summary!$B$11,E72)</f>
        <v>828.900966183575</v>
      </c>
      <c r="G72" s="15" t="n">
        <f aca="false">B72/F72</f>
        <v>20.7</v>
      </c>
      <c r="H72" s="16" t="n">
        <f aca="false">F72/F60-1</f>
        <v>0.419796681921108</v>
      </c>
    </row>
    <row r="73" customFormat="false" ht="15" hidden="false" customHeight="false" outlineLevel="0" collapsed="false">
      <c r="A73" s="9" t="n">
        <v>44803</v>
      </c>
      <c r="B73" s="10" t="n">
        <f aca="false">INDEX(Daily!$B:$B,MATCH(A73,Daily!$A:$A,0))</f>
        <v>17759.3</v>
      </c>
      <c r="C73" s="11" t="n">
        <v>21.2</v>
      </c>
      <c r="D73" s="12" t="s">
        <v>16</v>
      </c>
      <c r="E73" s="13" t="n">
        <f aca="false">B73/C73</f>
        <v>837.702830188679</v>
      </c>
      <c r="F73" s="14" t="n">
        <f aca="false">IF(D73="standalone",E73*Summary!$B$11,E73)</f>
        <v>837.702830188679</v>
      </c>
      <c r="G73" s="15" t="n">
        <f aca="false">B73/F73</f>
        <v>21.2</v>
      </c>
      <c r="H73" s="16" t="n">
        <f aca="false">F73/F61-1</f>
        <v>0.285975206567882</v>
      </c>
    </row>
    <row r="74" customFormat="false" ht="15" hidden="false" customHeight="false" outlineLevel="0" collapsed="false">
      <c r="A74" s="9" t="n">
        <v>44834</v>
      </c>
      <c r="B74" s="10" t="n">
        <f aca="false">INDEX(Daily!$B:$B,MATCH(A74,Daily!$A:$A,0))</f>
        <v>17094.35</v>
      </c>
      <c r="C74" s="11" t="n">
        <v>20.6</v>
      </c>
      <c r="D74" s="12" t="s">
        <v>16</v>
      </c>
      <c r="E74" s="13" t="n">
        <f aca="false">B74/C74</f>
        <v>829.822815533981</v>
      </c>
      <c r="F74" s="14" t="n">
        <f aca="false">IF(D74="standalone",E74*Summary!$B$11,E74)</f>
        <v>829.822815533981</v>
      </c>
      <c r="G74" s="15" t="n">
        <f aca="false">B74/F74</f>
        <v>20.6</v>
      </c>
      <c r="H74" s="16" t="n">
        <f aca="false">F74/F62-1</f>
        <v>0.271712184276866</v>
      </c>
    </row>
    <row r="75" customFormat="false" ht="15" hidden="false" customHeight="false" outlineLevel="0" collapsed="false">
      <c r="A75" s="9" t="n">
        <v>44865</v>
      </c>
      <c r="B75" s="10" t="n">
        <f aca="false">INDEX(Daily!$B:$B,MATCH(A75,Daily!$A:$A,0))</f>
        <v>18012.2</v>
      </c>
      <c r="C75" s="11" t="n">
        <v>21.4</v>
      </c>
      <c r="D75" s="12" t="s">
        <v>16</v>
      </c>
      <c r="E75" s="13" t="n">
        <f aca="false">B75/C75</f>
        <v>841.691588785047</v>
      </c>
      <c r="F75" s="14" t="n">
        <f aca="false">IF(D75="standalone",E75*Summary!$B$11,E75)</f>
        <v>841.691588785047</v>
      </c>
      <c r="G75" s="15" t="n">
        <f aca="false">B75/F75</f>
        <v>21.4</v>
      </c>
      <c r="H75" s="16" t="n">
        <f aca="false">F75/F63-1</f>
        <v>0.224077764768751</v>
      </c>
    </row>
    <row r="76" customFormat="false" ht="15" hidden="false" customHeight="false" outlineLevel="0" collapsed="false">
      <c r="A76" s="9" t="n">
        <v>44895</v>
      </c>
      <c r="B76" s="10" t="n">
        <f aca="false">INDEX(Daily!$B:$B,MATCH(A76,Daily!$A:$A,0))</f>
        <v>18758.35</v>
      </c>
      <c r="C76" s="11" t="n">
        <v>22.5</v>
      </c>
      <c r="D76" s="12" t="s">
        <v>16</v>
      </c>
      <c r="E76" s="13" t="n">
        <f aca="false">B76/C76</f>
        <v>833.704444444444</v>
      </c>
      <c r="F76" s="14" t="n">
        <f aca="false">IF(D76="standalone",E76*Summary!$B$11,E76)</f>
        <v>833.704444444444</v>
      </c>
      <c r="G76" s="15" t="n">
        <f aca="false">B76/F76</f>
        <v>22.5</v>
      </c>
      <c r="H76" s="16" t="n">
        <f aca="false">F76/F64-1</f>
        <v>0.148704837721984</v>
      </c>
    </row>
    <row r="77" customFormat="false" ht="15" hidden="false" customHeight="false" outlineLevel="0" collapsed="false">
      <c r="A77" s="9" t="n">
        <v>44925</v>
      </c>
      <c r="B77" s="10" t="n">
        <f aca="false">INDEX(Daily!$B:$B,MATCH(A77,Daily!$A:$A,0))</f>
        <v>18105.3</v>
      </c>
      <c r="C77" s="11" t="n">
        <v>21.79</v>
      </c>
      <c r="D77" s="12" t="s">
        <v>16</v>
      </c>
      <c r="E77" s="13" t="n">
        <f aca="false">B77/C77</f>
        <v>830.899495181276</v>
      </c>
      <c r="F77" s="14" t="n">
        <f aca="false">IF(D77="standalone",E77*Summary!$B$11,E77)</f>
        <v>830.899495181276</v>
      </c>
      <c r="G77" s="15" t="n">
        <f aca="false">B77/F77</f>
        <v>21.79</v>
      </c>
      <c r="H77" s="16" t="n">
        <f aca="false">F77/F65-1</f>
        <v>0.154369546522026</v>
      </c>
    </row>
    <row r="78" customFormat="false" ht="15" hidden="false" customHeight="false" outlineLevel="0" collapsed="false">
      <c r="A78" s="9" t="n">
        <v>44957</v>
      </c>
      <c r="B78" s="10" t="n">
        <f aca="false">INDEX(Daily!$B:$B,MATCH(A78,Daily!$A:$A,0))</f>
        <v>17662.15</v>
      </c>
      <c r="C78" s="11" t="n">
        <v>20.7</v>
      </c>
      <c r="D78" s="12" t="s">
        <v>16</v>
      </c>
      <c r="E78" s="13" t="n">
        <f aca="false">B78/C78</f>
        <v>853.243961352657</v>
      </c>
      <c r="F78" s="14" t="n">
        <f aca="false">IF(D78="standalone",E78*Summary!$B$11,E78)</f>
        <v>853.243961352657</v>
      </c>
      <c r="G78" s="15" t="n">
        <f aca="false">B78/F78</f>
        <v>20.7</v>
      </c>
      <c r="H78" s="16" t="n">
        <f aca="false">F78/F66-1</f>
        <v>0.151446448247948</v>
      </c>
    </row>
    <row r="79" customFormat="false" ht="15" hidden="false" customHeight="false" outlineLevel="0" collapsed="false">
      <c r="A79" s="9" t="n">
        <v>44985</v>
      </c>
      <c r="B79" s="10" t="n">
        <f aca="false">INDEX(Daily!$B:$B,MATCH(A79,Daily!$A:$A,0))</f>
        <v>17303.95</v>
      </c>
      <c r="C79" s="11" t="n">
        <v>20.4</v>
      </c>
      <c r="D79" s="12" t="s">
        <v>16</v>
      </c>
      <c r="E79" s="13" t="n">
        <f aca="false">B79/C79</f>
        <v>848.232843137255</v>
      </c>
      <c r="F79" s="14" t="n">
        <f aca="false">IF(D79="standalone",E79*Summary!$B$11,E79)</f>
        <v>848.232843137255</v>
      </c>
      <c r="G79" s="15" t="n">
        <f aca="false">B79/F79</f>
        <v>20.4</v>
      </c>
      <c r="H79" s="16" t="n">
        <f aca="false">F79/F67-1</f>
        <v>0.090981214117311</v>
      </c>
    </row>
    <row r="80" customFormat="false" ht="15" hidden="false" customHeight="false" outlineLevel="0" collapsed="false">
      <c r="A80" s="9" t="n">
        <v>45016</v>
      </c>
      <c r="B80" s="10" t="n">
        <f aca="false">INDEX(Daily!$B:$B,MATCH(A80,Daily!$A:$A,0))</f>
        <v>17359.75</v>
      </c>
      <c r="C80" s="11" t="n">
        <v>20.4</v>
      </c>
      <c r="D80" s="12" t="s">
        <v>16</v>
      </c>
      <c r="E80" s="13" t="n">
        <f aca="false">B80/C80</f>
        <v>850.968137254902</v>
      </c>
      <c r="F80" s="14" t="n">
        <f aca="false">IF(D80="standalone",E80*Summary!$B$11,E80)</f>
        <v>850.968137254902</v>
      </c>
      <c r="G80" s="15" t="n">
        <f aca="false">B80/F80</f>
        <v>20.4</v>
      </c>
      <c r="H80" s="16" t="n">
        <f aca="false">F80/F68-1</f>
        <v>0.115800131300892</v>
      </c>
    </row>
    <row r="81" customFormat="false" ht="15" hidden="false" customHeight="false" outlineLevel="0" collapsed="false">
      <c r="A81" s="9" t="n">
        <v>45044</v>
      </c>
      <c r="B81" s="10" t="n">
        <f aca="false">INDEX(Daily!$B:$B,MATCH(A81,Daily!$A:$A,0))</f>
        <v>18065</v>
      </c>
      <c r="C81" s="11" t="n">
        <v>20.9</v>
      </c>
      <c r="D81" s="12" t="s">
        <v>16</v>
      </c>
      <c r="E81" s="13" t="n">
        <f aca="false">B81/C81</f>
        <v>864.354066985646</v>
      </c>
      <c r="F81" s="14" t="n">
        <f aca="false">IF(D81="standalone",E81*Summary!$B$11,E81)</f>
        <v>864.354066985646</v>
      </c>
      <c r="G81" s="15" t="n">
        <f aca="false">B81/F81</f>
        <v>20.9</v>
      </c>
      <c r="H81" s="16" t="n">
        <f aca="false">F81/F69-1</f>
        <v>0.111868667168592</v>
      </c>
    </row>
    <row r="82" customFormat="false" ht="15" hidden="false" customHeight="false" outlineLevel="0" collapsed="false">
      <c r="A82" s="9" t="n">
        <v>45077</v>
      </c>
      <c r="B82" s="10" t="n">
        <f aca="false">INDEX(Daily!$B:$B,MATCH(A82,Daily!$A:$A,0))</f>
        <v>18534.4</v>
      </c>
      <c r="C82" s="11" t="n">
        <v>21.6</v>
      </c>
      <c r="D82" s="12" t="s">
        <v>16</v>
      </c>
      <c r="E82" s="13" t="n">
        <f aca="false">B82/C82</f>
        <v>858.074074074074</v>
      </c>
      <c r="F82" s="14" t="n">
        <f aca="false">IF(D82="standalone",E82*Summary!$B$11,E82)</f>
        <v>858.074074074074</v>
      </c>
      <c r="G82" s="15" t="n">
        <f aca="false">B82/F82</f>
        <v>21.6</v>
      </c>
      <c r="H82" s="16" t="n">
        <f aca="false">F82/F70-1</f>
        <v>0.0554830315631785</v>
      </c>
    </row>
    <row r="83" customFormat="false" ht="15" hidden="false" customHeight="false" outlineLevel="0" collapsed="false">
      <c r="A83" s="9" t="n">
        <v>45107</v>
      </c>
      <c r="B83" s="10" t="n">
        <f aca="false">INDEX(Daily!$B:$B,MATCH(A83,Daily!$A:$A,0))</f>
        <v>19189.05</v>
      </c>
      <c r="C83" s="11" t="n">
        <v>22.4</v>
      </c>
      <c r="D83" s="12" t="s">
        <v>16</v>
      </c>
      <c r="E83" s="13" t="n">
        <f aca="false">B83/C83</f>
        <v>856.654017857143</v>
      </c>
      <c r="F83" s="14" t="n">
        <f aca="false">IF(D83="standalone",E83*Summary!$B$11,E83)</f>
        <v>856.654017857143</v>
      </c>
      <c r="G83" s="15" t="n">
        <f aca="false">B83/F83</f>
        <v>22.4</v>
      </c>
      <c r="H83" s="16" t="n">
        <f aca="false">F83/F71-1</f>
        <v>0.0585861027686054</v>
      </c>
    </row>
    <row r="84" customFormat="false" ht="15" hidden="false" customHeight="false" outlineLevel="0" collapsed="false">
      <c r="A84" s="9" t="n">
        <v>45138</v>
      </c>
      <c r="B84" s="10" t="n">
        <f aca="false">INDEX(Daily!$B:$B,MATCH(A84,Daily!$A:$A,0))</f>
        <v>19753.8</v>
      </c>
      <c r="C84" s="11" t="n">
        <v>23</v>
      </c>
      <c r="D84" s="12" t="s">
        <v>16</v>
      </c>
      <c r="E84" s="13" t="n">
        <f aca="false">B84/C84</f>
        <v>858.860869565217</v>
      </c>
      <c r="F84" s="14" t="n">
        <f aca="false">IF(D84="standalone",E84*Summary!$B$11,E84)</f>
        <v>858.860869565217</v>
      </c>
      <c r="G84" s="15" t="n">
        <f aca="false">B84/F84</f>
        <v>23</v>
      </c>
      <c r="H84" s="16" t="n">
        <f aca="false">F84/F72-1</f>
        <v>0.0361441289175759</v>
      </c>
    </row>
    <row r="85" customFormat="false" ht="15" hidden="false" customHeight="false" outlineLevel="0" collapsed="false">
      <c r="A85" s="9" t="n">
        <v>45169</v>
      </c>
      <c r="B85" s="10" t="n">
        <f aca="false">INDEX(Daily!$B:$B,MATCH(A85,Daily!$A:$A,0))</f>
        <v>19253.8</v>
      </c>
      <c r="C85" s="11" t="n">
        <v>22</v>
      </c>
      <c r="D85" s="12" t="s">
        <v>16</v>
      </c>
      <c r="E85" s="13" t="n">
        <f aca="false">B85/C85</f>
        <v>875.172727272727</v>
      </c>
      <c r="F85" s="14" t="n">
        <f aca="false">IF(D85="standalone",E85*Summary!$B$11,E85)</f>
        <v>875.172727272727</v>
      </c>
      <c r="G85" s="15" t="n">
        <f aca="false">B85/F85</f>
        <v>22</v>
      </c>
      <c r="H85" s="16" t="n">
        <f aca="false">F85/F73-1</f>
        <v>0.0447293428334348</v>
      </c>
    </row>
    <row r="86" customFormat="false" ht="15" hidden="false" customHeight="false" outlineLevel="0" collapsed="false">
      <c r="A86" s="9" t="n">
        <v>45198</v>
      </c>
      <c r="B86" s="10" t="n">
        <f aca="false">INDEX(Daily!$B:$B,MATCH(A86,Daily!$A:$A,0))</f>
        <v>19638.3</v>
      </c>
      <c r="C86" s="11" t="n">
        <v>22.2</v>
      </c>
      <c r="D86" s="12" t="s">
        <v>16</v>
      </c>
      <c r="E86" s="13" t="n">
        <f aca="false">B86/C86</f>
        <v>884.608108108108</v>
      </c>
      <c r="F86" s="14" t="n">
        <f aca="false">IF(D86="standalone",E86*Summary!$B$11,E86)</f>
        <v>884.608108108108</v>
      </c>
      <c r="G86" s="15" t="n">
        <f aca="false">B86/F86</f>
        <v>22.2</v>
      </c>
      <c r="H86" s="16" t="n">
        <f aca="false">F86/F74-1</f>
        <v>0.0660204703324214</v>
      </c>
    </row>
    <row r="87" customFormat="false" ht="15" hidden="false" customHeight="false" outlineLevel="0" collapsed="false">
      <c r="A87" s="9" t="n">
        <v>45230</v>
      </c>
      <c r="B87" s="10" t="n">
        <f aca="false">INDEX(Daily!$B:$B,MATCH(A87,Daily!$A:$A,0))</f>
        <v>19079.6</v>
      </c>
      <c r="C87" s="11" t="n">
        <v>20.4</v>
      </c>
      <c r="D87" s="12" t="s">
        <v>16</v>
      </c>
      <c r="E87" s="13" t="n">
        <f aca="false">B87/C87</f>
        <v>935.274509803922</v>
      </c>
      <c r="F87" s="14" t="n">
        <f aca="false">IF(D87="standalone",E87*Summary!$B$11,E87)</f>
        <v>935.274509803922</v>
      </c>
      <c r="G87" s="15" t="n">
        <f aca="false">B87/F87</f>
        <v>20.4</v>
      </c>
      <c r="H87" s="16" t="n">
        <f aca="false">F87/F75-1</f>
        <v>0.111184336716443</v>
      </c>
    </row>
    <row r="88" customFormat="false" ht="15" hidden="false" customHeight="false" outlineLevel="0" collapsed="false">
      <c r="A88" s="9" t="n">
        <v>45260</v>
      </c>
      <c r="B88" s="10" t="n">
        <f aca="false">INDEX(Daily!$B:$B,MATCH(A88,Daily!$A:$A,0))</f>
        <v>20133.15</v>
      </c>
      <c r="C88" s="11" t="n">
        <v>21.5</v>
      </c>
      <c r="D88" s="12" t="s">
        <v>16</v>
      </c>
      <c r="E88" s="13" t="n">
        <f aca="false">B88/C88</f>
        <v>936.425581395349</v>
      </c>
      <c r="F88" s="14" t="n">
        <f aca="false">IF(D88="standalone",E88*Summary!$B$11,E88)</f>
        <v>936.425581395349</v>
      </c>
      <c r="G88" s="15" t="n">
        <f aca="false">B88/F88</f>
        <v>21.5</v>
      </c>
      <c r="H88" s="16" t="n">
        <f aca="false">F88/F76-1</f>
        <v>0.123210494600823</v>
      </c>
    </row>
    <row r="89" customFormat="false" ht="15" hidden="false" customHeight="false" outlineLevel="0" collapsed="false">
      <c r="A89" s="9" t="n">
        <v>45289</v>
      </c>
      <c r="B89" s="10" t="n">
        <f aca="false">INDEX(Daily!$B:$B,MATCH(A89,Daily!$A:$A,0))</f>
        <v>21731.4</v>
      </c>
      <c r="C89" s="11" t="n">
        <v>23.17</v>
      </c>
      <c r="D89" s="12" t="s">
        <v>16</v>
      </c>
      <c r="E89" s="13" t="n">
        <f aca="false">B89/C89</f>
        <v>937.911091929219</v>
      </c>
      <c r="F89" s="14" t="n">
        <f aca="false">IF(D89="standalone",E89*Summary!$B$11,E89)</f>
        <v>937.911091929219</v>
      </c>
      <c r="G89" s="15" t="n">
        <f aca="false">B89/F89</f>
        <v>23.17</v>
      </c>
      <c r="H89" s="16" t="n">
        <f aca="false">F89/F77-1</f>
        <v>0.128790061094689</v>
      </c>
    </row>
    <row r="90" customFormat="false" ht="15" hidden="false" customHeight="false" outlineLevel="0" collapsed="false">
      <c r="A90" s="9" t="n">
        <v>45322</v>
      </c>
      <c r="B90" s="10" t="n">
        <f aca="false">INDEX(Daily!$B:$B,MATCH(A90,Daily!$A:$A,0))</f>
        <v>21725.7</v>
      </c>
      <c r="C90" s="11" t="n">
        <v>22.5</v>
      </c>
      <c r="D90" s="12" t="s">
        <v>16</v>
      </c>
      <c r="E90" s="13" t="n">
        <f aca="false">B90/C90</f>
        <v>965.586666666667</v>
      </c>
      <c r="F90" s="14" t="n">
        <f aca="false">IF(D90="standalone",E90*Summary!$B$11,E90)</f>
        <v>965.586666666667</v>
      </c>
      <c r="G90" s="15" t="n">
        <f aca="false">B90/F90</f>
        <v>22.5</v>
      </c>
      <c r="H90" s="16" t="n">
        <f aca="false">F90/F78-1</f>
        <v>0.13166539747426</v>
      </c>
    </row>
    <row r="91" customFormat="false" ht="15" hidden="false" customHeight="false" outlineLevel="0" collapsed="false">
      <c r="A91" s="9" t="n">
        <v>45351</v>
      </c>
      <c r="B91" s="10" t="n">
        <f aca="false">INDEX(Daily!$B:$B,MATCH(A91,Daily!$A:$A,0))</f>
        <v>21982.8</v>
      </c>
      <c r="C91" s="11" t="n">
        <v>22.7</v>
      </c>
      <c r="D91" s="12" t="s">
        <v>16</v>
      </c>
      <c r="E91" s="13" t="n">
        <f aca="false">B91/C91</f>
        <v>968.405286343612</v>
      </c>
      <c r="F91" s="14" t="n">
        <f aca="false">IF(D91="standalone",E91*Summary!$B$11,E91)</f>
        <v>968.405286343612</v>
      </c>
      <c r="G91" s="15" t="n">
        <f aca="false">B91/F91</f>
        <v>22.7</v>
      </c>
      <c r="H91" s="16" t="n">
        <f aca="false">F91/F79-1</f>
        <v>0.14167388610171</v>
      </c>
    </row>
    <row r="92" customFormat="false" ht="15" hidden="false" customHeight="false" outlineLevel="0" collapsed="false">
      <c r="A92" s="9" t="n">
        <v>45379</v>
      </c>
      <c r="B92" s="10" t="n">
        <f aca="false">INDEX(Daily!$B:$B,MATCH(A92,Daily!$A:$A,0))</f>
        <v>22326.9</v>
      </c>
      <c r="C92" s="11" t="n">
        <v>22.9</v>
      </c>
      <c r="D92" s="12" t="s">
        <v>16</v>
      </c>
      <c r="E92" s="13" t="n">
        <f aca="false">B92/C92</f>
        <v>974.973799126638</v>
      </c>
      <c r="F92" s="14" t="n">
        <f aca="false">IF(D92="standalone",E92*Summary!$B$11,E92)</f>
        <v>974.973799126638</v>
      </c>
      <c r="G92" s="15" t="n">
        <f aca="false">B92/F92</f>
        <v>22.9</v>
      </c>
      <c r="H92" s="16" t="n">
        <f aca="false">F92/F80-1</f>
        <v>0.145723037611913</v>
      </c>
    </row>
    <row r="93" customFormat="false" ht="15" hidden="false" customHeight="false" outlineLevel="0" collapsed="false">
      <c r="A93" s="9" t="n">
        <v>45412</v>
      </c>
      <c r="B93" s="10" t="n">
        <f aca="false">INDEX(Daily!$B:$B,MATCH(A93,Daily!$A:$A,0))</f>
        <v>22604.85</v>
      </c>
      <c r="C93" s="11" t="n">
        <v>22</v>
      </c>
      <c r="D93" s="12" t="s">
        <v>16</v>
      </c>
      <c r="E93" s="13" t="n">
        <f aca="false">B93/C93</f>
        <v>1027.49318181818</v>
      </c>
      <c r="F93" s="14" t="n">
        <f aca="false">IF(D93="standalone",E93*Summary!$B$11,E93)</f>
        <v>1027.49318181818</v>
      </c>
      <c r="G93" s="15" t="n">
        <f aca="false">B93/F93</f>
        <v>22</v>
      </c>
      <c r="H93" s="16" t="n">
        <f aca="false">F93/F81-1</f>
        <v>0.188741073899806</v>
      </c>
    </row>
    <row r="94" customFormat="false" ht="15" hidden="false" customHeight="false" outlineLevel="0" collapsed="false">
      <c r="A94" s="9" t="n">
        <v>45443</v>
      </c>
      <c r="B94" s="10" t="n">
        <f aca="false">INDEX(Daily!$B:$B,MATCH(A94,Daily!$A:$A,0))</f>
        <v>22530.7</v>
      </c>
      <c r="C94" s="11" t="n">
        <v>21.4</v>
      </c>
      <c r="D94" s="12" t="s">
        <v>16</v>
      </c>
      <c r="E94" s="13" t="n">
        <f aca="false">B94/C94</f>
        <v>1052.83644859813</v>
      </c>
      <c r="F94" s="14" t="n">
        <f aca="false">IF(D94="standalone",E94*Summary!$B$11,E94)</f>
        <v>1052.83644859813</v>
      </c>
      <c r="G94" s="15" t="n">
        <f aca="false">B94/F94</f>
        <v>21.4</v>
      </c>
      <c r="H94" s="16" t="n">
        <f aca="false">F94/F82-1</f>
        <v>0.226976178873858</v>
      </c>
    </row>
    <row r="95" customFormat="false" ht="15" hidden="false" customHeight="false" outlineLevel="0" collapsed="false">
      <c r="A95" s="9" t="n">
        <v>45471</v>
      </c>
      <c r="B95" s="10" t="n">
        <f aca="false">INDEX(Daily!$B:$B,MATCH(A95,Daily!$A:$A,0))</f>
        <v>24010.6</v>
      </c>
      <c r="C95" s="11" t="n">
        <v>22.9</v>
      </c>
      <c r="D95" s="12" t="s">
        <v>16</v>
      </c>
      <c r="E95" s="13" t="n">
        <f aca="false">B95/C95</f>
        <v>1048.49781659389</v>
      </c>
      <c r="F95" s="14" t="n">
        <f aca="false">IF(D95="standalone",E95*Summary!$B$11,E95)</f>
        <v>1048.49781659389</v>
      </c>
      <c r="G95" s="15" t="n">
        <f aca="false">B95/F95</f>
        <v>22.9</v>
      </c>
      <c r="H95" s="16" t="n">
        <f aca="false">F95/F83-1</f>
        <v>0.223945484101769</v>
      </c>
    </row>
    <row r="96" customFormat="false" ht="15" hidden="false" customHeight="false" outlineLevel="0" collapsed="false">
      <c r="A96" s="9" t="n">
        <v>45504</v>
      </c>
      <c r="B96" s="10" t="n">
        <f aca="false">INDEX(Daily!$B:$B,MATCH(A96,Daily!$A:$A,0))</f>
        <v>24951.15</v>
      </c>
      <c r="C96" s="11" t="n">
        <v>23.4</v>
      </c>
      <c r="D96" s="12" t="s">
        <v>16</v>
      </c>
      <c r="E96" s="13" t="n">
        <f aca="false">B96/C96</f>
        <v>1066.28846153846</v>
      </c>
      <c r="F96" s="14" t="n">
        <f aca="false">IF(D96="standalone",E96*Summary!$B$11,E96)</f>
        <v>1066.28846153846</v>
      </c>
      <c r="G96" s="15" t="n">
        <f aca="false">B96/F96</f>
        <v>23.4</v>
      </c>
      <c r="H96" s="16" t="n">
        <f aca="false">F96/F84-1</f>
        <v>0.241514777682502</v>
      </c>
    </row>
    <row r="97" customFormat="false" ht="15" hidden="false" customHeight="false" outlineLevel="0" collapsed="false">
      <c r="A97" s="9" t="n">
        <v>45534</v>
      </c>
      <c r="B97" s="10" t="n">
        <f aca="false">INDEX(Daily!$B:$B,MATCH(A97,Daily!$A:$A,0))</f>
        <v>25235.9</v>
      </c>
      <c r="C97" s="11" t="n">
        <v>23.5</v>
      </c>
      <c r="D97" s="12" t="s">
        <v>16</v>
      </c>
      <c r="E97" s="13" t="n">
        <f aca="false">B97/C97</f>
        <v>1073.86808510638</v>
      </c>
      <c r="F97" s="14" t="n">
        <f aca="false">IF(D97="standalone",E97*Summary!$B$11,E97)</f>
        <v>1073.86808510638</v>
      </c>
      <c r="G97" s="15" t="n">
        <f aca="false">B97/F97</f>
        <v>23.5</v>
      </c>
      <c r="H97" s="16" t="n">
        <f aca="false">F97/F85-1</f>
        <v>0.227035591537277</v>
      </c>
    </row>
    <row r="98" customFormat="false" ht="15" hidden="false" customHeight="false" outlineLevel="0" collapsed="false">
      <c r="A98" s="9" t="n">
        <v>45565</v>
      </c>
      <c r="B98" s="10" t="n">
        <f aca="false">INDEX(Daily!$B:$B,MATCH(A98,Daily!$A:$A,0))</f>
        <v>25810.85</v>
      </c>
      <c r="C98" s="11" t="n">
        <v>24.3</v>
      </c>
      <c r="D98" s="12" t="s">
        <v>16</v>
      </c>
      <c r="E98" s="13" t="n">
        <f aca="false">B98/C98</f>
        <v>1062.17489711934</v>
      </c>
      <c r="F98" s="14" t="n">
        <f aca="false">IF(D98="standalone",E98*Summary!$B$11,E98)</f>
        <v>1062.17489711934</v>
      </c>
      <c r="G98" s="15" t="n">
        <f aca="false">B98/F98</f>
        <v>24.3</v>
      </c>
      <c r="H98" s="16" t="n">
        <f aca="false">F98/F86-1</f>
        <v>0.200729325656976</v>
      </c>
    </row>
    <row r="99" customFormat="false" ht="15" hidden="false" customHeight="false" outlineLevel="0" collapsed="false">
      <c r="A99" s="9" t="n">
        <v>45596</v>
      </c>
      <c r="B99" s="10" t="n">
        <f aca="false">INDEX(Daily!$B:$B,MATCH(A99,Daily!$A:$A,0))</f>
        <v>24205.35</v>
      </c>
      <c r="C99" s="11" t="n">
        <v>22.6</v>
      </c>
      <c r="D99" s="12" t="s">
        <v>16</v>
      </c>
      <c r="E99" s="13" t="n">
        <f aca="false">B99/C99</f>
        <v>1071.03318584071</v>
      </c>
      <c r="F99" s="14" t="n">
        <f aca="false">IF(D99="standalone",E99*Summary!$B$11,E99)</f>
        <v>1071.03318584071</v>
      </c>
      <c r="G99" s="15" t="n">
        <f aca="false">B99/F99</f>
        <v>22.6</v>
      </c>
      <c r="H99" s="16" t="n">
        <f aca="false">F99/F87-1</f>
        <v>0.145153828756915</v>
      </c>
    </row>
    <row r="100" customFormat="false" ht="15" hidden="false" customHeight="false" outlineLevel="0" collapsed="false">
      <c r="A100" s="9" t="n">
        <v>45625</v>
      </c>
      <c r="B100" s="10" t="n">
        <f aca="false">INDEX(Daily!$B:$B,MATCH(A100,Daily!$A:$A,0))</f>
        <v>24131.1</v>
      </c>
      <c r="C100" s="11" t="n">
        <v>22.2</v>
      </c>
      <c r="D100" s="12" t="s">
        <v>16</v>
      </c>
      <c r="E100" s="13" t="n">
        <f aca="false">B100/C100</f>
        <v>1086.98648648649</v>
      </c>
      <c r="F100" s="14" t="n">
        <f aca="false">IF(D100="standalone",E100*Summary!$B$11,E100)</f>
        <v>1086.98648648649</v>
      </c>
      <c r="G100" s="15" t="n">
        <f aca="false">B100/F100</f>
        <v>22.2</v>
      </c>
      <c r="H100" s="16" t="n">
        <f aca="false">F100/F88-1</f>
        <v>0.160782563059405</v>
      </c>
    </row>
    <row r="101" customFormat="false" ht="15" hidden="false" customHeight="false" outlineLevel="0" collapsed="false">
      <c r="A101" s="9" t="n">
        <v>45657</v>
      </c>
      <c r="B101" s="10" t="n">
        <f aca="false">INDEX(Daily!$B:$B,MATCH(A101,Daily!$A:$A,0))</f>
        <v>23644.8</v>
      </c>
      <c r="C101" s="11" t="n">
        <v>21.79</v>
      </c>
      <c r="D101" s="12" t="s">
        <v>16</v>
      </c>
      <c r="E101" s="13" t="n">
        <f aca="false">B101/C101</f>
        <v>1085.12161541992</v>
      </c>
      <c r="F101" s="14" t="n">
        <f aca="false">IF(D101="standalone",E101*Summary!$B$11,E101)</f>
        <v>1085.12161541992</v>
      </c>
      <c r="G101" s="15" t="n">
        <f aca="false">B101/F101</f>
        <v>21.79</v>
      </c>
      <c r="H101" s="16" t="n">
        <f aca="false">F101/F89-1</f>
        <v>0.156955733605727</v>
      </c>
    </row>
    <row r="102" customFormat="false" ht="15" hidden="false" customHeight="false" outlineLevel="0" collapsed="false">
      <c r="A102" s="9" t="n">
        <v>45688</v>
      </c>
      <c r="B102" s="10" t="n">
        <f aca="false">INDEX(Daily!$B:$B,MATCH(A102,Daily!$A:$A,0))</f>
        <v>23508.4</v>
      </c>
      <c r="C102" s="11" t="n">
        <v>21.3</v>
      </c>
      <c r="D102" s="12" t="s">
        <v>16</v>
      </c>
      <c r="E102" s="13" t="n">
        <f aca="false">B102/C102</f>
        <v>1103.68075117371</v>
      </c>
      <c r="F102" s="14" t="n">
        <f aca="false">IF(D102="standalone",E102*Summary!$B$11,E102)</f>
        <v>1103.68075117371</v>
      </c>
      <c r="G102" s="15" t="n">
        <f aca="false">B102/F102</f>
        <v>21.3</v>
      </c>
      <c r="H102" s="16" t="n">
        <f aca="false">F102/F90-1</f>
        <v>0.14301573258438</v>
      </c>
    </row>
    <row r="103" customFormat="false" ht="15" hidden="false" customHeight="false" outlineLevel="0" collapsed="false">
      <c r="A103" s="9" t="n">
        <v>45716</v>
      </c>
      <c r="B103" s="10" t="n">
        <f aca="false">INDEX(Daily!$B:$B,MATCH(A103,Daily!$A:$A,0))</f>
        <v>22124.7</v>
      </c>
      <c r="C103" s="11" t="n">
        <v>19.7</v>
      </c>
      <c r="D103" s="12" t="s">
        <v>16</v>
      </c>
      <c r="E103" s="13" t="n">
        <f aca="false">B103/C103</f>
        <v>1123.08121827411</v>
      </c>
      <c r="F103" s="14" t="n">
        <f aca="false">IF(D103="standalone",E103*Summary!$B$11,E103)</f>
        <v>1123.08121827411</v>
      </c>
      <c r="G103" s="15" t="n">
        <f aca="false">B103/F103</f>
        <v>19.7</v>
      </c>
      <c r="H103" s="16" t="n">
        <f aca="false">F103/F91-1</f>
        <v>0.159722312663643</v>
      </c>
    </row>
    <row r="104" customFormat="false" ht="15" hidden="false" customHeight="false" outlineLevel="0" collapsed="false">
      <c r="A104" s="9" t="n">
        <v>45744</v>
      </c>
      <c r="B104" s="10" t="n">
        <f aca="false">INDEX(Daily!$B:$B,MATCH(A104,Daily!$A:$A,0))</f>
        <v>23519.35</v>
      </c>
      <c r="C104" s="11" t="n">
        <v>21.4</v>
      </c>
      <c r="D104" s="12" t="s">
        <v>16</v>
      </c>
      <c r="E104" s="13" t="n">
        <f aca="false">B104/C104</f>
        <v>1099.03504672897</v>
      </c>
      <c r="F104" s="14" t="n">
        <f aca="false">IF(D104="standalone",E104*Summary!$B$11,E104)</f>
        <v>1099.03504672897</v>
      </c>
      <c r="G104" s="15" t="n">
        <f aca="false">B104/F104</f>
        <v>21.4</v>
      </c>
      <c r="H104" s="16" t="n">
        <f aca="false">F104/F92-1</f>
        <v>0.127245724668156</v>
      </c>
    </row>
    <row r="105" customFormat="false" ht="15" hidden="false" customHeight="false" outlineLevel="0" collapsed="false">
      <c r="A105" s="9" t="n">
        <v>45777</v>
      </c>
      <c r="B105" s="10" t="n">
        <f aca="false">INDEX(Daily!$B:$B,MATCH(A105,Daily!$A:$A,0))</f>
        <v>24334.2</v>
      </c>
      <c r="C105" s="11" t="n">
        <v>21.9</v>
      </c>
      <c r="D105" s="12" t="s">
        <v>16</v>
      </c>
      <c r="E105" s="13" t="n">
        <f aca="false">B105/C105</f>
        <v>1111.15068493151</v>
      </c>
      <c r="F105" s="14" t="n">
        <f aca="false">IF(D105="standalone",E105*Summary!$B$11,E105)</f>
        <v>1111.15068493151</v>
      </c>
      <c r="G105" s="15" t="n">
        <f aca="false">B105/F105</f>
        <v>21.9</v>
      </c>
      <c r="H105" s="16" t="n">
        <f aca="false">F105/F93-1</f>
        <v>0.0814190347864796</v>
      </c>
    </row>
    <row r="106" customFormat="false" ht="15" hidden="false" customHeight="false" outlineLevel="0" collapsed="false">
      <c r="A106" s="9" t="n">
        <v>45807</v>
      </c>
      <c r="B106" s="10" t="n">
        <f aca="false">INDEX(Daily!$B:$B,MATCH(A106,Daily!$A:$A,0))</f>
        <v>24750.7</v>
      </c>
      <c r="C106" s="11" t="n">
        <v>22.3</v>
      </c>
      <c r="D106" s="12" t="s">
        <v>16</v>
      </c>
      <c r="E106" s="13" t="n">
        <f aca="false">B106/C106</f>
        <v>1109.89686098655</v>
      </c>
      <c r="F106" s="14" t="n">
        <f aca="false">IF(D106="standalone",E106*Summary!$B$11,E106)</f>
        <v>1109.89686098655</v>
      </c>
      <c r="G106" s="15" t="n">
        <f aca="false">B106/F106</f>
        <v>22.3</v>
      </c>
      <c r="H106" s="16" t="n">
        <f aca="false">F106/F94-1</f>
        <v>0.0541968436449869</v>
      </c>
    </row>
    <row r="107" customFormat="false" ht="15" hidden="false" customHeight="false" outlineLevel="0" collapsed="false">
      <c r="A107" s="9" t="n">
        <v>45838</v>
      </c>
      <c r="B107" s="10" t="n">
        <f aca="false">INDEX(Daily!$B:$B,MATCH(A107,Daily!$A:$A,0))</f>
        <v>25517.05</v>
      </c>
      <c r="C107" s="11" t="n">
        <v>23</v>
      </c>
      <c r="D107" s="12" t="s">
        <v>16</v>
      </c>
      <c r="E107" s="13" t="n">
        <f aca="false">B107/C107</f>
        <v>1109.43695652174</v>
      </c>
      <c r="F107" s="14" t="n">
        <f aca="false">IF(D107="standalone",E107*Summary!$B$11,E107)</f>
        <v>1109.43695652174</v>
      </c>
      <c r="G107" s="15" t="n">
        <f aca="false">B107/F107</f>
        <v>23</v>
      </c>
      <c r="H107" s="16" t="n">
        <f aca="false">F107/F95-1</f>
        <v>0.0581204261596056</v>
      </c>
    </row>
    <row r="108" customFormat="false" ht="15" hidden="false" customHeight="false" outlineLevel="0" collapsed="false">
      <c r="A108" s="9" t="n">
        <v>45869</v>
      </c>
      <c r="B108" s="10" t="n">
        <f aca="false">INDEX(Daily!$B:$B,MATCH(A108,Daily!$A:$A,0))</f>
        <v>24768.35</v>
      </c>
      <c r="C108" s="11" t="n">
        <v>21.9</v>
      </c>
      <c r="D108" s="12" t="s">
        <v>16</v>
      </c>
      <c r="E108" s="13" t="n">
        <f aca="false">B108/C108</f>
        <v>1130.97488584475</v>
      </c>
      <c r="F108" s="14" t="n">
        <f aca="false">IF(D108="standalone",E108*Summary!$B$11,E108)</f>
        <v>1130.97488584475</v>
      </c>
      <c r="G108" s="15" t="n">
        <f aca="false">B108/F108</f>
        <v>21.9</v>
      </c>
      <c r="H108" s="16" t="n">
        <f aca="false">F108/F96-1</f>
        <v>0.0606650326244329</v>
      </c>
    </row>
    <row r="109" customFormat="false" ht="15" hidden="false" customHeight="false" outlineLevel="0" collapsed="false">
      <c r="A109" s="9" t="n">
        <v>45898</v>
      </c>
      <c r="B109" s="10" t="n">
        <f aca="false">INDEX(Daily!$B:$B,MATCH(A109,Daily!$A:$A,0))</f>
        <v>24426.85</v>
      </c>
      <c r="C109" s="11" t="n">
        <v>21.5</v>
      </c>
      <c r="D109" s="12" t="s">
        <v>16</v>
      </c>
      <c r="E109" s="13" t="n">
        <f aca="false">B109/C109</f>
        <v>1136.13255813954</v>
      </c>
      <c r="F109" s="14" t="n">
        <f aca="false">IF(D109="standalone",E109*Summary!$B$11,E109)</f>
        <v>1136.13255813954</v>
      </c>
      <c r="G109" s="15" t="n">
        <f aca="false">B109/F109</f>
        <v>21.5</v>
      </c>
      <c r="H109" s="16" t="n">
        <f aca="false">F109/F97-1</f>
        <v>0.0579814912992629</v>
      </c>
    </row>
    <row r="110" customFormat="false" ht="15" hidden="false" customHeight="false" outlineLevel="0" collapsed="false">
      <c r="A110" s="9" t="n">
        <v>45930</v>
      </c>
      <c r="B110" s="10" t="n">
        <f aca="false">INDEX(Daily!$B:$B,MATCH(A110,Daily!$A:$A,0))</f>
        <v>24611.1</v>
      </c>
      <c r="C110" s="11" t="n">
        <v>21.8</v>
      </c>
      <c r="D110" s="12" t="s">
        <v>16</v>
      </c>
      <c r="E110" s="13" t="n">
        <f aca="false">B110/C110</f>
        <v>1128.9495412844</v>
      </c>
      <c r="F110" s="14" t="n">
        <f aca="false">IF(D110="standalone",E110*Summary!$B$11,E110)</f>
        <v>1128.9495412844</v>
      </c>
      <c r="G110" s="15" t="n">
        <f aca="false">B110/F110</f>
        <v>21.8</v>
      </c>
      <c r="H110" s="16" t="n">
        <f aca="false">F110/F98-1</f>
        <v>0.0628659595949381</v>
      </c>
    </row>
    <row r="111" customFormat="false" ht="15" hidden="false" customHeight="false" outlineLevel="0" collapsed="false">
      <c r="A111" s="9" t="n">
        <v>45961</v>
      </c>
      <c r="B111" s="10" t="n">
        <f aca="false">INDEX(Daily!$B:$B,MATCH(A111,Daily!$A:$A,0))</f>
        <v>25722.1</v>
      </c>
      <c r="C111" s="11" t="n">
        <v>22.6</v>
      </c>
      <c r="D111" s="12" t="s">
        <v>16</v>
      </c>
      <c r="E111" s="13" t="n">
        <f aca="false">B111/C111</f>
        <v>1138.14601769912</v>
      </c>
      <c r="F111" s="14" t="n">
        <f aca="false">IF(D111="standalone",E111*Summary!$B$11,E111)</f>
        <v>1138.14601769912</v>
      </c>
      <c r="G111" s="15" t="n">
        <f aca="false">B111/F111</f>
        <v>22.6</v>
      </c>
      <c r="H111" s="16" t="n">
        <f aca="false">F111/F99-1</f>
        <v>0.0626617669234282</v>
      </c>
    </row>
    <row r="112" customFormat="false" ht="15" hidden="false" customHeight="false" outlineLevel="0" collapsed="false">
      <c r="A112" s="9" t="n">
        <v>45989</v>
      </c>
      <c r="B112" s="10" t="n">
        <f aca="false">INDEX(Daily!$B:$B,MATCH(A112,Daily!$A:$A,0))</f>
        <v>26202.95</v>
      </c>
      <c r="C112" s="11" t="n">
        <v>22.8</v>
      </c>
      <c r="D112" s="12" t="s">
        <v>16</v>
      </c>
      <c r="E112" s="13" t="n">
        <f aca="false">B112/C112</f>
        <v>1149.25219298246</v>
      </c>
      <c r="F112" s="14" t="n">
        <f aca="false">IF(D112="standalone",E112*Summary!$B$11,E112)</f>
        <v>1149.25219298246</v>
      </c>
      <c r="G112" s="15" t="n">
        <f aca="false">B112/F112</f>
        <v>22.8</v>
      </c>
      <c r="H112" s="16" t="n">
        <f aca="false">F112/F100-1</f>
        <v>0.05728287082688</v>
      </c>
    </row>
    <row r="113" customFormat="false" ht="15" hidden="false" customHeight="false" outlineLevel="0" collapsed="false">
      <c r="A113" s="9" t="n">
        <v>46022</v>
      </c>
      <c r="B113" s="10" t="n">
        <f aca="false">INDEX(Daily!$B:$B,MATCH(A113,Daily!$A:$A,0))</f>
        <v>26129.6</v>
      </c>
      <c r="C113" s="11" t="n">
        <v>22.75</v>
      </c>
      <c r="D113" s="12" t="s">
        <v>16</v>
      </c>
      <c r="E113" s="13" t="n">
        <f aca="false">B113/C113</f>
        <v>1148.55384615385</v>
      </c>
      <c r="F113" s="14" t="n">
        <f aca="false">IF(D113="standalone",E113*Summary!$B$11,E113)</f>
        <v>1148.55384615385</v>
      </c>
      <c r="G113" s="15" t="n">
        <f aca="false">B113/F113</f>
        <v>22.75</v>
      </c>
      <c r="H113" s="16" t="n">
        <f aca="false">F113/F101-1</f>
        <v>0.0584563332188179</v>
      </c>
    </row>
    <row r="114" customFormat="false" ht="15" hidden="false" customHeight="false" outlineLevel="0" collapsed="false">
      <c r="A114" s="9" t="n">
        <v>46052</v>
      </c>
      <c r="B114" s="10" t="n">
        <f aca="false">INDEX(Daily!$B:$B,MATCH(A114,Daily!$A:$A,0))</f>
        <v>25320.65</v>
      </c>
      <c r="C114" s="11" t="n">
        <v>22</v>
      </c>
      <c r="D114" s="12" t="s">
        <v>16</v>
      </c>
      <c r="E114" s="13" t="n">
        <f aca="false">B114/C114</f>
        <v>1150.93863636364</v>
      </c>
      <c r="F114" s="14" t="n">
        <f aca="false">IF(D114="standalone",E114*Summary!$B$11,E114)</f>
        <v>1150.93863636364</v>
      </c>
      <c r="G114" s="15" t="n">
        <f aca="false">B114/F114</f>
        <v>22</v>
      </c>
      <c r="H114" s="16" t="n">
        <f aca="false">F114/F102-1</f>
        <v>0.0428184374328093</v>
      </c>
    </row>
    <row r="115" customFormat="false" ht="15" hidden="false" customHeight="false" outlineLevel="0" collapsed="false">
      <c r="A115" s="9" t="n">
        <v>46080</v>
      </c>
      <c r="B115" s="10" t="n">
        <f aca="false">INDEX(Daily!$B:$B,MATCH(A115,Daily!$A:$A,0))</f>
        <v>25178.65</v>
      </c>
      <c r="C115" s="11" t="n">
        <v>22</v>
      </c>
      <c r="D115" s="12" t="s">
        <v>16</v>
      </c>
      <c r="E115" s="13" t="n">
        <f aca="false">B115/C115</f>
        <v>1144.48409090909</v>
      </c>
      <c r="F115" s="14" t="n">
        <f aca="false">IF(D115="standalone",E115*Summary!$B$11,E115)</f>
        <v>1144.48409090909</v>
      </c>
      <c r="G115" s="15" t="n">
        <f aca="false">B115/F115</f>
        <v>22</v>
      </c>
      <c r="H115" s="16" t="n">
        <f aca="false">F115/F103-1</f>
        <v>0.0190572794618273</v>
      </c>
    </row>
    <row r="116" customFormat="false" ht="15" hidden="false" customHeight="false" outlineLevel="0" collapsed="false">
      <c r="A116" s="9" t="n">
        <v>46111</v>
      </c>
      <c r="B116" s="10" t="n">
        <f aca="false">INDEX(Daily!$B:$B,MATCH(A116,Daily!$A:$A,0))</f>
        <v>22331.4</v>
      </c>
      <c r="C116" s="11" t="n">
        <v>19.6</v>
      </c>
      <c r="D116" s="12" t="s">
        <v>16</v>
      </c>
      <c r="E116" s="13" t="n">
        <f aca="false">B116/C116</f>
        <v>1139.35714285714</v>
      </c>
      <c r="F116" s="14" t="n">
        <f aca="false">IF(D116="standalone",E116*Summary!$B$11,E116)</f>
        <v>1139.35714285714</v>
      </c>
      <c r="G116" s="15" t="n">
        <f aca="false">B116/F116</f>
        <v>19.6</v>
      </c>
      <c r="H116" s="16" t="n">
        <f aca="false">F116/F104-1</f>
        <v>0.036688635406287</v>
      </c>
    </row>
    <row r="117" customFormat="false" ht="15" hidden="false" customHeight="false" outlineLevel="0" collapsed="false">
      <c r="A117" s="9" t="n">
        <v>46142</v>
      </c>
      <c r="B117" s="10" t="n">
        <f aca="false">INDEX(Daily!$B:$B,MATCH(A117,Daily!$A:$A,0))</f>
        <v>23997.55</v>
      </c>
      <c r="C117" s="11" t="n">
        <v>20.9</v>
      </c>
      <c r="D117" s="12" t="s">
        <v>16</v>
      </c>
      <c r="E117" s="13" t="n">
        <f aca="false">B117/C117</f>
        <v>1148.20813397129</v>
      </c>
      <c r="F117" s="14" t="n">
        <f aca="false">IF(D117="standalone",E117*Summary!$B$11,E117)</f>
        <v>1148.20813397129</v>
      </c>
      <c r="G117" s="15" t="n">
        <f aca="false">B117/F117</f>
        <v>20.9</v>
      </c>
      <c r="H117" s="16" t="n">
        <f aca="false">F117/F105-1</f>
        <v>0.0333505163091983</v>
      </c>
    </row>
    <row r="118" customFormat="false" ht="15" hidden="false" customHeight="false" outlineLevel="0" collapsed="false">
      <c r="A118" s="9" t="n">
        <v>46171</v>
      </c>
      <c r="B118" s="10" t="n">
        <f aca="false">INDEX(Daily!$B:$B,MATCH(A118,Daily!$A:$A,0))</f>
        <v>23547.75</v>
      </c>
      <c r="C118" s="11" t="n">
        <v>20.3</v>
      </c>
      <c r="D118" s="12" t="s">
        <v>16</v>
      </c>
      <c r="E118" s="13" t="n">
        <f aca="false">B118/C118</f>
        <v>1159.98768472906</v>
      </c>
      <c r="F118" s="14" t="n">
        <f aca="false">IF(D118="standalone",E118*Summary!$B$11,E118)</f>
        <v>1159.98768472906</v>
      </c>
      <c r="G118" s="15" t="n">
        <f aca="false">B118/F118</f>
        <v>20.3</v>
      </c>
      <c r="H118" s="16" t="n">
        <f aca="false">F118/F106-1</f>
        <v>0.0451310617258554</v>
      </c>
    </row>
    <row r="119" customFormat="false" ht="15" hidden="false" customHeight="false" outlineLevel="0" collapsed="false">
      <c r="A119" s="9" t="n">
        <v>46203</v>
      </c>
      <c r="B119" s="10" t="n">
        <f aca="false">INDEX(Daily!$B:$B,MATCH(A119,Daily!$A:$A,0))</f>
        <v>23865.75</v>
      </c>
      <c r="C119" s="11" t="n">
        <v>20.6</v>
      </c>
      <c r="D119" s="12" t="s">
        <v>16</v>
      </c>
      <c r="E119" s="13" t="n">
        <f aca="false">B119/C119</f>
        <v>1158.53155339806</v>
      </c>
      <c r="F119" s="14" t="n">
        <f aca="false">IF(D119="standalone",E119*Summary!$B$11,E119)</f>
        <v>1158.53155339806</v>
      </c>
      <c r="G119" s="15" t="n">
        <f aca="false">B119/F119</f>
        <v>20.6</v>
      </c>
      <c r="H119" s="16" t="n">
        <f aca="false">F119/F107-1</f>
        <v>0.0442518131271183</v>
      </c>
    </row>
    <row r="120" customFormat="false" ht="15" hidden="false" customHeight="false" outlineLevel="0" collapsed="false">
      <c r="A120" s="9" t="n">
        <v>46234</v>
      </c>
      <c r="B120" s="10" t="n">
        <f aca="false">INDEX(Daily!$B:$B,MATCH(A120,Daily!$A:$A,0))</f>
        <v>24383.6</v>
      </c>
      <c r="C120" s="11" t="n">
        <v>20.7</v>
      </c>
      <c r="D120" s="12" t="s">
        <v>16</v>
      </c>
      <c r="E120" s="13" t="n">
        <f aca="false">B120/C120</f>
        <v>1177.95169082126</v>
      </c>
      <c r="F120" s="14" t="n">
        <f aca="false">IF(D120="standalone",E120*Summary!$B$11,E120)</f>
        <v>1177.95169082126</v>
      </c>
      <c r="G120" s="15" t="n">
        <f aca="false">B120/F120</f>
        <v>20.7</v>
      </c>
      <c r="H120" s="16" t="n">
        <f aca="false">F120/F108-1</f>
        <v>0.0415365589143204</v>
      </c>
    </row>
    <row r="121" customFormat="false" ht="15" hidden="false" customHeight="false" outlineLevel="0" collapsed="false">
      <c r="A121" s="9" t="n">
        <v>46265</v>
      </c>
      <c r="B121" s="10" t="n">
        <f aca="false">INDEX(Daily!$B:$B,MATCH(A121,Daily!$A:$A,0))</f>
        <v>24080.4</v>
      </c>
      <c r="C121" s="11" t="n">
        <v>20.4</v>
      </c>
      <c r="D121" s="12" t="s">
        <v>16</v>
      </c>
      <c r="E121" s="13" t="n">
        <f aca="false">B121/C121</f>
        <v>1180.41176470588</v>
      </c>
      <c r="F121" s="14" t="n">
        <f aca="false">IF(D121="standalone",E121*Summary!$B$11,E121)</f>
        <v>1180.41176470588</v>
      </c>
      <c r="G121" s="15" t="n">
        <f aca="false">B121/F121</f>
        <v>20.4</v>
      </c>
      <c r="H121" s="16" t="n">
        <f aca="false">F121/F109-1</f>
        <v>0.0389736270201222</v>
      </c>
    </row>
    <row r="122" customFormat="false" ht="15" hidden="false" customHeight="false" outlineLevel="0" collapsed="false">
      <c r="A122" s="9" t="n">
        <v>46293</v>
      </c>
      <c r="B122" s="10" t="n">
        <f aca="false">INDEX(Daily!$B:$B,MATCH(A122,Daily!$A:$A,0))</f>
        <v>22780.25</v>
      </c>
      <c r="C122" s="11" t="n">
        <v>19.26</v>
      </c>
      <c r="D122" s="12" t="s">
        <v>16</v>
      </c>
      <c r="E122" s="13" t="n">
        <f aca="false">B122/C122</f>
        <v>1182.77518172378</v>
      </c>
      <c r="F122" s="14" t="n">
        <f aca="false">IF(D122="standalone",E122*Summary!$B$11,E122)</f>
        <v>1182.77518172378</v>
      </c>
      <c r="G122" s="15" t="n">
        <f aca="false">B122/F122</f>
        <v>19.26</v>
      </c>
      <c r="H122" s="16" t="n">
        <f aca="false">F122/F110-1</f>
        <v>0.0476776317018908</v>
      </c>
      <c r="I122" s="18"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60"/>
  </cols>
  <sheetData>
    <row r="1" customFormat="false" ht="30" hidden="false" customHeight="true" outlineLevel="0" collapsed="false">
      <c r="A1" s="8" t="s">
        <v>19</v>
      </c>
      <c r="B1" s="8" t="s">
        <v>7</v>
      </c>
      <c r="C1" s="8" t="s">
        <v>14</v>
      </c>
    </row>
    <row r="2" customFormat="false" ht="15" hidden="false" customHeight="false" outlineLevel="0" collapsed="false">
      <c r="A2" s="19" t="n">
        <v>42614</v>
      </c>
      <c r="B2" s="20" t="n">
        <v>8774.65</v>
      </c>
    </row>
    <row r="3" customFormat="false" ht="15" hidden="false" customHeight="false" outlineLevel="0" collapsed="false">
      <c r="A3" s="19" t="n">
        <v>42615</v>
      </c>
      <c r="B3" s="20" t="n">
        <v>8809.65</v>
      </c>
    </row>
    <row r="4" customFormat="false" ht="15" hidden="false" customHeight="false" outlineLevel="0" collapsed="false">
      <c r="A4" s="19" t="n">
        <v>42619</v>
      </c>
      <c r="B4" s="20" t="n">
        <v>8943</v>
      </c>
    </row>
    <row r="5" customFormat="false" ht="15" hidden="false" customHeight="false" outlineLevel="0" collapsed="false">
      <c r="A5" s="19" t="n">
        <v>42620</v>
      </c>
      <c r="B5" s="20" t="n">
        <v>8917.95</v>
      </c>
    </row>
    <row r="6" customFormat="false" ht="15" hidden="false" customHeight="false" outlineLevel="0" collapsed="false">
      <c r="A6" s="19" t="n">
        <v>42621</v>
      </c>
      <c r="B6" s="20" t="n">
        <v>8952.5</v>
      </c>
    </row>
    <row r="7" customFormat="false" ht="15" hidden="false" customHeight="false" outlineLevel="0" collapsed="false">
      <c r="A7" s="19" t="n">
        <v>42622</v>
      </c>
      <c r="B7" s="20" t="n">
        <v>8866.7</v>
      </c>
    </row>
    <row r="8" customFormat="false" ht="15" hidden="false" customHeight="false" outlineLevel="0" collapsed="false">
      <c r="A8" s="19" t="n">
        <v>42625</v>
      </c>
      <c r="B8" s="20" t="n">
        <v>8715.6</v>
      </c>
    </row>
    <row r="9" customFormat="false" ht="15" hidden="false" customHeight="false" outlineLevel="0" collapsed="false">
      <c r="A9" s="19" t="n">
        <v>42627</v>
      </c>
      <c r="B9" s="20" t="n">
        <v>8726.6</v>
      </c>
    </row>
    <row r="10" customFormat="false" ht="15" hidden="false" customHeight="false" outlineLevel="0" collapsed="false">
      <c r="A10" s="19" t="n">
        <v>42628</v>
      </c>
      <c r="B10" s="20" t="n">
        <v>8742.55</v>
      </c>
    </row>
    <row r="11" customFormat="false" ht="15" hidden="false" customHeight="false" outlineLevel="0" collapsed="false">
      <c r="A11" s="19" t="n">
        <v>42629</v>
      </c>
      <c r="B11" s="20" t="n">
        <v>8779.85</v>
      </c>
    </row>
    <row r="12" customFormat="false" ht="15" hidden="false" customHeight="false" outlineLevel="0" collapsed="false">
      <c r="A12" s="19" t="n">
        <v>42632</v>
      </c>
      <c r="B12" s="20" t="n">
        <v>8808.4</v>
      </c>
    </row>
    <row r="13" customFormat="false" ht="15" hidden="false" customHeight="false" outlineLevel="0" collapsed="false">
      <c r="A13" s="19" t="n">
        <v>42633</v>
      </c>
      <c r="B13" s="20" t="n">
        <v>8775.9</v>
      </c>
    </row>
    <row r="14" customFormat="false" ht="15" hidden="false" customHeight="false" outlineLevel="0" collapsed="false">
      <c r="A14" s="19" t="n">
        <v>42634</v>
      </c>
      <c r="B14" s="20" t="n">
        <v>8777.15</v>
      </c>
    </row>
    <row r="15" customFormat="false" ht="15" hidden="false" customHeight="false" outlineLevel="0" collapsed="false">
      <c r="A15" s="19" t="n">
        <v>42635</v>
      </c>
      <c r="B15" s="20" t="n">
        <v>8867.45</v>
      </c>
    </row>
    <row r="16" customFormat="false" ht="15" hidden="false" customHeight="false" outlineLevel="0" collapsed="false">
      <c r="A16" s="19" t="n">
        <v>42636</v>
      </c>
      <c r="B16" s="20" t="n">
        <v>8831.55</v>
      </c>
    </row>
    <row r="17" customFormat="false" ht="15" hidden="false" customHeight="false" outlineLevel="0" collapsed="false">
      <c r="A17" s="19" t="n">
        <v>42639</v>
      </c>
      <c r="B17" s="20" t="n">
        <v>8723.05</v>
      </c>
    </row>
    <row r="18" customFormat="false" ht="15" hidden="false" customHeight="false" outlineLevel="0" collapsed="false">
      <c r="A18" s="19" t="n">
        <v>42640</v>
      </c>
      <c r="B18" s="20" t="n">
        <v>8706.4</v>
      </c>
    </row>
    <row r="19" customFormat="false" ht="15" hidden="false" customHeight="false" outlineLevel="0" collapsed="false">
      <c r="A19" s="19" t="n">
        <v>42641</v>
      </c>
      <c r="B19" s="20" t="n">
        <v>8745.15</v>
      </c>
    </row>
    <row r="20" customFormat="false" ht="15" hidden="false" customHeight="false" outlineLevel="0" collapsed="false">
      <c r="A20" s="19" t="n">
        <v>42642</v>
      </c>
      <c r="B20" s="20" t="n">
        <v>8591.25</v>
      </c>
    </row>
    <row r="21" customFormat="false" ht="15" hidden="false" customHeight="false" outlineLevel="0" collapsed="false">
      <c r="A21" s="19" t="n">
        <v>42643</v>
      </c>
      <c r="B21" s="20" t="n">
        <v>8611.15</v>
      </c>
    </row>
    <row r="22" customFormat="false" ht="15" hidden="false" customHeight="false" outlineLevel="0" collapsed="false">
      <c r="A22" s="19" t="n">
        <v>42646</v>
      </c>
      <c r="B22" s="20" t="n">
        <v>8738.1</v>
      </c>
    </row>
    <row r="23" customFormat="false" ht="15" hidden="false" customHeight="false" outlineLevel="0" collapsed="false">
      <c r="A23" s="19" t="n">
        <v>42647</v>
      </c>
      <c r="B23" s="20" t="n">
        <v>8769.15</v>
      </c>
    </row>
    <row r="24" customFormat="false" ht="15" hidden="false" customHeight="false" outlineLevel="0" collapsed="false">
      <c r="A24" s="19" t="n">
        <v>42648</v>
      </c>
      <c r="B24" s="20" t="n">
        <v>8743.95</v>
      </c>
    </row>
    <row r="25" customFormat="false" ht="15" hidden="false" customHeight="false" outlineLevel="0" collapsed="false">
      <c r="A25" s="19" t="n">
        <v>42649</v>
      </c>
      <c r="B25" s="20" t="n">
        <v>8709.55</v>
      </c>
    </row>
    <row r="26" customFormat="false" ht="15" hidden="false" customHeight="false" outlineLevel="0" collapsed="false">
      <c r="A26" s="19" t="n">
        <v>42650</v>
      </c>
      <c r="B26" s="20" t="n">
        <v>8697.6</v>
      </c>
    </row>
    <row r="27" customFormat="false" ht="15" hidden="false" customHeight="false" outlineLevel="0" collapsed="false">
      <c r="A27" s="19" t="n">
        <v>42653</v>
      </c>
      <c r="B27" s="20" t="n">
        <v>8708.8</v>
      </c>
    </row>
    <row r="28" customFormat="false" ht="15" hidden="false" customHeight="false" outlineLevel="0" collapsed="false">
      <c r="A28" s="19" t="n">
        <v>42656</v>
      </c>
      <c r="B28" s="20" t="n">
        <v>8573.35</v>
      </c>
    </row>
    <row r="29" customFormat="false" ht="15" hidden="false" customHeight="false" outlineLevel="0" collapsed="false">
      <c r="A29" s="19" t="n">
        <v>42657</v>
      </c>
      <c r="B29" s="20" t="n">
        <v>8583.4</v>
      </c>
    </row>
    <row r="30" customFormat="false" ht="15" hidden="false" customHeight="false" outlineLevel="0" collapsed="false">
      <c r="A30" s="19" t="n">
        <v>42660</v>
      </c>
      <c r="B30" s="20" t="n">
        <v>8520.4</v>
      </c>
    </row>
    <row r="31" customFormat="false" ht="15" hidden="false" customHeight="false" outlineLevel="0" collapsed="false">
      <c r="A31" s="19" t="n">
        <v>42661</v>
      </c>
      <c r="B31" s="20" t="n">
        <v>8677.9</v>
      </c>
    </row>
    <row r="32" customFormat="false" ht="15" hidden="false" customHeight="false" outlineLevel="0" collapsed="false">
      <c r="A32" s="19" t="n">
        <v>42662</v>
      </c>
      <c r="B32" s="20" t="n">
        <v>8659.1</v>
      </c>
    </row>
    <row r="33" customFormat="false" ht="15" hidden="false" customHeight="false" outlineLevel="0" collapsed="false">
      <c r="A33" s="19" t="n">
        <v>42663</v>
      </c>
      <c r="B33" s="20" t="n">
        <v>8699.4</v>
      </c>
    </row>
    <row r="34" customFormat="false" ht="15" hidden="false" customHeight="false" outlineLevel="0" collapsed="false">
      <c r="A34" s="19" t="n">
        <v>42664</v>
      </c>
      <c r="B34" s="20" t="n">
        <v>8693.05</v>
      </c>
    </row>
    <row r="35" customFormat="false" ht="15" hidden="false" customHeight="false" outlineLevel="0" collapsed="false">
      <c r="A35" s="19" t="n">
        <v>42667</v>
      </c>
      <c r="B35" s="20" t="n">
        <v>8708.95</v>
      </c>
    </row>
    <row r="36" customFormat="false" ht="15" hidden="false" customHeight="false" outlineLevel="0" collapsed="false">
      <c r="A36" s="19" t="n">
        <v>42668</v>
      </c>
      <c r="B36" s="20" t="n">
        <v>8691.3</v>
      </c>
    </row>
    <row r="37" customFormat="false" ht="15" hidden="false" customHeight="false" outlineLevel="0" collapsed="false">
      <c r="A37" s="19" t="n">
        <v>42669</v>
      </c>
      <c r="B37" s="20" t="n">
        <v>8615.25</v>
      </c>
    </row>
    <row r="38" customFormat="false" ht="15" hidden="false" customHeight="false" outlineLevel="0" collapsed="false">
      <c r="A38" s="19" t="n">
        <v>42670</v>
      </c>
      <c r="B38" s="20" t="n">
        <v>8615.25</v>
      </c>
    </row>
    <row r="39" customFormat="false" ht="15" hidden="false" customHeight="false" outlineLevel="0" collapsed="false">
      <c r="A39" s="19" t="n">
        <v>42671</v>
      </c>
      <c r="B39" s="20" t="n">
        <v>8638</v>
      </c>
    </row>
    <row r="40" customFormat="false" ht="15" hidden="false" customHeight="false" outlineLevel="0" collapsed="false">
      <c r="A40" s="19" t="n">
        <v>42675</v>
      </c>
      <c r="B40" s="20" t="n">
        <v>8626.25</v>
      </c>
    </row>
    <row r="41" customFormat="false" ht="15" hidden="false" customHeight="false" outlineLevel="0" collapsed="false">
      <c r="A41" s="19" t="n">
        <v>42676</v>
      </c>
      <c r="B41" s="20" t="n">
        <v>8514</v>
      </c>
    </row>
    <row r="42" customFormat="false" ht="15" hidden="false" customHeight="false" outlineLevel="0" collapsed="false">
      <c r="A42" s="19" t="n">
        <v>42677</v>
      </c>
      <c r="B42" s="20" t="n">
        <v>8484.95</v>
      </c>
    </row>
    <row r="43" customFormat="false" ht="15" hidden="false" customHeight="false" outlineLevel="0" collapsed="false">
      <c r="A43" s="19" t="n">
        <v>42678</v>
      </c>
      <c r="B43" s="20" t="n">
        <v>8433.75</v>
      </c>
    </row>
    <row r="44" customFormat="false" ht="15" hidden="false" customHeight="false" outlineLevel="0" collapsed="false">
      <c r="A44" s="19" t="n">
        <v>42681</v>
      </c>
      <c r="B44" s="20" t="n">
        <v>8497.05</v>
      </c>
    </row>
    <row r="45" customFormat="false" ht="15" hidden="false" customHeight="false" outlineLevel="0" collapsed="false">
      <c r="A45" s="19" t="n">
        <v>42682</v>
      </c>
      <c r="B45" s="20" t="n">
        <v>8543.55</v>
      </c>
    </row>
    <row r="46" customFormat="false" ht="15" hidden="false" customHeight="false" outlineLevel="0" collapsed="false">
      <c r="A46" s="19" t="n">
        <v>42683</v>
      </c>
      <c r="B46" s="20" t="n">
        <v>8432</v>
      </c>
    </row>
    <row r="47" customFormat="false" ht="15" hidden="false" customHeight="false" outlineLevel="0" collapsed="false">
      <c r="A47" s="19" t="n">
        <v>42684</v>
      </c>
      <c r="B47" s="20" t="n">
        <v>8525.75</v>
      </c>
    </row>
    <row r="48" customFormat="false" ht="15" hidden="false" customHeight="false" outlineLevel="0" collapsed="false">
      <c r="A48" s="19" t="n">
        <v>42685</v>
      </c>
      <c r="B48" s="20" t="n">
        <v>8296.3</v>
      </c>
    </row>
    <row r="49" customFormat="false" ht="15" hidden="false" customHeight="false" outlineLevel="0" collapsed="false">
      <c r="A49" s="19" t="n">
        <v>42689</v>
      </c>
      <c r="B49" s="20" t="n">
        <v>8108.45</v>
      </c>
    </row>
    <row r="50" customFormat="false" ht="15" hidden="false" customHeight="false" outlineLevel="0" collapsed="false">
      <c r="A50" s="19" t="n">
        <v>42690</v>
      </c>
      <c r="B50" s="20" t="n">
        <v>8111.6</v>
      </c>
    </row>
    <row r="51" customFormat="false" ht="15" hidden="false" customHeight="false" outlineLevel="0" collapsed="false">
      <c r="A51" s="19" t="n">
        <v>42691</v>
      </c>
      <c r="B51" s="20" t="n">
        <v>8079.95</v>
      </c>
    </row>
    <row r="52" customFormat="false" ht="15" hidden="false" customHeight="false" outlineLevel="0" collapsed="false">
      <c r="A52" s="19" t="n">
        <v>42692</v>
      </c>
      <c r="B52" s="20" t="n">
        <v>8074.1</v>
      </c>
    </row>
    <row r="53" customFormat="false" ht="15" hidden="false" customHeight="false" outlineLevel="0" collapsed="false">
      <c r="A53" s="19" t="n">
        <v>42695</v>
      </c>
      <c r="B53" s="20" t="n">
        <v>7929.1</v>
      </c>
    </row>
    <row r="54" customFormat="false" ht="15" hidden="false" customHeight="false" outlineLevel="0" collapsed="false">
      <c r="A54" s="19" t="n">
        <v>42696</v>
      </c>
      <c r="B54" s="20" t="n">
        <v>8002.3</v>
      </c>
    </row>
    <row r="55" customFormat="false" ht="15" hidden="false" customHeight="false" outlineLevel="0" collapsed="false">
      <c r="A55" s="19" t="n">
        <v>42697</v>
      </c>
      <c r="B55" s="20" t="n">
        <v>8033.3</v>
      </c>
    </row>
    <row r="56" customFormat="false" ht="15" hidden="false" customHeight="false" outlineLevel="0" collapsed="false">
      <c r="A56" s="19" t="n">
        <v>42698</v>
      </c>
      <c r="B56" s="20" t="n">
        <v>7965.5</v>
      </c>
    </row>
    <row r="57" customFormat="false" ht="15" hidden="false" customHeight="false" outlineLevel="0" collapsed="false">
      <c r="A57" s="19" t="n">
        <v>42699</v>
      </c>
      <c r="B57" s="20" t="n">
        <v>8114.3</v>
      </c>
    </row>
    <row r="58" customFormat="false" ht="15" hidden="false" customHeight="false" outlineLevel="0" collapsed="false">
      <c r="A58" s="19" t="n">
        <v>42702</v>
      </c>
      <c r="B58" s="20" t="n">
        <v>8126.9</v>
      </c>
    </row>
    <row r="59" customFormat="false" ht="15" hidden="false" customHeight="false" outlineLevel="0" collapsed="false">
      <c r="A59" s="19" t="n">
        <v>42703</v>
      </c>
      <c r="B59" s="20" t="n">
        <v>8142.15</v>
      </c>
    </row>
    <row r="60" customFormat="false" ht="15" hidden="false" customHeight="false" outlineLevel="0" collapsed="false">
      <c r="A60" s="19" t="n">
        <v>42704</v>
      </c>
      <c r="B60" s="20" t="n">
        <v>8224.5</v>
      </c>
    </row>
    <row r="61" customFormat="false" ht="15" hidden="false" customHeight="false" outlineLevel="0" collapsed="false">
      <c r="A61" s="19" t="n">
        <v>42705</v>
      </c>
      <c r="B61" s="20" t="n">
        <v>8192.9</v>
      </c>
    </row>
    <row r="62" customFormat="false" ht="15" hidden="false" customHeight="false" outlineLevel="0" collapsed="false">
      <c r="A62" s="19" t="n">
        <v>42706</v>
      </c>
      <c r="B62" s="20" t="n">
        <v>8086.8</v>
      </c>
    </row>
    <row r="63" customFormat="false" ht="15" hidden="false" customHeight="false" outlineLevel="0" collapsed="false">
      <c r="A63" s="19" t="n">
        <v>42709</v>
      </c>
      <c r="B63" s="20" t="n">
        <v>8128.75</v>
      </c>
    </row>
    <row r="64" customFormat="false" ht="15" hidden="false" customHeight="false" outlineLevel="0" collapsed="false">
      <c r="A64" s="19" t="n">
        <v>42710</v>
      </c>
      <c r="B64" s="20" t="n">
        <v>8143.15</v>
      </c>
    </row>
    <row r="65" customFormat="false" ht="15" hidden="false" customHeight="false" outlineLevel="0" collapsed="false">
      <c r="A65" s="19" t="n">
        <v>42711</v>
      </c>
      <c r="B65" s="20" t="n">
        <v>8102.05</v>
      </c>
    </row>
    <row r="66" customFormat="false" ht="15" hidden="false" customHeight="false" outlineLevel="0" collapsed="false">
      <c r="A66" s="19" t="n">
        <v>42712</v>
      </c>
      <c r="B66" s="20" t="n">
        <v>8246.85</v>
      </c>
    </row>
    <row r="67" customFormat="false" ht="15" hidden="false" customHeight="false" outlineLevel="0" collapsed="false">
      <c r="A67" s="19" t="n">
        <v>42713</v>
      </c>
      <c r="B67" s="20" t="n">
        <v>8261.75</v>
      </c>
    </row>
    <row r="68" customFormat="false" ht="15" hidden="false" customHeight="false" outlineLevel="0" collapsed="false">
      <c r="A68" s="19" t="n">
        <v>42716</v>
      </c>
      <c r="B68" s="20" t="n">
        <v>8170.8</v>
      </c>
    </row>
    <row r="69" customFormat="false" ht="15" hidden="false" customHeight="false" outlineLevel="0" collapsed="false">
      <c r="A69" s="19" t="n">
        <v>42717</v>
      </c>
      <c r="B69" s="20" t="n">
        <v>8221.8</v>
      </c>
    </row>
    <row r="70" customFormat="false" ht="15" hidden="false" customHeight="false" outlineLevel="0" collapsed="false">
      <c r="A70" s="19" t="n">
        <v>42718</v>
      </c>
      <c r="B70" s="20" t="n">
        <v>8182.45</v>
      </c>
    </row>
    <row r="71" customFormat="false" ht="15" hidden="false" customHeight="false" outlineLevel="0" collapsed="false">
      <c r="A71" s="19" t="n">
        <v>42719</v>
      </c>
      <c r="B71" s="20" t="n">
        <v>8153.6</v>
      </c>
    </row>
    <row r="72" customFormat="false" ht="15" hidden="false" customHeight="false" outlineLevel="0" collapsed="false">
      <c r="A72" s="19" t="n">
        <v>42720</v>
      </c>
      <c r="B72" s="20" t="n">
        <v>8139.45</v>
      </c>
    </row>
    <row r="73" customFormat="false" ht="15" hidden="false" customHeight="false" outlineLevel="0" collapsed="false">
      <c r="A73" s="19" t="n">
        <v>42723</v>
      </c>
      <c r="B73" s="20" t="n">
        <v>8104.35</v>
      </c>
    </row>
    <row r="74" customFormat="false" ht="15" hidden="false" customHeight="false" outlineLevel="0" collapsed="false">
      <c r="A74" s="19" t="n">
        <v>42724</v>
      </c>
      <c r="B74" s="20" t="n">
        <v>8082.4</v>
      </c>
    </row>
    <row r="75" customFormat="false" ht="15" hidden="false" customHeight="false" outlineLevel="0" collapsed="false">
      <c r="A75" s="19" t="n">
        <v>42725</v>
      </c>
      <c r="B75" s="20" t="n">
        <v>8061.3</v>
      </c>
    </row>
    <row r="76" customFormat="false" ht="15" hidden="false" customHeight="false" outlineLevel="0" collapsed="false">
      <c r="A76" s="19" t="n">
        <v>42726</v>
      </c>
      <c r="B76" s="20" t="n">
        <v>7979.1</v>
      </c>
    </row>
    <row r="77" customFormat="false" ht="15" hidden="false" customHeight="false" outlineLevel="0" collapsed="false">
      <c r="A77" s="19" t="n">
        <v>42727</v>
      </c>
      <c r="B77" s="20" t="n">
        <v>7985.75</v>
      </c>
    </row>
    <row r="78" customFormat="false" ht="15" hidden="false" customHeight="false" outlineLevel="0" collapsed="false">
      <c r="A78" s="19" t="n">
        <v>42730</v>
      </c>
      <c r="B78" s="20" t="n">
        <v>7908.25</v>
      </c>
    </row>
    <row r="79" customFormat="false" ht="15" hidden="false" customHeight="false" outlineLevel="0" collapsed="false">
      <c r="A79" s="19" t="n">
        <v>42731</v>
      </c>
      <c r="B79" s="20" t="n">
        <v>8032.85</v>
      </c>
    </row>
    <row r="80" customFormat="false" ht="15" hidden="false" customHeight="false" outlineLevel="0" collapsed="false">
      <c r="A80" s="19" t="n">
        <v>42732</v>
      </c>
      <c r="B80" s="20" t="n">
        <v>8034.85</v>
      </c>
    </row>
    <row r="81" customFormat="false" ht="15" hidden="false" customHeight="false" outlineLevel="0" collapsed="false">
      <c r="A81" s="19" t="n">
        <v>42733</v>
      </c>
      <c r="B81" s="20" t="n">
        <v>8103.6</v>
      </c>
    </row>
    <row r="82" customFormat="false" ht="15" hidden="false" customHeight="false" outlineLevel="0" collapsed="false">
      <c r="A82" s="19" t="n">
        <v>42734</v>
      </c>
      <c r="B82" s="20" t="n">
        <v>8185.8</v>
      </c>
    </row>
    <row r="83" customFormat="false" ht="15" hidden="false" customHeight="false" outlineLevel="0" collapsed="false">
      <c r="A83" s="19" t="n">
        <v>42737</v>
      </c>
      <c r="B83" s="20" t="n">
        <v>8179.5</v>
      </c>
    </row>
    <row r="84" customFormat="false" ht="15" hidden="false" customHeight="false" outlineLevel="0" collapsed="false">
      <c r="A84" s="19" t="n">
        <v>42738</v>
      </c>
      <c r="B84" s="20" t="n">
        <v>8192.25</v>
      </c>
    </row>
    <row r="85" customFormat="false" ht="15" hidden="false" customHeight="false" outlineLevel="0" collapsed="false">
      <c r="A85" s="19" t="n">
        <v>42739</v>
      </c>
      <c r="B85" s="20" t="n">
        <v>8190.5</v>
      </c>
    </row>
    <row r="86" customFormat="false" ht="15" hidden="false" customHeight="false" outlineLevel="0" collapsed="false">
      <c r="A86" s="19" t="n">
        <v>42740</v>
      </c>
      <c r="B86" s="20" t="n">
        <v>8273.8</v>
      </c>
    </row>
    <row r="87" customFormat="false" ht="15" hidden="false" customHeight="false" outlineLevel="0" collapsed="false">
      <c r="A87" s="19" t="n">
        <v>42741</v>
      </c>
      <c r="B87" s="20" t="n">
        <v>8243.8</v>
      </c>
    </row>
    <row r="88" customFormat="false" ht="15" hidden="false" customHeight="false" outlineLevel="0" collapsed="false">
      <c r="A88" s="19" t="n">
        <v>42744</v>
      </c>
      <c r="B88" s="20" t="n">
        <v>8236.05</v>
      </c>
    </row>
    <row r="89" customFormat="false" ht="15" hidden="false" customHeight="false" outlineLevel="0" collapsed="false">
      <c r="A89" s="19" t="n">
        <v>42745</v>
      </c>
      <c r="B89" s="20" t="n">
        <v>8288.6</v>
      </c>
    </row>
    <row r="90" customFormat="false" ht="15" hidden="false" customHeight="false" outlineLevel="0" collapsed="false">
      <c r="A90" s="19" t="n">
        <v>42746</v>
      </c>
      <c r="B90" s="20" t="n">
        <v>8380.65</v>
      </c>
    </row>
    <row r="91" customFormat="false" ht="15" hidden="false" customHeight="false" outlineLevel="0" collapsed="false">
      <c r="A91" s="19" t="n">
        <v>42747</v>
      </c>
      <c r="B91" s="20" t="n">
        <v>8407.2</v>
      </c>
    </row>
    <row r="92" customFormat="false" ht="15" hidden="false" customHeight="false" outlineLevel="0" collapsed="false">
      <c r="A92" s="19" t="n">
        <v>42748</v>
      </c>
      <c r="B92" s="20" t="n">
        <v>8400.35</v>
      </c>
    </row>
    <row r="93" customFormat="false" ht="15" hidden="false" customHeight="false" outlineLevel="0" collapsed="false">
      <c r="A93" s="19" t="n">
        <v>42751</v>
      </c>
      <c r="B93" s="20" t="n">
        <v>8412.8</v>
      </c>
    </row>
    <row r="94" customFormat="false" ht="15" hidden="false" customHeight="false" outlineLevel="0" collapsed="false">
      <c r="A94" s="19" t="n">
        <v>42752</v>
      </c>
      <c r="B94" s="20" t="n">
        <v>8398</v>
      </c>
    </row>
    <row r="95" customFormat="false" ht="15" hidden="false" customHeight="false" outlineLevel="0" collapsed="false">
      <c r="A95" s="19" t="n">
        <v>42753</v>
      </c>
      <c r="B95" s="20" t="n">
        <v>8417</v>
      </c>
    </row>
    <row r="96" customFormat="false" ht="15" hidden="false" customHeight="false" outlineLevel="0" collapsed="false">
      <c r="A96" s="19" t="n">
        <v>42754</v>
      </c>
      <c r="B96" s="20" t="n">
        <v>8435.1</v>
      </c>
    </row>
    <row r="97" customFormat="false" ht="15" hidden="false" customHeight="false" outlineLevel="0" collapsed="false">
      <c r="A97" s="19" t="n">
        <v>42755</v>
      </c>
      <c r="B97" s="20" t="n">
        <v>8349.35</v>
      </c>
    </row>
    <row r="98" customFormat="false" ht="15" hidden="false" customHeight="false" outlineLevel="0" collapsed="false">
      <c r="A98" s="19" t="n">
        <v>42758</v>
      </c>
      <c r="B98" s="20" t="n">
        <v>8391.5</v>
      </c>
    </row>
    <row r="99" customFormat="false" ht="15" hidden="false" customHeight="false" outlineLevel="0" collapsed="false">
      <c r="A99" s="19" t="n">
        <v>42759</v>
      </c>
      <c r="B99" s="20" t="n">
        <v>8475.8</v>
      </c>
    </row>
    <row r="100" customFormat="false" ht="15" hidden="false" customHeight="false" outlineLevel="0" collapsed="false">
      <c r="A100" s="19" t="n">
        <v>42760</v>
      </c>
      <c r="B100" s="20" t="n">
        <v>8602.75</v>
      </c>
    </row>
    <row r="101" customFormat="false" ht="15" hidden="false" customHeight="false" outlineLevel="0" collapsed="false">
      <c r="A101" s="19" t="n">
        <v>42762</v>
      </c>
      <c r="B101" s="20" t="n">
        <v>8641.25</v>
      </c>
    </row>
    <row r="102" customFormat="false" ht="15" hidden="false" customHeight="false" outlineLevel="0" collapsed="false">
      <c r="A102" s="19" t="n">
        <v>42765</v>
      </c>
      <c r="B102" s="20" t="n">
        <v>8632.75</v>
      </c>
    </row>
    <row r="103" customFormat="false" ht="15" hidden="false" customHeight="false" outlineLevel="0" collapsed="false">
      <c r="A103" s="19" t="n">
        <v>42766</v>
      </c>
      <c r="B103" s="20" t="n">
        <v>8561.3</v>
      </c>
    </row>
    <row r="104" customFormat="false" ht="15" hidden="false" customHeight="false" outlineLevel="0" collapsed="false">
      <c r="A104" s="19" t="n">
        <v>42767</v>
      </c>
      <c r="B104" s="20" t="n">
        <v>8716.4</v>
      </c>
    </row>
    <row r="105" customFormat="false" ht="15" hidden="false" customHeight="false" outlineLevel="0" collapsed="false">
      <c r="A105" s="19" t="n">
        <v>42768</v>
      </c>
      <c r="B105" s="20" t="n">
        <v>8734.25</v>
      </c>
    </row>
    <row r="106" customFormat="false" ht="15" hidden="false" customHeight="false" outlineLevel="0" collapsed="false">
      <c r="A106" s="19" t="n">
        <v>42769</v>
      </c>
      <c r="B106" s="20" t="n">
        <v>8740.95</v>
      </c>
    </row>
    <row r="107" customFormat="false" ht="15" hidden="false" customHeight="false" outlineLevel="0" collapsed="false">
      <c r="A107" s="19" t="n">
        <v>42772</v>
      </c>
      <c r="B107" s="20" t="n">
        <v>8801.05</v>
      </c>
    </row>
    <row r="108" customFormat="false" ht="15" hidden="false" customHeight="false" outlineLevel="0" collapsed="false">
      <c r="A108" s="19" t="n">
        <v>42773</v>
      </c>
      <c r="B108" s="20" t="n">
        <v>8768.3</v>
      </c>
    </row>
    <row r="109" customFormat="false" ht="15" hidden="false" customHeight="false" outlineLevel="0" collapsed="false">
      <c r="A109" s="19" t="n">
        <v>42774</v>
      </c>
      <c r="B109" s="20" t="n">
        <v>8769.05</v>
      </c>
    </row>
    <row r="110" customFormat="false" ht="15" hidden="false" customHeight="false" outlineLevel="0" collapsed="false">
      <c r="A110" s="19" t="n">
        <v>42775</v>
      </c>
      <c r="B110" s="20" t="n">
        <v>8778.4</v>
      </c>
    </row>
    <row r="111" customFormat="false" ht="15" hidden="false" customHeight="false" outlineLevel="0" collapsed="false">
      <c r="A111" s="19" t="n">
        <v>42776</v>
      </c>
      <c r="B111" s="20" t="n">
        <v>8793.55</v>
      </c>
    </row>
    <row r="112" customFormat="false" ht="15" hidden="false" customHeight="false" outlineLevel="0" collapsed="false">
      <c r="A112" s="19" t="n">
        <v>42779</v>
      </c>
      <c r="B112" s="20" t="n">
        <v>8805.05</v>
      </c>
    </row>
    <row r="113" customFormat="false" ht="15" hidden="false" customHeight="false" outlineLevel="0" collapsed="false">
      <c r="A113" s="19" t="n">
        <v>42780</v>
      </c>
      <c r="B113" s="20" t="n">
        <v>8792.3</v>
      </c>
    </row>
    <row r="114" customFormat="false" ht="15" hidden="false" customHeight="false" outlineLevel="0" collapsed="false">
      <c r="A114" s="19" t="n">
        <v>42781</v>
      </c>
      <c r="B114" s="20" t="n">
        <v>8724.7</v>
      </c>
    </row>
    <row r="115" customFormat="false" ht="15" hidden="false" customHeight="false" outlineLevel="0" collapsed="false">
      <c r="A115" s="19" t="n">
        <v>42782</v>
      </c>
      <c r="B115" s="20" t="n">
        <v>8778</v>
      </c>
    </row>
    <row r="116" customFormat="false" ht="15" hidden="false" customHeight="false" outlineLevel="0" collapsed="false">
      <c r="A116" s="19" t="n">
        <v>42783</v>
      </c>
      <c r="B116" s="20" t="n">
        <v>8821.7</v>
      </c>
    </row>
    <row r="117" customFormat="false" ht="15" hidden="false" customHeight="false" outlineLevel="0" collapsed="false">
      <c r="A117" s="19" t="n">
        <v>42786</v>
      </c>
      <c r="B117" s="20" t="n">
        <v>8879.2</v>
      </c>
    </row>
    <row r="118" customFormat="false" ht="15" hidden="false" customHeight="false" outlineLevel="0" collapsed="false">
      <c r="A118" s="19" t="n">
        <v>42787</v>
      </c>
      <c r="B118" s="20" t="n">
        <v>8907.85</v>
      </c>
    </row>
    <row r="119" customFormat="false" ht="15" hidden="false" customHeight="false" outlineLevel="0" collapsed="false">
      <c r="A119" s="19" t="n">
        <v>42788</v>
      </c>
      <c r="B119" s="20" t="n">
        <v>8926.9</v>
      </c>
    </row>
    <row r="120" customFormat="false" ht="15" hidden="false" customHeight="false" outlineLevel="0" collapsed="false">
      <c r="A120" s="19" t="n">
        <v>42789</v>
      </c>
      <c r="B120" s="20" t="n">
        <v>8939.5</v>
      </c>
    </row>
    <row r="121" customFormat="false" ht="15" hidden="false" customHeight="false" outlineLevel="0" collapsed="false">
      <c r="A121" s="19" t="n">
        <v>42793</v>
      </c>
      <c r="B121" s="20" t="n">
        <v>8896.7</v>
      </c>
    </row>
    <row r="122" customFormat="false" ht="15" hidden="false" customHeight="false" outlineLevel="0" collapsed="false">
      <c r="A122" s="19" t="n">
        <v>42794</v>
      </c>
      <c r="B122" s="20" t="n">
        <v>8879.6</v>
      </c>
    </row>
    <row r="123" customFormat="false" ht="15" hidden="false" customHeight="false" outlineLevel="0" collapsed="false">
      <c r="A123" s="19" t="n">
        <v>42795</v>
      </c>
      <c r="B123" s="20" t="n">
        <v>8945.8</v>
      </c>
    </row>
    <row r="124" customFormat="false" ht="15" hidden="false" customHeight="false" outlineLevel="0" collapsed="false">
      <c r="A124" s="19" t="n">
        <v>42796</v>
      </c>
      <c r="B124" s="20" t="n">
        <v>8899.75</v>
      </c>
    </row>
    <row r="125" customFormat="false" ht="15" hidden="false" customHeight="false" outlineLevel="0" collapsed="false">
      <c r="A125" s="19" t="n">
        <v>42797</v>
      </c>
      <c r="B125" s="20" t="n">
        <v>8897.55</v>
      </c>
    </row>
    <row r="126" customFormat="false" ht="15" hidden="false" customHeight="false" outlineLevel="0" collapsed="false">
      <c r="A126" s="19" t="n">
        <v>42800</v>
      </c>
      <c r="B126" s="20" t="n">
        <v>8963.45</v>
      </c>
    </row>
    <row r="127" customFormat="false" ht="15" hidden="false" customHeight="false" outlineLevel="0" collapsed="false">
      <c r="A127" s="19" t="n">
        <v>42801</v>
      </c>
      <c r="B127" s="20" t="n">
        <v>8946.9</v>
      </c>
    </row>
    <row r="128" customFormat="false" ht="15" hidden="false" customHeight="false" outlineLevel="0" collapsed="false">
      <c r="A128" s="19" t="n">
        <v>42802</v>
      </c>
      <c r="B128" s="20" t="n">
        <v>8924.3</v>
      </c>
    </row>
    <row r="129" customFormat="false" ht="15" hidden="false" customHeight="false" outlineLevel="0" collapsed="false">
      <c r="A129" s="19" t="n">
        <v>42803</v>
      </c>
      <c r="B129" s="20" t="n">
        <v>8927</v>
      </c>
    </row>
    <row r="130" customFormat="false" ht="15" hidden="false" customHeight="false" outlineLevel="0" collapsed="false">
      <c r="A130" s="19" t="n">
        <v>42804</v>
      </c>
      <c r="B130" s="20" t="n">
        <v>8934.55</v>
      </c>
    </row>
    <row r="131" customFormat="false" ht="15" hidden="false" customHeight="false" outlineLevel="0" collapsed="false">
      <c r="A131" s="19" t="n">
        <v>42808</v>
      </c>
      <c r="B131" s="20" t="n">
        <v>9087</v>
      </c>
    </row>
    <row r="132" customFormat="false" ht="15" hidden="false" customHeight="false" outlineLevel="0" collapsed="false">
      <c r="A132" s="19" t="n">
        <v>42809</v>
      </c>
      <c r="B132" s="20" t="n">
        <v>9084.8</v>
      </c>
    </row>
    <row r="133" customFormat="false" ht="15" hidden="false" customHeight="false" outlineLevel="0" collapsed="false">
      <c r="A133" s="19" t="n">
        <v>42810</v>
      </c>
      <c r="B133" s="20" t="n">
        <v>9153.7</v>
      </c>
    </row>
    <row r="134" customFormat="false" ht="15" hidden="false" customHeight="false" outlineLevel="0" collapsed="false">
      <c r="A134" s="19" t="n">
        <v>42811</v>
      </c>
      <c r="B134" s="20" t="n">
        <v>9160.05</v>
      </c>
    </row>
    <row r="135" customFormat="false" ht="15" hidden="false" customHeight="false" outlineLevel="0" collapsed="false">
      <c r="A135" s="19" t="n">
        <v>42814</v>
      </c>
      <c r="B135" s="20" t="n">
        <v>9126.85</v>
      </c>
    </row>
    <row r="136" customFormat="false" ht="15" hidden="false" customHeight="false" outlineLevel="0" collapsed="false">
      <c r="A136" s="19" t="n">
        <v>42815</v>
      </c>
      <c r="B136" s="20" t="n">
        <v>9121.5</v>
      </c>
    </row>
    <row r="137" customFormat="false" ht="15" hidden="false" customHeight="false" outlineLevel="0" collapsed="false">
      <c r="A137" s="19" t="n">
        <v>42816</v>
      </c>
      <c r="B137" s="20" t="n">
        <v>9030.45</v>
      </c>
    </row>
    <row r="138" customFormat="false" ht="15" hidden="false" customHeight="false" outlineLevel="0" collapsed="false">
      <c r="A138" s="19" t="n">
        <v>42817</v>
      </c>
      <c r="B138" s="20" t="n">
        <v>9086.3</v>
      </c>
    </row>
    <row r="139" customFormat="false" ht="15" hidden="false" customHeight="false" outlineLevel="0" collapsed="false">
      <c r="A139" s="19" t="n">
        <v>42818</v>
      </c>
      <c r="B139" s="20" t="n">
        <v>9108</v>
      </c>
    </row>
    <row r="140" customFormat="false" ht="15" hidden="false" customHeight="false" outlineLevel="0" collapsed="false">
      <c r="A140" s="19" t="n">
        <v>42821</v>
      </c>
      <c r="B140" s="20" t="n">
        <v>9045.2</v>
      </c>
    </row>
    <row r="141" customFormat="false" ht="15" hidden="false" customHeight="false" outlineLevel="0" collapsed="false">
      <c r="A141" s="19" t="n">
        <v>42822</v>
      </c>
      <c r="B141" s="20" t="n">
        <v>9100.8</v>
      </c>
    </row>
    <row r="142" customFormat="false" ht="15" hidden="false" customHeight="false" outlineLevel="0" collapsed="false">
      <c r="A142" s="19" t="n">
        <v>42823</v>
      </c>
      <c r="B142" s="20" t="n">
        <v>9143.8</v>
      </c>
    </row>
    <row r="143" customFormat="false" ht="15" hidden="false" customHeight="false" outlineLevel="0" collapsed="false">
      <c r="A143" s="19" t="n">
        <v>42824</v>
      </c>
      <c r="B143" s="20" t="n">
        <v>9173.75</v>
      </c>
    </row>
    <row r="144" customFormat="false" ht="15" hidden="false" customHeight="false" outlineLevel="0" collapsed="false">
      <c r="A144" s="19" t="n">
        <v>42825</v>
      </c>
      <c r="B144" s="20" t="n">
        <v>9173.75</v>
      </c>
    </row>
    <row r="145" customFormat="false" ht="15" hidden="false" customHeight="false" outlineLevel="0" collapsed="false">
      <c r="A145" s="19" t="n">
        <v>42828</v>
      </c>
      <c r="B145" s="20" t="n">
        <v>9237.85</v>
      </c>
    </row>
    <row r="146" customFormat="false" ht="15" hidden="false" customHeight="false" outlineLevel="0" collapsed="false">
      <c r="A146" s="19" t="n">
        <v>42830</v>
      </c>
      <c r="B146" s="20" t="n">
        <v>9265.15</v>
      </c>
    </row>
    <row r="147" customFormat="false" ht="15" hidden="false" customHeight="false" outlineLevel="0" collapsed="false">
      <c r="A147" s="19" t="n">
        <v>42831</v>
      </c>
      <c r="B147" s="20" t="n">
        <v>9261.95</v>
      </c>
    </row>
    <row r="148" customFormat="false" ht="15" hidden="false" customHeight="false" outlineLevel="0" collapsed="false">
      <c r="A148" s="19" t="n">
        <v>42832</v>
      </c>
      <c r="B148" s="20" t="n">
        <v>9198.3</v>
      </c>
    </row>
    <row r="149" customFormat="false" ht="15" hidden="false" customHeight="false" outlineLevel="0" collapsed="false">
      <c r="A149" s="19" t="n">
        <v>42835</v>
      </c>
      <c r="B149" s="20" t="n">
        <v>9181.45</v>
      </c>
    </row>
    <row r="150" customFormat="false" ht="15" hidden="false" customHeight="false" outlineLevel="0" collapsed="false">
      <c r="A150" s="19" t="n">
        <v>42836</v>
      </c>
      <c r="B150" s="20" t="n">
        <v>9237</v>
      </c>
    </row>
    <row r="151" customFormat="false" ht="15" hidden="false" customHeight="false" outlineLevel="0" collapsed="false">
      <c r="A151" s="19" t="n">
        <v>42837</v>
      </c>
      <c r="B151" s="20" t="n">
        <v>9203.45</v>
      </c>
    </row>
    <row r="152" customFormat="false" ht="15" hidden="false" customHeight="false" outlineLevel="0" collapsed="false">
      <c r="A152" s="19" t="n">
        <v>42838</v>
      </c>
      <c r="B152" s="20" t="n">
        <v>9150.8</v>
      </c>
    </row>
    <row r="153" customFormat="false" ht="15" hidden="false" customHeight="false" outlineLevel="0" collapsed="false">
      <c r="A153" s="19" t="n">
        <v>42842</v>
      </c>
      <c r="B153" s="20" t="n">
        <v>9139.3</v>
      </c>
    </row>
    <row r="154" customFormat="false" ht="15" hidden="false" customHeight="false" outlineLevel="0" collapsed="false">
      <c r="A154" s="19" t="n">
        <v>42843</v>
      </c>
      <c r="B154" s="20" t="n">
        <v>9105.15</v>
      </c>
    </row>
    <row r="155" customFormat="false" ht="15" hidden="false" customHeight="false" outlineLevel="0" collapsed="false">
      <c r="A155" s="19" t="n">
        <v>42844</v>
      </c>
      <c r="B155" s="20" t="n">
        <v>9103.5</v>
      </c>
    </row>
    <row r="156" customFormat="false" ht="15" hidden="false" customHeight="false" outlineLevel="0" collapsed="false">
      <c r="A156" s="19" t="n">
        <v>42845</v>
      </c>
      <c r="B156" s="20" t="n">
        <v>9136.4</v>
      </c>
    </row>
    <row r="157" customFormat="false" ht="15" hidden="false" customHeight="false" outlineLevel="0" collapsed="false">
      <c r="A157" s="19" t="n">
        <v>42846</v>
      </c>
      <c r="B157" s="20" t="n">
        <v>9119.4</v>
      </c>
    </row>
    <row r="158" customFormat="false" ht="15" hidden="false" customHeight="false" outlineLevel="0" collapsed="false">
      <c r="A158" s="19" t="n">
        <v>42849</v>
      </c>
      <c r="B158" s="20" t="n">
        <v>9217.95</v>
      </c>
    </row>
    <row r="159" customFormat="false" ht="15" hidden="false" customHeight="false" outlineLevel="0" collapsed="false">
      <c r="A159" s="19" t="n">
        <v>42850</v>
      </c>
      <c r="B159" s="20" t="n">
        <v>9306.6</v>
      </c>
    </row>
    <row r="160" customFormat="false" ht="15" hidden="false" customHeight="false" outlineLevel="0" collapsed="false">
      <c r="A160" s="19" t="n">
        <v>42851</v>
      </c>
      <c r="B160" s="20" t="n">
        <v>9351.85</v>
      </c>
    </row>
    <row r="161" customFormat="false" ht="15" hidden="false" customHeight="false" outlineLevel="0" collapsed="false">
      <c r="A161" s="19" t="n">
        <v>42852</v>
      </c>
      <c r="B161" s="20" t="n">
        <v>9342.15</v>
      </c>
    </row>
    <row r="162" customFormat="false" ht="15" hidden="false" customHeight="false" outlineLevel="0" collapsed="false">
      <c r="A162" s="19" t="n">
        <v>42853</v>
      </c>
      <c r="B162" s="20" t="n">
        <v>9304.05</v>
      </c>
    </row>
    <row r="163" customFormat="false" ht="15" hidden="false" customHeight="false" outlineLevel="0" collapsed="false">
      <c r="A163" s="19" t="n">
        <v>42857</v>
      </c>
      <c r="B163" s="20" t="n">
        <v>9313.8</v>
      </c>
    </row>
    <row r="164" customFormat="false" ht="15" hidden="false" customHeight="false" outlineLevel="0" collapsed="false">
      <c r="A164" s="19" t="n">
        <v>42858</v>
      </c>
      <c r="B164" s="20" t="n">
        <v>9311.95</v>
      </c>
    </row>
    <row r="165" customFormat="false" ht="15" hidden="false" customHeight="false" outlineLevel="0" collapsed="false">
      <c r="A165" s="19" t="n">
        <v>42859</v>
      </c>
      <c r="B165" s="20" t="n">
        <v>9359.9</v>
      </c>
    </row>
    <row r="166" customFormat="false" ht="15" hidden="false" customHeight="false" outlineLevel="0" collapsed="false">
      <c r="A166" s="19" t="n">
        <v>42860</v>
      </c>
      <c r="B166" s="20" t="n">
        <v>9285.3</v>
      </c>
    </row>
    <row r="167" customFormat="false" ht="15" hidden="false" customHeight="false" outlineLevel="0" collapsed="false">
      <c r="A167" s="19" t="n">
        <v>42863</v>
      </c>
      <c r="B167" s="20" t="n">
        <v>9314.05</v>
      </c>
    </row>
    <row r="168" customFormat="false" ht="15" hidden="false" customHeight="false" outlineLevel="0" collapsed="false">
      <c r="A168" s="19" t="n">
        <v>42864</v>
      </c>
      <c r="B168" s="20" t="n">
        <v>9316.85</v>
      </c>
    </row>
    <row r="169" customFormat="false" ht="15" hidden="false" customHeight="false" outlineLevel="0" collapsed="false">
      <c r="A169" s="19" t="n">
        <v>42865</v>
      </c>
      <c r="B169" s="20" t="n">
        <v>9407.3</v>
      </c>
    </row>
    <row r="170" customFormat="false" ht="15" hidden="false" customHeight="false" outlineLevel="0" collapsed="false">
      <c r="A170" s="19" t="n">
        <v>42866</v>
      </c>
      <c r="B170" s="20" t="n">
        <v>9422.4</v>
      </c>
    </row>
    <row r="171" customFormat="false" ht="15" hidden="false" customHeight="false" outlineLevel="0" collapsed="false">
      <c r="A171" s="19" t="n">
        <v>42867</v>
      </c>
      <c r="B171" s="20" t="n">
        <v>9400.9</v>
      </c>
    </row>
    <row r="172" customFormat="false" ht="15" hidden="false" customHeight="false" outlineLevel="0" collapsed="false">
      <c r="A172" s="19" t="n">
        <v>42870</v>
      </c>
      <c r="B172" s="20" t="n">
        <v>9445.4</v>
      </c>
    </row>
    <row r="173" customFormat="false" ht="15" hidden="false" customHeight="false" outlineLevel="0" collapsed="false">
      <c r="A173" s="19" t="n">
        <v>42871</v>
      </c>
      <c r="B173" s="20" t="n">
        <v>9512.25</v>
      </c>
    </row>
    <row r="174" customFormat="false" ht="15" hidden="false" customHeight="false" outlineLevel="0" collapsed="false">
      <c r="A174" s="19" t="n">
        <v>42872</v>
      </c>
      <c r="B174" s="20" t="n">
        <v>9525.75</v>
      </c>
    </row>
    <row r="175" customFormat="false" ht="15" hidden="false" customHeight="false" outlineLevel="0" collapsed="false">
      <c r="A175" s="19" t="n">
        <v>42873</v>
      </c>
      <c r="B175" s="20" t="n">
        <v>9429.45</v>
      </c>
    </row>
    <row r="176" customFormat="false" ht="15" hidden="false" customHeight="false" outlineLevel="0" collapsed="false">
      <c r="A176" s="19" t="n">
        <v>42874</v>
      </c>
      <c r="B176" s="20" t="n">
        <v>9427.9</v>
      </c>
    </row>
    <row r="177" customFormat="false" ht="15" hidden="false" customHeight="false" outlineLevel="0" collapsed="false">
      <c r="A177" s="19" t="n">
        <v>42877</v>
      </c>
      <c r="B177" s="20" t="n">
        <v>9438.25</v>
      </c>
    </row>
    <row r="178" customFormat="false" ht="15" hidden="false" customHeight="false" outlineLevel="0" collapsed="false">
      <c r="A178" s="19" t="n">
        <v>42878</v>
      </c>
      <c r="B178" s="20" t="n">
        <v>9386.15</v>
      </c>
    </row>
    <row r="179" customFormat="false" ht="15" hidden="false" customHeight="false" outlineLevel="0" collapsed="false">
      <c r="A179" s="19" t="n">
        <v>42879</v>
      </c>
      <c r="B179" s="20" t="n">
        <v>9360.55</v>
      </c>
    </row>
    <row r="180" customFormat="false" ht="15" hidden="false" customHeight="false" outlineLevel="0" collapsed="false">
      <c r="A180" s="19" t="n">
        <v>42880</v>
      </c>
      <c r="B180" s="20" t="n">
        <v>9509.75</v>
      </c>
    </row>
    <row r="181" customFormat="false" ht="15" hidden="false" customHeight="false" outlineLevel="0" collapsed="false">
      <c r="A181" s="19" t="n">
        <v>42881</v>
      </c>
      <c r="B181" s="20" t="n">
        <v>9595.1</v>
      </c>
    </row>
    <row r="182" customFormat="false" ht="15" hidden="false" customHeight="false" outlineLevel="0" collapsed="false">
      <c r="A182" s="19" t="n">
        <v>42884</v>
      </c>
      <c r="B182" s="20" t="n">
        <v>9604.9</v>
      </c>
    </row>
    <row r="183" customFormat="false" ht="15" hidden="false" customHeight="false" outlineLevel="0" collapsed="false">
      <c r="A183" s="19" t="n">
        <v>42885</v>
      </c>
      <c r="B183" s="20" t="n">
        <v>9624.55</v>
      </c>
    </row>
    <row r="184" customFormat="false" ht="15" hidden="false" customHeight="false" outlineLevel="0" collapsed="false">
      <c r="A184" s="19" t="n">
        <v>42886</v>
      </c>
      <c r="B184" s="20" t="n">
        <v>9621.25</v>
      </c>
    </row>
    <row r="185" customFormat="false" ht="15" hidden="false" customHeight="false" outlineLevel="0" collapsed="false">
      <c r="A185" s="19" t="n">
        <v>42887</v>
      </c>
      <c r="B185" s="20" t="n">
        <v>9616.1</v>
      </c>
    </row>
    <row r="186" customFormat="false" ht="15" hidden="false" customHeight="false" outlineLevel="0" collapsed="false">
      <c r="A186" s="19" t="n">
        <v>42888</v>
      </c>
      <c r="B186" s="20" t="n">
        <v>9653.5</v>
      </c>
    </row>
    <row r="187" customFormat="false" ht="15" hidden="false" customHeight="false" outlineLevel="0" collapsed="false">
      <c r="A187" s="19" t="n">
        <v>42891</v>
      </c>
      <c r="B187" s="20" t="n">
        <v>9675.1</v>
      </c>
    </row>
    <row r="188" customFormat="false" ht="15" hidden="false" customHeight="false" outlineLevel="0" collapsed="false">
      <c r="A188" s="19" t="n">
        <v>42892</v>
      </c>
      <c r="B188" s="20" t="n">
        <v>9637.15</v>
      </c>
    </row>
    <row r="189" customFormat="false" ht="15" hidden="false" customHeight="false" outlineLevel="0" collapsed="false">
      <c r="A189" s="19" t="n">
        <v>42893</v>
      </c>
      <c r="B189" s="20" t="n">
        <v>9663.9</v>
      </c>
    </row>
    <row r="190" customFormat="false" ht="15" hidden="false" customHeight="false" outlineLevel="0" collapsed="false">
      <c r="A190" s="19" t="n">
        <v>42894</v>
      </c>
      <c r="B190" s="20" t="n">
        <v>9647.25</v>
      </c>
    </row>
    <row r="191" customFormat="false" ht="15" hidden="false" customHeight="false" outlineLevel="0" collapsed="false">
      <c r="A191" s="19" t="n">
        <v>42895</v>
      </c>
      <c r="B191" s="20" t="n">
        <v>9668.25</v>
      </c>
    </row>
    <row r="192" customFormat="false" ht="15" hidden="false" customHeight="false" outlineLevel="0" collapsed="false">
      <c r="A192" s="19" t="n">
        <v>42898</v>
      </c>
      <c r="B192" s="20" t="n">
        <v>9616.4</v>
      </c>
    </row>
    <row r="193" customFormat="false" ht="15" hidden="false" customHeight="false" outlineLevel="0" collapsed="false">
      <c r="A193" s="19" t="n">
        <v>42899</v>
      </c>
      <c r="B193" s="20" t="n">
        <v>9606.9</v>
      </c>
    </row>
    <row r="194" customFormat="false" ht="15" hidden="false" customHeight="false" outlineLevel="0" collapsed="false">
      <c r="A194" s="19" t="n">
        <v>42900</v>
      </c>
      <c r="B194" s="20" t="n">
        <v>9618.15</v>
      </c>
    </row>
    <row r="195" customFormat="false" ht="15" hidden="false" customHeight="false" outlineLevel="0" collapsed="false">
      <c r="A195" s="19" t="n">
        <v>42901</v>
      </c>
      <c r="B195" s="20" t="n">
        <v>9578.05</v>
      </c>
    </row>
    <row r="196" customFormat="false" ht="15" hidden="false" customHeight="false" outlineLevel="0" collapsed="false">
      <c r="A196" s="19" t="n">
        <v>42902</v>
      </c>
      <c r="B196" s="20" t="n">
        <v>9588.05</v>
      </c>
    </row>
    <row r="197" customFormat="false" ht="15" hidden="false" customHeight="false" outlineLevel="0" collapsed="false">
      <c r="A197" s="19" t="n">
        <v>42905</v>
      </c>
      <c r="B197" s="20" t="n">
        <v>9657.55</v>
      </c>
    </row>
    <row r="198" customFormat="false" ht="15" hidden="false" customHeight="false" outlineLevel="0" collapsed="false">
      <c r="A198" s="19" t="n">
        <v>42906</v>
      </c>
      <c r="B198" s="20" t="n">
        <v>9653.5</v>
      </c>
    </row>
    <row r="199" customFormat="false" ht="15" hidden="false" customHeight="false" outlineLevel="0" collapsed="false">
      <c r="A199" s="19" t="n">
        <v>42907</v>
      </c>
      <c r="B199" s="20" t="n">
        <v>9633.6</v>
      </c>
    </row>
    <row r="200" customFormat="false" ht="15" hidden="false" customHeight="false" outlineLevel="0" collapsed="false">
      <c r="A200" s="19" t="n">
        <v>42908</v>
      </c>
      <c r="B200" s="20" t="n">
        <v>9630</v>
      </c>
    </row>
    <row r="201" customFormat="false" ht="15" hidden="false" customHeight="false" outlineLevel="0" collapsed="false">
      <c r="A201" s="19" t="n">
        <v>42909</v>
      </c>
      <c r="B201" s="20" t="n">
        <v>9574.95</v>
      </c>
    </row>
    <row r="202" customFormat="false" ht="15" hidden="false" customHeight="false" outlineLevel="0" collapsed="false">
      <c r="A202" s="19" t="n">
        <v>42913</v>
      </c>
      <c r="B202" s="20" t="n">
        <v>9511.4</v>
      </c>
    </row>
    <row r="203" customFormat="false" ht="15" hidden="false" customHeight="false" outlineLevel="0" collapsed="false">
      <c r="A203" s="19" t="n">
        <v>42914</v>
      </c>
      <c r="B203" s="20" t="n">
        <v>9491.25</v>
      </c>
    </row>
    <row r="204" customFormat="false" ht="15" hidden="false" customHeight="false" outlineLevel="0" collapsed="false">
      <c r="A204" s="19" t="n">
        <v>42915</v>
      </c>
      <c r="B204" s="20" t="n">
        <v>9504.1</v>
      </c>
    </row>
    <row r="205" customFormat="false" ht="15" hidden="false" customHeight="false" outlineLevel="0" collapsed="false">
      <c r="A205" s="19" t="n">
        <v>42916</v>
      </c>
      <c r="B205" s="20" t="n">
        <v>9520.9</v>
      </c>
    </row>
    <row r="206" customFormat="false" ht="15" hidden="false" customHeight="false" outlineLevel="0" collapsed="false">
      <c r="A206" s="19" t="n">
        <v>42919</v>
      </c>
      <c r="B206" s="20" t="n">
        <v>9615</v>
      </c>
    </row>
    <row r="207" customFormat="false" ht="15" hidden="false" customHeight="false" outlineLevel="0" collapsed="false">
      <c r="A207" s="19" t="n">
        <v>42920</v>
      </c>
      <c r="B207" s="20" t="n">
        <v>9613.3</v>
      </c>
    </row>
    <row r="208" customFormat="false" ht="15" hidden="false" customHeight="false" outlineLevel="0" collapsed="false">
      <c r="A208" s="19" t="n">
        <v>42921</v>
      </c>
      <c r="B208" s="20" t="n">
        <v>9637.6</v>
      </c>
    </row>
    <row r="209" customFormat="false" ht="15" hidden="false" customHeight="false" outlineLevel="0" collapsed="false">
      <c r="A209" s="19" t="n">
        <v>42922</v>
      </c>
      <c r="B209" s="20" t="n">
        <v>9674.55</v>
      </c>
    </row>
    <row r="210" customFormat="false" ht="15" hidden="false" customHeight="false" outlineLevel="0" collapsed="false">
      <c r="A210" s="19" t="n">
        <v>42923</v>
      </c>
      <c r="B210" s="20" t="n">
        <v>9665.8</v>
      </c>
    </row>
    <row r="211" customFormat="false" ht="15" hidden="false" customHeight="false" outlineLevel="0" collapsed="false">
      <c r="A211" s="19" t="n">
        <v>42926</v>
      </c>
      <c r="B211" s="20" t="n">
        <v>9771.05</v>
      </c>
    </row>
    <row r="212" customFormat="false" ht="15" hidden="false" customHeight="false" outlineLevel="0" collapsed="false">
      <c r="A212" s="19" t="n">
        <v>42927</v>
      </c>
      <c r="B212" s="20" t="n">
        <v>9786.05</v>
      </c>
    </row>
    <row r="213" customFormat="false" ht="15" hidden="false" customHeight="false" outlineLevel="0" collapsed="false">
      <c r="A213" s="19" t="n">
        <v>42928</v>
      </c>
      <c r="B213" s="20" t="n">
        <v>9816.1</v>
      </c>
    </row>
    <row r="214" customFormat="false" ht="15" hidden="false" customHeight="false" outlineLevel="0" collapsed="false">
      <c r="A214" s="19" t="n">
        <v>42929</v>
      </c>
      <c r="B214" s="20" t="n">
        <v>9891.7</v>
      </c>
    </row>
    <row r="215" customFormat="false" ht="15" hidden="false" customHeight="false" outlineLevel="0" collapsed="false">
      <c r="A215" s="19" t="n">
        <v>42930</v>
      </c>
      <c r="B215" s="20" t="n">
        <v>9886.35</v>
      </c>
    </row>
    <row r="216" customFormat="false" ht="15" hidden="false" customHeight="false" outlineLevel="0" collapsed="false">
      <c r="A216" s="19" t="n">
        <v>42933</v>
      </c>
      <c r="B216" s="20" t="n">
        <v>9915.95</v>
      </c>
    </row>
    <row r="217" customFormat="false" ht="15" hidden="false" customHeight="false" outlineLevel="0" collapsed="false">
      <c r="A217" s="19" t="n">
        <v>42934</v>
      </c>
      <c r="B217" s="20" t="n">
        <v>9827.15</v>
      </c>
    </row>
    <row r="218" customFormat="false" ht="15" hidden="false" customHeight="false" outlineLevel="0" collapsed="false">
      <c r="A218" s="19" t="n">
        <v>42935</v>
      </c>
      <c r="B218" s="20" t="n">
        <v>9899.6</v>
      </c>
    </row>
    <row r="219" customFormat="false" ht="15" hidden="false" customHeight="false" outlineLevel="0" collapsed="false">
      <c r="A219" s="19" t="n">
        <v>42936</v>
      </c>
      <c r="B219" s="20" t="n">
        <v>9873.3</v>
      </c>
    </row>
    <row r="220" customFormat="false" ht="15" hidden="false" customHeight="false" outlineLevel="0" collapsed="false">
      <c r="A220" s="19" t="n">
        <v>42937</v>
      </c>
      <c r="B220" s="20" t="n">
        <v>9915.25</v>
      </c>
    </row>
    <row r="221" customFormat="false" ht="15" hidden="false" customHeight="false" outlineLevel="0" collapsed="false">
      <c r="A221" s="19" t="n">
        <v>42940</v>
      </c>
      <c r="B221" s="20" t="n">
        <v>9966.4</v>
      </c>
    </row>
    <row r="222" customFormat="false" ht="15" hidden="false" customHeight="false" outlineLevel="0" collapsed="false">
      <c r="A222" s="19" t="n">
        <v>42941</v>
      </c>
      <c r="B222" s="20" t="n">
        <v>9964.55</v>
      </c>
    </row>
    <row r="223" customFormat="false" ht="15" hidden="false" customHeight="false" outlineLevel="0" collapsed="false">
      <c r="A223" s="19" t="n">
        <v>42942</v>
      </c>
      <c r="B223" s="20" t="n">
        <v>10020.65</v>
      </c>
    </row>
    <row r="224" customFormat="false" ht="15" hidden="false" customHeight="false" outlineLevel="0" collapsed="false">
      <c r="A224" s="19" t="n">
        <v>42943</v>
      </c>
      <c r="B224" s="20" t="n">
        <v>10020.55</v>
      </c>
    </row>
    <row r="225" customFormat="false" ht="15" hidden="false" customHeight="false" outlineLevel="0" collapsed="false">
      <c r="A225" s="19" t="n">
        <v>42944</v>
      </c>
      <c r="B225" s="20" t="n">
        <v>10014.5</v>
      </c>
    </row>
    <row r="226" customFormat="false" ht="15" hidden="false" customHeight="false" outlineLevel="0" collapsed="false">
      <c r="A226" s="19" t="n">
        <v>42947</v>
      </c>
      <c r="B226" s="20" t="n">
        <v>10077.1</v>
      </c>
    </row>
    <row r="227" customFormat="false" ht="15" hidden="false" customHeight="false" outlineLevel="0" collapsed="false">
      <c r="A227" s="19" t="n">
        <v>42948</v>
      </c>
      <c r="B227" s="20" t="n">
        <v>10114.65</v>
      </c>
    </row>
    <row r="228" customFormat="false" ht="15" hidden="false" customHeight="false" outlineLevel="0" collapsed="false">
      <c r="A228" s="19" t="n">
        <v>42949</v>
      </c>
      <c r="B228" s="20" t="n">
        <v>10081.5</v>
      </c>
    </row>
    <row r="229" customFormat="false" ht="15" hidden="false" customHeight="false" outlineLevel="0" collapsed="false">
      <c r="A229" s="19" t="n">
        <v>42950</v>
      </c>
      <c r="B229" s="20" t="n">
        <v>10013.65</v>
      </c>
    </row>
    <row r="230" customFormat="false" ht="15" hidden="false" customHeight="false" outlineLevel="0" collapsed="false">
      <c r="A230" s="19" t="n">
        <v>42951</v>
      </c>
      <c r="B230" s="20" t="n">
        <v>10066.4</v>
      </c>
    </row>
    <row r="231" customFormat="false" ht="15" hidden="false" customHeight="false" outlineLevel="0" collapsed="false">
      <c r="A231" s="19" t="n">
        <v>42954</v>
      </c>
      <c r="B231" s="20" t="n">
        <v>10057.4</v>
      </c>
    </row>
    <row r="232" customFormat="false" ht="15" hidden="false" customHeight="false" outlineLevel="0" collapsed="false">
      <c r="A232" s="19" t="n">
        <v>42955</v>
      </c>
      <c r="B232" s="20" t="n">
        <v>9978.55</v>
      </c>
    </row>
    <row r="233" customFormat="false" ht="15" hidden="false" customHeight="false" outlineLevel="0" collapsed="false">
      <c r="A233" s="19" t="n">
        <v>42956</v>
      </c>
      <c r="B233" s="20" t="n">
        <v>9908.05</v>
      </c>
    </row>
    <row r="234" customFormat="false" ht="15" hidden="false" customHeight="false" outlineLevel="0" collapsed="false">
      <c r="A234" s="19" t="n">
        <v>42957</v>
      </c>
      <c r="B234" s="20" t="n">
        <v>9820.25</v>
      </c>
    </row>
    <row r="235" customFormat="false" ht="15" hidden="false" customHeight="false" outlineLevel="0" collapsed="false">
      <c r="A235" s="19" t="n">
        <v>42958</v>
      </c>
      <c r="B235" s="20" t="n">
        <v>9710.8</v>
      </c>
    </row>
    <row r="236" customFormat="false" ht="15" hidden="false" customHeight="false" outlineLevel="0" collapsed="false">
      <c r="A236" s="19" t="n">
        <v>42961</v>
      </c>
      <c r="B236" s="20" t="n">
        <v>9794.15</v>
      </c>
    </row>
    <row r="237" customFormat="false" ht="15" hidden="false" customHeight="false" outlineLevel="0" collapsed="false">
      <c r="A237" s="19" t="n">
        <v>42963</v>
      </c>
      <c r="B237" s="20" t="n">
        <v>9897.3</v>
      </c>
    </row>
    <row r="238" customFormat="false" ht="15" hidden="false" customHeight="false" outlineLevel="0" collapsed="false">
      <c r="A238" s="19" t="n">
        <v>42964</v>
      </c>
      <c r="B238" s="20" t="n">
        <v>9904.15</v>
      </c>
    </row>
    <row r="239" customFormat="false" ht="15" hidden="false" customHeight="false" outlineLevel="0" collapsed="false">
      <c r="A239" s="19" t="n">
        <v>42965</v>
      </c>
      <c r="B239" s="20" t="n">
        <v>9837.4</v>
      </c>
    </row>
    <row r="240" customFormat="false" ht="15" hidden="false" customHeight="false" outlineLevel="0" collapsed="false">
      <c r="A240" s="19" t="n">
        <v>42968</v>
      </c>
      <c r="B240" s="20" t="n">
        <v>9754.35</v>
      </c>
    </row>
    <row r="241" customFormat="false" ht="15" hidden="false" customHeight="false" outlineLevel="0" collapsed="false">
      <c r="A241" s="19" t="n">
        <v>42969</v>
      </c>
      <c r="B241" s="20" t="n">
        <v>9765.55</v>
      </c>
    </row>
    <row r="242" customFormat="false" ht="15" hidden="false" customHeight="false" outlineLevel="0" collapsed="false">
      <c r="A242" s="19" t="n">
        <v>42970</v>
      </c>
      <c r="B242" s="20" t="n">
        <v>9852.5</v>
      </c>
    </row>
    <row r="243" customFormat="false" ht="15" hidden="false" customHeight="false" outlineLevel="0" collapsed="false">
      <c r="A243" s="19" t="n">
        <v>42971</v>
      </c>
      <c r="B243" s="20" t="n">
        <v>9857.05</v>
      </c>
    </row>
    <row r="244" customFormat="false" ht="15" hidden="false" customHeight="false" outlineLevel="0" collapsed="false">
      <c r="A244" s="19" t="n">
        <v>42975</v>
      </c>
      <c r="B244" s="20" t="n">
        <v>9912.8</v>
      </c>
    </row>
    <row r="245" customFormat="false" ht="15" hidden="false" customHeight="false" outlineLevel="0" collapsed="false">
      <c r="A245" s="19" t="n">
        <v>42976</v>
      </c>
      <c r="B245" s="20" t="n">
        <v>9796.05</v>
      </c>
    </row>
    <row r="246" customFormat="false" ht="15" hidden="false" customHeight="false" outlineLevel="0" collapsed="false">
      <c r="A246" s="19" t="n">
        <v>42977</v>
      </c>
      <c r="B246" s="20" t="n">
        <v>9884.4</v>
      </c>
    </row>
    <row r="247" customFormat="false" ht="15" hidden="false" customHeight="false" outlineLevel="0" collapsed="false">
      <c r="A247" s="19" t="n">
        <v>42978</v>
      </c>
      <c r="B247" s="20" t="n">
        <v>9917.9</v>
      </c>
    </row>
    <row r="248" customFormat="false" ht="15" hidden="false" customHeight="false" outlineLevel="0" collapsed="false">
      <c r="A248" s="19" t="n">
        <v>42979</v>
      </c>
      <c r="B248" s="20" t="n">
        <v>9974.4</v>
      </c>
    </row>
    <row r="249" customFormat="false" ht="15" hidden="false" customHeight="false" outlineLevel="0" collapsed="false">
      <c r="A249" s="19" t="n">
        <v>42982</v>
      </c>
      <c r="B249" s="20" t="n">
        <v>9912.85</v>
      </c>
    </row>
    <row r="250" customFormat="false" ht="15" hidden="false" customHeight="false" outlineLevel="0" collapsed="false">
      <c r="A250" s="19" t="n">
        <v>42983</v>
      </c>
      <c r="B250" s="20" t="n">
        <v>9952.2</v>
      </c>
    </row>
    <row r="251" customFormat="false" ht="15" hidden="false" customHeight="false" outlineLevel="0" collapsed="false">
      <c r="A251" s="19" t="n">
        <v>42984</v>
      </c>
      <c r="B251" s="20" t="n">
        <v>9916.2</v>
      </c>
    </row>
    <row r="252" customFormat="false" ht="15" hidden="false" customHeight="false" outlineLevel="0" collapsed="false">
      <c r="A252" s="19" t="n">
        <v>42985</v>
      </c>
      <c r="B252" s="20" t="n">
        <v>9929.9</v>
      </c>
    </row>
    <row r="253" customFormat="false" ht="15" hidden="false" customHeight="false" outlineLevel="0" collapsed="false">
      <c r="A253" s="19" t="n">
        <v>42986</v>
      </c>
      <c r="B253" s="20" t="n">
        <v>9934.8</v>
      </c>
    </row>
    <row r="254" customFormat="false" ht="15" hidden="false" customHeight="false" outlineLevel="0" collapsed="false">
      <c r="A254" s="19" t="n">
        <v>42989</v>
      </c>
      <c r="B254" s="20" t="n">
        <v>10006.05</v>
      </c>
    </row>
    <row r="255" customFormat="false" ht="15" hidden="false" customHeight="false" outlineLevel="0" collapsed="false">
      <c r="A255" s="19" t="n">
        <v>42990</v>
      </c>
      <c r="B255" s="20" t="n">
        <v>10093.05</v>
      </c>
    </row>
    <row r="256" customFormat="false" ht="15" hidden="false" customHeight="false" outlineLevel="0" collapsed="false">
      <c r="A256" s="19" t="n">
        <v>42991</v>
      </c>
      <c r="B256" s="20" t="n">
        <v>10079.3</v>
      </c>
    </row>
    <row r="257" customFormat="false" ht="15" hidden="false" customHeight="false" outlineLevel="0" collapsed="false">
      <c r="A257" s="19" t="n">
        <v>42992</v>
      </c>
      <c r="B257" s="20" t="n">
        <v>10086.6</v>
      </c>
    </row>
    <row r="258" customFormat="false" ht="15" hidden="false" customHeight="false" outlineLevel="0" collapsed="false">
      <c r="A258" s="19" t="n">
        <v>42993</v>
      </c>
      <c r="B258" s="20" t="n">
        <v>10085.4</v>
      </c>
    </row>
    <row r="259" customFormat="false" ht="15" hidden="false" customHeight="false" outlineLevel="0" collapsed="false">
      <c r="A259" s="19" t="n">
        <v>42996</v>
      </c>
      <c r="B259" s="20" t="n">
        <v>10153.1</v>
      </c>
    </row>
    <row r="260" customFormat="false" ht="15" hidden="false" customHeight="false" outlineLevel="0" collapsed="false">
      <c r="A260" s="19" t="n">
        <v>42997</v>
      </c>
      <c r="B260" s="20" t="n">
        <v>10147.55</v>
      </c>
    </row>
    <row r="261" customFormat="false" ht="15" hidden="false" customHeight="false" outlineLevel="0" collapsed="false">
      <c r="A261" s="19" t="n">
        <v>42998</v>
      </c>
      <c r="B261" s="20" t="n">
        <v>10141.15</v>
      </c>
    </row>
    <row r="262" customFormat="false" ht="15" hidden="false" customHeight="false" outlineLevel="0" collapsed="false">
      <c r="A262" s="19" t="n">
        <v>42999</v>
      </c>
      <c r="B262" s="20" t="n">
        <v>10121.9</v>
      </c>
    </row>
    <row r="263" customFormat="false" ht="15" hidden="false" customHeight="false" outlineLevel="0" collapsed="false">
      <c r="A263" s="19" t="n">
        <v>43000</v>
      </c>
      <c r="B263" s="20" t="n">
        <v>9964.4</v>
      </c>
    </row>
    <row r="264" customFormat="false" ht="15" hidden="false" customHeight="false" outlineLevel="0" collapsed="false">
      <c r="A264" s="19" t="n">
        <v>43003</v>
      </c>
      <c r="B264" s="20" t="n">
        <v>9872.6</v>
      </c>
    </row>
    <row r="265" customFormat="false" ht="15" hidden="false" customHeight="false" outlineLevel="0" collapsed="false">
      <c r="A265" s="19" t="n">
        <v>43004</v>
      </c>
      <c r="B265" s="20" t="n">
        <v>9871.5</v>
      </c>
    </row>
    <row r="266" customFormat="false" ht="15" hidden="false" customHeight="false" outlineLevel="0" collapsed="false">
      <c r="A266" s="19" t="n">
        <v>43005</v>
      </c>
      <c r="B266" s="20" t="n">
        <v>9735.75</v>
      </c>
    </row>
    <row r="267" customFormat="false" ht="15" hidden="false" customHeight="false" outlineLevel="0" collapsed="false">
      <c r="A267" s="19" t="n">
        <v>43006</v>
      </c>
      <c r="B267" s="20" t="n">
        <v>9768.95</v>
      </c>
    </row>
    <row r="268" customFormat="false" ht="15" hidden="false" customHeight="false" outlineLevel="0" collapsed="false">
      <c r="A268" s="19" t="n">
        <v>43007</v>
      </c>
      <c r="B268" s="20" t="n">
        <v>9788.6</v>
      </c>
    </row>
    <row r="269" customFormat="false" ht="15" hidden="false" customHeight="false" outlineLevel="0" collapsed="false">
      <c r="A269" s="19" t="n">
        <v>43011</v>
      </c>
      <c r="B269" s="20" t="n">
        <v>9859.5</v>
      </c>
    </row>
    <row r="270" customFormat="false" ht="15" hidden="false" customHeight="false" outlineLevel="0" collapsed="false">
      <c r="A270" s="19" t="n">
        <v>43012</v>
      </c>
      <c r="B270" s="20" t="n">
        <v>9914.9</v>
      </c>
    </row>
    <row r="271" customFormat="false" ht="15" hidden="false" customHeight="false" outlineLevel="0" collapsed="false">
      <c r="A271" s="19" t="n">
        <v>43013</v>
      </c>
      <c r="B271" s="20" t="n">
        <v>9888.7</v>
      </c>
    </row>
    <row r="272" customFormat="false" ht="15" hidden="false" customHeight="false" outlineLevel="0" collapsed="false">
      <c r="A272" s="19" t="n">
        <v>43014</v>
      </c>
      <c r="B272" s="20" t="n">
        <v>9979.7</v>
      </c>
    </row>
    <row r="273" customFormat="false" ht="15" hidden="false" customHeight="false" outlineLevel="0" collapsed="false">
      <c r="A273" s="19" t="n">
        <v>43017</v>
      </c>
      <c r="B273" s="20" t="n">
        <v>9988.75</v>
      </c>
    </row>
    <row r="274" customFormat="false" ht="15" hidden="false" customHeight="false" outlineLevel="0" collapsed="false">
      <c r="A274" s="19" t="n">
        <v>43018</v>
      </c>
      <c r="B274" s="20" t="n">
        <v>10016.95</v>
      </c>
    </row>
    <row r="275" customFormat="false" ht="15" hidden="false" customHeight="false" outlineLevel="0" collapsed="false">
      <c r="A275" s="19" t="n">
        <v>43019</v>
      </c>
      <c r="B275" s="20" t="n">
        <v>9984.8</v>
      </c>
    </row>
    <row r="276" customFormat="false" ht="15" hidden="false" customHeight="false" outlineLevel="0" collapsed="false">
      <c r="A276" s="19" t="n">
        <v>43020</v>
      </c>
      <c r="B276" s="20" t="n">
        <v>10096.4</v>
      </c>
    </row>
    <row r="277" customFormat="false" ht="15" hidden="false" customHeight="false" outlineLevel="0" collapsed="false">
      <c r="A277" s="19" t="n">
        <v>43021</v>
      </c>
      <c r="B277" s="20" t="n">
        <v>10167.45</v>
      </c>
    </row>
    <row r="278" customFormat="false" ht="15" hidden="false" customHeight="false" outlineLevel="0" collapsed="false">
      <c r="A278" s="19" t="n">
        <v>43024</v>
      </c>
      <c r="B278" s="20" t="n">
        <v>10230.85</v>
      </c>
    </row>
    <row r="279" customFormat="false" ht="15" hidden="false" customHeight="false" outlineLevel="0" collapsed="false">
      <c r="A279" s="19" t="n">
        <v>43025</v>
      </c>
      <c r="B279" s="20" t="n">
        <v>10234.45</v>
      </c>
    </row>
    <row r="280" customFormat="false" ht="15" hidden="false" customHeight="false" outlineLevel="0" collapsed="false">
      <c r="A280" s="19" t="n">
        <v>43026</v>
      </c>
      <c r="B280" s="20" t="n">
        <v>10210.85</v>
      </c>
    </row>
    <row r="281" customFormat="false" ht="15" hidden="false" customHeight="false" outlineLevel="0" collapsed="false">
      <c r="A281" s="19" t="n">
        <v>43027</v>
      </c>
      <c r="B281" s="20" t="n">
        <v>10146.55</v>
      </c>
    </row>
    <row r="282" customFormat="false" ht="15" hidden="false" customHeight="false" outlineLevel="0" collapsed="false">
      <c r="A282" s="19" t="n">
        <v>43031</v>
      </c>
      <c r="B282" s="20" t="n">
        <v>10184.85</v>
      </c>
    </row>
    <row r="283" customFormat="false" ht="15" hidden="false" customHeight="false" outlineLevel="0" collapsed="false">
      <c r="A283" s="19" t="n">
        <v>43032</v>
      </c>
      <c r="B283" s="20" t="n">
        <v>10207.7</v>
      </c>
    </row>
    <row r="284" customFormat="false" ht="15" hidden="false" customHeight="false" outlineLevel="0" collapsed="false">
      <c r="A284" s="19" t="n">
        <v>43033</v>
      </c>
      <c r="B284" s="20" t="n">
        <v>10295.35</v>
      </c>
    </row>
    <row r="285" customFormat="false" ht="15" hidden="false" customHeight="false" outlineLevel="0" collapsed="false">
      <c r="A285" s="19" t="n">
        <v>43034</v>
      </c>
      <c r="B285" s="20" t="n">
        <v>10343.8</v>
      </c>
    </row>
    <row r="286" customFormat="false" ht="15" hidden="false" customHeight="false" outlineLevel="0" collapsed="false">
      <c r="A286" s="19" t="n">
        <v>43035</v>
      </c>
      <c r="B286" s="20" t="n">
        <v>10323.05</v>
      </c>
    </row>
    <row r="287" customFormat="false" ht="15" hidden="false" customHeight="false" outlineLevel="0" collapsed="false">
      <c r="A287" s="19" t="n">
        <v>43038</v>
      </c>
      <c r="B287" s="20" t="n">
        <v>10363.65</v>
      </c>
    </row>
    <row r="288" customFormat="false" ht="15" hidden="false" customHeight="false" outlineLevel="0" collapsed="false">
      <c r="A288" s="19" t="n">
        <v>43039</v>
      </c>
      <c r="B288" s="20" t="n">
        <v>10335.3</v>
      </c>
    </row>
    <row r="289" customFormat="false" ht="15" hidden="false" customHeight="false" outlineLevel="0" collapsed="false">
      <c r="A289" s="19" t="n">
        <v>43040</v>
      </c>
      <c r="B289" s="20" t="n">
        <v>10440.5</v>
      </c>
    </row>
    <row r="290" customFormat="false" ht="15" hidden="false" customHeight="false" outlineLevel="0" collapsed="false">
      <c r="A290" s="19" t="n">
        <v>43041</v>
      </c>
      <c r="B290" s="20" t="n">
        <v>10423.8</v>
      </c>
    </row>
    <row r="291" customFormat="false" ht="15" hidden="false" customHeight="false" outlineLevel="0" collapsed="false">
      <c r="A291" s="19" t="n">
        <v>43042</v>
      </c>
      <c r="B291" s="20" t="n">
        <v>10452.5</v>
      </c>
    </row>
    <row r="292" customFormat="false" ht="15" hidden="false" customHeight="false" outlineLevel="0" collapsed="false">
      <c r="A292" s="19" t="n">
        <v>43045</v>
      </c>
      <c r="B292" s="20" t="n">
        <v>10451.8</v>
      </c>
    </row>
    <row r="293" customFormat="false" ht="15" hidden="false" customHeight="false" outlineLevel="0" collapsed="false">
      <c r="A293" s="19" t="n">
        <v>43046</v>
      </c>
      <c r="B293" s="20" t="n">
        <v>10350.15</v>
      </c>
    </row>
    <row r="294" customFormat="false" ht="15" hidden="false" customHeight="false" outlineLevel="0" collapsed="false">
      <c r="A294" s="19" t="n">
        <v>43047</v>
      </c>
      <c r="B294" s="20" t="n">
        <v>10303.15</v>
      </c>
    </row>
    <row r="295" customFormat="false" ht="15" hidden="false" customHeight="false" outlineLevel="0" collapsed="false">
      <c r="A295" s="19" t="n">
        <v>43048</v>
      </c>
      <c r="B295" s="20" t="n">
        <v>10308.95</v>
      </c>
    </row>
    <row r="296" customFormat="false" ht="15" hidden="false" customHeight="false" outlineLevel="0" collapsed="false">
      <c r="A296" s="19" t="n">
        <v>43049</v>
      </c>
      <c r="B296" s="20" t="n">
        <v>10321.75</v>
      </c>
    </row>
    <row r="297" customFormat="false" ht="15" hidden="false" customHeight="false" outlineLevel="0" collapsed="false">
      <c r="A297" s="19" t="n">
        <v>43052</v>
      </c>
      <c r="B297" s="20" t="n">
        <v>10224.95</v>
      </c>
    </row>
    <row r="298" customFormat="false" ht="15" hidden="false" customHeight="false" outlineLevel="0" collapsed="false">
      <c r="A298" s="19" t="n">
        <v>43053</v>
      </c>
      <c r="B298" s="20" t="n">
        <v>10186.6</v>
      </c>
    </row>
    <row r="299" customFormat="false" ht="15" hidden="false" customHeight="false" outlineLevel="0" collapsed="false">
      <c r="A299" s="19" t="n">
        <v>43054</v>
      </c>
      <c r="B299" s="20" t="n">
        <v>10118.05</v>
      </c>
    </row>
    <row r="300" customFormat="false" ht="15" hidden="false" customHeight="false" outlineLevel="0" collapsed="false">
      <c r="A300" s="19" t="n">
        <v>43055</v>
      </c>
      <c r="B300" s="20" t="n">
        <v>10214.75</v>
      </c>
    </row>
    <row r="301" customFormat="false" ht="15" hidden="false" customHeight="false" outlineLevel="0" collapsed="false">
      <c r="A301" s="19" t="n">
        <v>43056</v>
      </c>
      <c r="B301" s="20" t="n">
        <v>10283.6</v>
      </c>
    </row>
    <row r="302" customFormat="false" ht="15" hidden="false" customHeight="false" outlineLevel="0" collapsed="false">
      <c r="A302" s="19" t="n">
        <v>43059</v>
      </c>
      <c r="B302" s="20" t="n">
        <v>10298.75</v>
      </c>
    </row>
    <row r="303" customFormat="false" ht="15" hidden="false" customHeight="false" outlineLevel="0" collapsed="false">
      <c r="A303" s="19" t="n">
        <v>43060</v>
      </c>
      <c r="B303" s="20" t="n">
        <v>10326.9</v>
      </c>
    </row>
    <row r="304" customFormat="false" ht="15" hidden="false" customHeight="false" outlineLevel="0" collapsed="false">
      <c r="A304" s="19" t="n">
        <v>43061</v>
      </c>
      <c r="B304" s="20" t="n">
        <v>10342.3</v>
      </c>
    </row>
    <row r="305" customFormat="false" ht="15" hidden="false" customHeight="false" outlineLevel="0" collapsed="false">
      <c r="A305" s="19" t="n">
        <v>43062</v>
      </c>
      <c r="B305" s="20" t="n">
        <v>10348.75</v>
      </c>
    </row>
    <row r="306" customFormat="false" ht="15" hidden="false" customHeight="false" outlineLevel="0" collapsed="false">
      <c r="A306" s="19" t="n">
        <v>43063</v>
      </c>
      <c r="B306" s="20" t="n">
        <v>10389.7</v>
      </c>
    </row>
    <row r="307" customFormat="false" ht="15" hidden="false" customHeight="false" outlineLevel="0" collapsed="false">
      <c r="A307" s="19" t="n">
        <v>43066</v>
      </c>
      <c r="B307" s="20" t="n">
        <v>10399.55</v>
      </c>
    </row>
    <row r="308" customFormat="false" ht="15" hidden="false" customHeight="false" outlineLevel="0" collapsed="false">
      <c r="A308" s="19" t="n">
        <v>43067</v>
      </c>
      <c r="B308" s="20" t="n">
        <v>10370.25</v>
      </c>
    </row>
    <row r="309" customFormat="false" ht="15" hidden="false" customHeight="false" outlineLevel="0" collapsed="false">
      <c r="A309" s="19" t="n">
        <v>43068</v>
      </c>
      <c r="B309" s="20" t="n">
        <v>10361.3</v>
      </c>
    </row>
    <row r="310" customFormat="false" ht="15" hidden="false" customHeight="false" outlineLevel="0" collapsed="false">
      <c r="A310" s="19" t="n">
        <v>43069</v>
      </c>
      <c r="B310" s="20" t="n">
        <v>10226.55</v>
      </c>
    </row>
    <row r="311" customFormat="false" ht="15" hidden="false" customHeight="false" outlineLevel="0" collapsed="false">
      <c r="A311" s="19" t="n">
        <v>43070</v>
      </c>
      <c r="B311" s="20" t="n">
        <v>10121.8</v>
      </c>
    </row>
    <row r="312" customFormat="false" ht="15" hidden="false" customHeight="false" outlineLevel="0" collapsed="false">
      <c r="A312" s="19" t="n">
        <v>43073</v>
      </c>
      <c r="B312" s="20" t="n">
        <v>10127.75</v>
      </c>
    </row>
    <row r="313" customFormat="false" ht="15" hidden="false" customHeight="false" outlineLevel="0" collapsed="false">
      <c r="A313" s="19" t="n">
        <v>43074</v>
      </c>
      <c r="B313" s="20" t="n">
        <v>10118.25</v>
      </c>
    </row>
    <row r="314" customFormat="false" ht="15" hidden="false" customHeight="false" outlineLevel="0" collapsed="false">
      <c r="A314" s="19" t="n">
        <v>43075</v>
      </c>
      <c r="B314" s="20" t="n">
        <v>10044.1</v>
      </c>
    </row>
    <row r="315" customFormat="false" ht="15" hidden="false" customHeight="false" outlineLevel="0" collapsed="false">
      <c r="A315" s="19" t="n">
        <v>43076</v>
      </c>
      <c r="B315" s="20" t="n">
        <v>10166.7</v>
      </c>
    </row>
    <row r="316" customFormat="false" ht="15" hidden="false" customHeight="false" outlineLevel="0" collapsed="false">
      <c r="A316" s="19" t="n">
        <v>43077</v>
      </c>
      <c r="B316" s="20" t="n">
        <v>10265.65</v>
      </c>
    </row>
    <row r="317" customFormat="false" ht="15" hidden="false" customHeight="false" outlineLevel="0" collapsed="false">
      <c r="A317" s="19" t="n">
        <v>43080</v>
      </c>
      <c r="B317" s="20" t="n">
        <v>10322.25</v>
      </c>
    </row>
    <row r="318" customFormat="false" ht="15" hidden="false" customHeight="false" outlineLevel="0" collapsed="false">
      <c r="A318" s="19" t="n">
        <v>43081</v>
      </c>
      <c r="B318" s="20" t="n">
        <v>10240.15</v>
      </c>
    </row>
    <row r="319" customFormat="false" ht="15" hidden="false" customHeight="false" outlineLevel="0" collapsed="false">
      <c r="A319" s="19" t="n">
        <v>43082</v>
      </c>
      <c r="B319" s="20" t="n">
        <v>10192.95</v>
      </c>
    </row>
    <row r="320" customFormat="false" ht="15" hidden="false" customHeight="false" outlineLevel="0" collapsed="false">
      <c r="A320" s="19" t="n">
        <v>43083</v>
      </c>
      <c r="B320" s="20" t="n">
        <v>10252.1</v>
      </c>
    </row>
    <row r="321" customFormat="false" ht="15" hidden="false" customHeight="false" outlineLevel="0" collapsed="false">
      <c r="A321" s="19" t="n">
        <v>43084</v>
      </c>
      <c r="B321" s="20" t="n">
        <v>10333.25</v>
      </c>
    </row>
    <row r="322" customFormat="false" ht="15" hidden="false" customHeight="false" outlineLevel="0" collapsed="false">
      <c r="A322" s="19" t="n">
        <v>43087</v>
      </c>
      <c r="B322" s="20" t="n">
        <v>10388.75</v>
      </c>
    </row>
    <row r="323" customFormat="false" ht="15" hidden="false" customHeight="false" outlineLevel="0" collapsed="false">
      <c r="A323" s="19" t="n">
        <v>43088</v>
      </c>
      <c r="B323" s="20" t="n">
        <v>10463.2</v>
      </c>
    </row>
    <row r="324" customFormat="false" ht="15" hidden="false" customHeight="false" outlineLevel="0" collapsed="false">
      <c r="A324" s="19" t="n">
        <v>43089</v>
      </c>
      <c r="B324" s="20" t="n">
        <v>10444.2</v>
      </c>
    </row>
    <row r="325" customFormat="false" ht="15" hidden="false" customHeight="false" outlineLevel="0" collapsed="false">
      <c r="A325" s="19" t="n">
        <v>43090</v>
      </c>
      <c r="B325" s="20" t="n">
        <v>10440.3</v>
      </c>
    </row>
    <row r="326" customFormat="false" ht="15" hidden="false" customHeight="false" outlineLevel="0" collapsed="false">
      <c r="A326" s="19" t="n">
        <v>43091</v>
      </c>
      <c r="B326" s="20" t="n">
        <v>10493</v>
      </c>
    </row>
    <row r="327" customFormat="false" ht="15" hidden="false" customHeight="false" outlineLevel="0" collapsed="false">
      <c r="A327" s="19" t="n">
        <v>43095</v>
      </c>
      <c r="B327" s="20" t="n">
        <v>10531.5</v>
      </c>
    </row>
    <row r="328" customFormat="false" ht="15" hidden="false" customHeight="false" outlineLevel="0" collapsed="false">
      <c r="A328" s="19" t="n">
        <v>43096</v>
      </c>
      <c r="B328" s="20" t="n">
        <v>10490.75</v>
      </c>
    </row>
    <row r="329" customFormat="false" ht="15" hidden="false" customHeight="false" outlineLevel="0" collapsed="false">
      <c r="A329" s="19" t="n">
        <v>43097</v>
      </c>
      <c r="B329" s="20" t="n">
        <v>10477.9</v>
      </c>
    </row>
    <row r="330" customFormat="false" ht="15" hidden="false" customHeight="false" outlineLevel="0" collapsed="false">
      <c r="A330" s="19" t="n">
        <v>43098</v>
      </c>
      <c r="B330" s="20" t="n">
        <v>10530.7</v>
      </c>
    </row>
    <row r="331" customFormat="false" ht="15" hidden="false" customHeight="false" outlineLevel="0" collapsed="false">
      <c r="A331" s="19" t="n">
        <v>43102</v>
      </c>
      <c r="B331" s="20" t="n">
        <v>10442.2</v>
      </c>
    </row>
    <row r="332" customFormat="false" ht="15" hidden="false" customHeight="false" outlineLevel="0" collapsed="false">
      <c r="A332" s="19" t="n">
        <v>43103</v>
      </c>
      <c r="B332" s="20" t="n">
        <v>10443.2</v>
      </c>
    </row>
    <row r="333" customFormat="false" ht="15" hidden="false" customHeight="false" outlineLevel="0" collapsed="false">
      <c r="A333" s="19" t="n">
        <v>43104</v>
      </c>
      <c r="B333" s="20" t="n">
        <v>10504.8</v>
      </c>
    </row>
    <row r="334" customFormat="false" ht="15" hidden="false" customHeight="false" outlineLevel="0" collapsed="false">
      <c r="A334" s="19" t="n">
        <v>43105</v>
      </c>
      <c r="B334" s="20" t="n">
        <v>10558.85</v>
      </c>
    </row>
    <row r="335" customFormat="false" ht="15" hidden="false" customHeight="false" outlineLevel="0" collapsed="false">
      <c r="A335" s="19" t="n">
        <v>43108</v>
      </c>
      <c r="B335" s="20" t="n">
        <v>10623.6</v>
      </c>
    </row>
    <row r="336" customFormat="false" ht="15" hidden="false" customHeight="false" outlineLevel="0" collapsed="false">
      <c r="A336" s="19" t="n">
        <v>43109</v>
      </c>
      <c r="B336" s="20" t="n">
        <v>10637</v>
      </c>
    </row>
    <row r="337" customFormat="false" ht="15" hidden="false" customHeight="false" outlineLevel="0" collapsed="false">
      <c r="A337" s="19" t="n">
        <v>43110</v>
      </c>
      <c r="B337" s="20" t="n">
        <v>10632.2</v>
      </c>
    </row>
    <row r="338" customFormat="false" ht="15" hidden="false" customHeight="false" outlineLevel="0" collapsed="false">
      <c r="A338" s="19" t="n">
        <v>43111</v>
      </c>
      <c r="B338" s="20" t="n">
        <v>10651.2</v>
      </c>
    </row>
    <row r="339" customFormat="false" ht="15" hidden="false" customHeight="false" outlineLevel="0" collapsed="false">
      <c r="A339" s="19" t="n">
        <v>43112</v>
      </c>
      <c r="B339" s="20" t="n">
        <v>10681.25</v>
      </c>
    </row>
    <row r="340" customFormat="false" ht="15" hidden="false" customHeight="false" outlineLevel="0" collapsed="false">
      <c r="A340" s="19" t="n">
        <v>43115</v>
      </c>
      <c r="B340" s="20" t="n">
        <v>10741.55</v>
      </c>
    </row>
    <row r="341" customFormat="false" ht="15" hidden="false" customHeight="false" outlineLevel="0" collapsed="false">
      <c r="A341" s="19" t="n">
        <v>43116</v>
      </c>
      <c r="B341" s="20" t="n">
        <v>10700.45</v>
      </c>
    </row>
    <row r="342" customFormat="false" ht="15" hidden="false" customHeight="false" outlineLevel="0" collapsed="false">
      <c r="A342" s="19" t="n">
        <v>43117</v>
      </c>
      <c r="B342" s="20" t="n">
        <v>10788.55</v>
      </c>
    </row>
    <row r="343" customFormat="false" ht="15" hidden="false" customHeight="false" outlineLevel="0" collapsed="false">
      <c r="A343" s="19" t="n">
        <v>43118</v>
      </c>
      <c r="B343" s="20" t="n">
        <v>10817</v>
      </c>
    </row>
    <row r="344" customFormat="false" ht="15" hidden="false" customHeight="false" outlineLevel="0" collapsed="false">
      <c r="A344" s="19" t="n">
        <v>43119</v>
      </c>
      <c r="B344" s="20" t="n">
        <v>10894.7</v>
      </c>
    </row>
    <row r="345" customFormat="false" ht="15" hidden="false" customHeight="false" outlineLevel="0" collapsed="false">
      <c r="A345" s="19" t="n">
        <v>43122</v>
      </c>
      <c r="B345" s="20" t="n">
        <v>10966.2</v>
      </c>
    </row>
    <row r="346" customFormat="false" ht="15" hidden="false" customHeight="false" outlineLevel="0" collapsed="false">
      <c r="A346" s="19" t="n">
        <v>43123</v>
      </c>
      <c r="B346" s="20" t="n">
        <v>11083.7</v>
      </c>
    </row>
    <row r="347" customFormat="false" ht="15" hidden="false" customHeight="false" outlineLevel="0" collapsed="false">
      <c r="A347" s="19" t="n">
        <v>43124</v>
      </c>
      <c r="B347" s="20" t="n">
        <v>11086</v>
      </c>
    </row>
    <row r="348" customFormat="false" ht="15" hidden="false" customHeight="false" outlineLevel="0" collapsed="false">
      <c r="A348" s="19" t="n">
        <v>43125</v>
      </c>
      <c r="B348" s="20" t="n">
        <v>11069.65</v>
      </c>
    </row>
    <row r="349" customFormat="false" ht="15" hidden="false" customHeight="false" outlineLevel="0" collapsed="false">
      <c r="A349" s="19" t="n">
        <v>43129</v>
      </c>
      <c r="B349" s="20" t="n">
        <v>11130.4</v>
      </c>
    </row>
    <row r="350" customFormat="false" ht="15" hidden="false" customHeight="false" outlineLevel="0" collapsed="false">
      <c r="A350" s="19" t="n">
        <v>43130</v>
      </c>
      <c r="B350" s="20" t="n">
        <v>11049.65</v>
      </c>
    </row>
    <row r="351" customFormat="false" ht="15" hidden="false" customHeight="false" outlineLevel="0" collapsed="false">
      <c r="A351" s="19" t="n">
        <v>43131</v>
      </c>
      <c r="B351" s="20" t="n">
        <v>11027.7</v>
      </c>
    </row>
    <row r="352" customFormat="false" ht="15" hidden="false" customHeight="false" outlineLevel="0" collapsed="false">
      <c r="A352" s="19" t="n">
        <v>43132</v>
      </c>
      <c r="B352" s="20" t="n">
        <v>11016.9</v>
      </c>
    </row>
    <row r="353" customFormat="false" ht="15" hidden="false" customHeight="false" outlineLevel="0" collapsed="false">
      <c r="A353" s="19" t="n">
        <v>43133</v>
      </c>
      <c r="B353" s="20" t="n">
        <v>10760.6</v>
      </c>
    </row>
    <row r="354" customFormat="false" ht="15" hidden="false" customHeight="false" outlineLevel="0" collapsed="false">
      <c r="A354" s="19" t="n">
        <v>43136</v>
      </c>
      <c r="B354" s="20" t="n">
        <v>10666.55</v>
      </c>
    </row>
    <row r="355" customFormat="false" ht="15" hidden="false" customHeight="false" outlineLevel="0" collapsed="false">
      <c r="A355" s="19" t="n">
        <v>43137</v>
      </c>
      <c r="B355" s="20" t="n">
        <v>10498.25</v>
      </c>
    </row>
    <row r="356" customFormat="false" ht="15" hidden="false" customHeight="false" outlineLevel="0" collapsed="false">
      <c r="A356" s="19" t="n">
        <v>43138</v>
      </c>
      <c r="B356" s="20" t="n">
        <v>10476.7</v>
      </c>
    </row>
    <row r="357" customFormat="false" ht="15" hidden="false" customHeight="false" outlineLevel="0" collapsed="false">
      <c r="A357" s="19" t="n">
        <v>43139</v>
      </c>
      <c r="B357" s="20" t="n">
        <v>10576.85</v>
      </c>
    </row>
    <row r="358" customFormat="false" ht="15" hidden="false" customHeight="false" outlineLevel="0" collapsed="false">
      <c r="A358" s="19" t="n">
        <v>43140</v>
      </c>
      <c r="B358" s="20" t="n">
        <v>10454.95</v>
      </c>
    </row>
    <row r="359" customFormat="false" ht="15" hidden="false" customHeight="false" outlineLevel="0" collapsed="false">
      <c r="A359" s="19" t="n">
        <v>43143</v>
      </c>
      <c r="B359" s="20" t="n">
        <v>10539.75</v>
      </c>
    </row>
    <row r="360" customFormat="false" ht="15" hidden="false" customHeight="false" outlineLevel="0" collapsed="false">
      <c r="A360" s="19" t="n">
        <v>43145</v>
      </c>
      <c r="B360" s="20" t="n">
        <v>10500.9</v>
      </c>
    </row>
    <row r="361" customFormat="false" ht="15" hidden="false" customHeight="false" outlineLevel="0" collapsed="false">
      <c r="A361" s="19" t="n">
        <v>43146</v>
      </c>
      <c r="B361" s="20" t="n">
        <v>10545.5</v>
      </c>
    </row>
    <row r="362" customFormat="false" ht="15" hidden="false" customHeight="false" outlineLevel="0" collapsed="false">
      <c r="A362" s="19" t="n">
        <v>43147</v>
      </c>
      <c r="B362" s="20" t="n">
        <v>10452.3</v>
      </c>
    </row>
    <row r="363" customFormat="false" ht="15" hidden="false" customHeight="false" outlineLevel="0" collapsed="false">
      <c r="A363" s="19" t="n">
        <v>43150</v>
      </c>
      <c r="B363" s="20" t="n">
        <v>10378.4</v>
      </c>
    </row>
    <row r="364" customFormat="false" ht="15" hidden="false" customHeight="false" outlineLevel="0" collapsed="false">
      <c r="A364" s="19" t="n">
        <v>43151</v>
      </c>
      <c r="B364" s="20" t="n">
        <v>10360.4</v>
      </c>
    </row>
    <row r="365" customFormat="false" ht="15" hidden="false" customHeight="false" outlineLevel="0" collapsed="false">
      <c r="A365" s="19" t="n">
        <v>43152</v>
      </c>
      <c r="B365" s="20" t="n">
        <v>10397.45</v>
      </c>
    </row>
    <row r="366" customFormat="false" ht="15" hidden="false" customHeight="false" outlineLevel="0" collapsed="false">
      <c r="A366" s="19" t="n">
        <v>43153</v>
      </c>
      <c r="B366" s="20" t="n">
        <v>10382.7</v>
      </c>
    </row>
    <row r="367" customFormat="false" ht="15" hidden="false" customHeight="false" outlineLevel="0" collapsed="false">
      <c r="A367" s="19" t="n">
        <v>43154</v>
      </c>
      <c r="B367" s="20" t="n">
        <v>10491.05</v>
      </c>
    </row>
    <row r="368" customFormat="false" ht="15" hidden="false" customHeight="false" outlineLevel="0" collapsed="false">
      <c r="A368" s="19" t="n">
        <v>43157</v>
      </c>
      <c r="B368" s="20" t="n">
        <v>10582.6</v>
      </c>
    </row>
    <row r="369" customFormat="false" ht="15" hidden="false" customHeight="false" outlineLevel="0" collapsed="false">
      <c r="A369" s="19" t="n">
        <v>43158</v>
      </c>
      <c r="B369" s="20" t="n">
        <v>10554.3</v>
      </c>
    </row>
    <row r="370" customFormat="false" ht="15" hidden="false" customHeight="false" outlineLevel="0" collapsed="false">
      <c r="A370" s="19" t="n">
        <v>43159</v>
      </c>
      <c r="B370" s="20" t="n">
        <v>10492.85</v>
      </c>
    </row>
    <row r="371" customFormat="false" ht="15" hidden="false" customHeight="false" outlineLevel="0" collapsed="false">
      <c r="A371" s="19" t="n">
        <v>43160</v>
      </c>
      <c r="B371" s="20" t="n">
        <v>10458.35</v>
      </c>
    </row>
    <row r="372" customFormat="false" ht="15" hidden="false" customHeight="false" outlineLevel="0" collapsed="false">
      <c r="A372" s="19" t="n">
        <v>43164</v>
      </c>
      <c r="B372" s="20" t="n">
        <v>10358.85</v>
      </c>
    </row>
    <row r="373" customFormat="false" ht="15" hidden="false" customHeight="false" outlineLevel="0" collapsed="false">
      <c r="A373" s="19" t="n">
        <v>43165</v>
      </c>
      <c r="B373" s="20" t="n">
        <v>10249.25</v>
      </c>
    </row>
    <row r="374" customFormat="false" ht="15" hidden="false" customHeight="false" outlineLevel="0" collapsed="false">
      <c r="A374" s="19" t="n">
        <v>43166</v>
      </c>
      <c r="B374" s="20" t="n">
        <v>10154.2</v>
      </c>
    </row>
    <row r="375" customFormat="false" ht="15" hidden="false" customHeight="false" outlineLevel="0" collapsed="false">
      <c r="A375" s="19" t="n">
        <v>43167</v>
      </c>
      <c r="B375" s="20" t="n">
        <v>10242.65</v>
      </c>
    </row>
    <row r="376" customFormat="false" ht="15" hidden="false" customHeight="false" outlineLevel="0" collapsed="false">
      <c r="A376" s="19" t="n">
        <v>43168</v>
      </c>
      <c r="B376" s="20" t="n">
        <v>10226.85</v>
      </c>
    </row>
    <row r="377" customFormat="false" ht="15" hidden="false" customHeight="false" outlineLevel="0" collapsed="false">
      <c r="A377" s="19" t="n">
        <v>43171</v>
      </c>
      <c r="B377" s="20" t="n">
        <v>10421.4</v>
      </c>
    </row>
    <row r="378" customFormat="false" ht="15" hidden="false" customHeight="false" outlineLevel="0" collapsed="false">
      <c r="A378" s="19" t="n">
        <v>43172</v>
      </c>
      <c r="B378" s="20" t="n">
        <v>10426.85</v>
      </c>
    </row>
    <row r="379" customFormat="false" ht="15" hidden="false" customHeight="false" outlineLevel="0" collapsed="false">
      <c r="A379" s="19" t="n">
        <v>43173</v>
      </c>
      <c r="B379" s="20" t="n">
        <v>10410.9</v>
      </c>
    </row>
    <row r="380" customFormat="false" ht="15" hidden="false" customHeight="false" outlineLevel="0" collapsed="false">
      <c r="A380" s="19" t="n">
        <v>43174</v>
      </c>
      <c r="B380" s="20" t="n">
        <v>10360.15</v>
      </c>
    </row>
    <row r="381" customFormat="false" ht="15" hidden="false" customHeight="false" outlineLevel="0" collapsed="false">
      <c r="A381" s="19" t="n">
        <v>43175</v>
      </c>
      <c r="B381" s="20" t="n">
        <v>10195.15</v>
      </c>
    </row>
    <row r="382" customFormat="false" ht="15" hidden="false" customHeight="false" outlineLevel="0" collapsed="false">
      <c r="A382" s="19" t="n">
        <v>43178</v>
      </c>
      <c r="B382" s="20" t="n">
        <v>10094.25</v>
      </c>
    </row>
    <row r="383" customFormat="false" ht="15" hidden="false" customHeight="false" outlineLevel="0" collapsed="false">
      <c r="A383" s="19" t="n">
        <v>43179</v>
      </c>
      <c r="B383" s="20" t="n">
        <v>10124.35</v>
      </c>
    </row>
    <row r="384" customFormat="false" ht="15" hidden="false" customHeight="false" outlineLevel="0" collapsed="false">
      <c r="A384" s="19" t="n">
        <v>43180</v>
      </c>
      <c r="B384" s="20" t="n">
        <v>10155.25</v>
      </c>
    </row>
    <row r="385" customFormat="false" ht="15" hidden="false" customHeight="false" outlineLevel="0" collapsed="false">
      <c r="A385" s="19" t="n">
        <v>43181</v>
      </c>
      <c r="B385" s="20" t="n">
        <v>10114.75</v>
      </c>
    </row>
    <row r="386" customFormat="false" ht="15" hidden="false" customHeight="false" outlineLevel="0" collapsed="false">
      <c r="A386" s="19" t="n">
        <v>43182</v>
      </c>
      <c r="B386" s="20" t="n">
        <v>9998.05</v>
      </c>
    </row>
    <row r="387" customFormat="false" ht="15" hidden="false" customHeight="false" outlineLevel="0" collapsed="false">
      <c r="A387" s="19" t="n">
        <v>43185</v>
      </c>
      <c r="B387" s="20" t="n">
        <v>10130.65</v>
      </c>
    </row>
    <row r="388" customFormat="false" ht="15" hidden="false" customHeight="false" outlineLevel="0" collapsed="false">
      <c r="A388" s="19" t="n">
        <v>43186</v>
      </c>
      <c r="B388" s="20" t="n">
        <v>10184.15</v>
      </c>
    </row>
    <row r="389" customFormat="false" ht="15" hidden="false" customHeight="false" outlineLevel="0" collapsed="false">
      <c r="A389" s="19" t="n">
        <v>43187</v>
      </c>
      <c r="B389" s="20" t="n">
        <v>10113.7</v>
      </c>
    </row>
    <row r="390" customFormat="false" ht="15" hidden="false" customHeight="false" outlineLevel="0" collapsed="false">
      <c r="A390" s="19" t="n">
        <v>43192</v>
      </c>
      <c r="B390" s="20" t="n">
        <v>10211.8</v>
      </c>
    </row>
    <row r="391" customFormat="false" ht="15" hidden="false" customHeight="false" outlineLevel="0" collapsed="false">
      <c r="A391" s="19" t="n">
        <v>43193</v>
      </c>
      <c r="B391" s="20" t="n">
        <v>10245</v>
      </c>
    </row>
    <row r="392" customFormat="false" ht="15" hidden="false" customHeight="false" outlineLevel="0" collapsed="false">
      <c r="A392" s="19" t="n">
        <v>43194</v>
      </c>
      <c r="B392" s="20" t="n">
        <v>10128.4</v>
      </c>
    </row>
    <row r="393" customFormat="false" ht="15" hidden="false" customHeight="false" outlineLevel="0" collapsed="false">
      <c r="A393" s="19" t="n">
        <v>43195</v>
      </c>
      <c r="B393" s="20" t="n">
        <v>10325.15</v>
      </c>
    </row>
    <row r="394" customFormat="false" ht="15" hidden="false" customHeight="false" outlineLevel="0" collapsed="false">
      <c r="A394" s="19" t="n">
        <v>43196</v>
      </c>
      <c r="B394" s="20" t="n">
        <v>10331.6</v>
      </c>
    </row>
    <row r="395" customFormat="false" ht="15" hidden="false" customHeight="false" outlineLevel="0" collapsed="false">
      <c r="A395" s="19" t="n">
        <v>43199</v>
      </c>
      <c r="B395" s="20" t="n">
        <v>10379.35</v>
      </c>
    </row>
    <row r="396" customFormat="false" ht="15" hidden="false" customHeight="false" outlineLevel="0" collapsed="false">
      <c r="A396" s="19" t="n">
        <v>43200</v>
      </c>
      <c r="B396" s="20" t="n">
        <v>10402.25</v>
      </c>
    </row>
    <row r="397" customFormat="false" ht="15" hidden="false" customHeight="false" outlineLevel="0" collapsed="false">
      <c r="A397" s="19" t="n">
        <v>43201</v>
      </c>
      <c r="B397" s="20" t="n">
        <v>10417.15</v>
      </c>
    </row>
    <row r="398" customFormat="false" ht="15" hidden="false" customHeight="false" outlineLevel="0" collapsed="false">
      <c r="A398" s="19" t="n">
        <v>43202</v>
      </c>
      <c r="B398" s="20" t="n">
        <v>10458.65</v>
      </c>
    </row>
    <row r="399" customFormat="false" ht="15" hidden="false" customHeight="false" outlineLevel="0" collapsed="false">
      <c r="A399" s="19" t="n">
        <v>43203</v>
      </c>
      <c r="B399" s="20" t="n">
        <v>10480.6</v>
      </c>
    </row>
    <row r="400" customFormat="false" ht="15" hidden="false" customHeight="false" outlineLevel="0" collapsed="false">
      <c r="A400" s="19" t="n">
        <v>43206</v>
      </c>
      <c r="B400" s="20" t="n">
        <v>10528.35</v>
      </c>
    </row>
    <row r="401" customFormat="false" ht="15" hidden="false" customHeight="false" outlineLevel="0" collapsed="false">
      <c r="A401" s="19" t="n">
        <v>43207</v>
      </c>
      <c r="B401" s="20" t="n">
        <v>10548.7</v>
      </c>
    </row>
    <row r="402" customFormat="false" ht="15" hidden="false" customHeight="false" outlineLevel="0" collapsed="false">
      <c r="A402" s="19" t="n">
        <v>43208</v>
      </c>
      <c r="B402" s="20" t="n">
        <v>10526.2</v>
      </c>
    </row>
    <row r="403" customFormat="false" ht="15" hidden="false" customHeight="false" outlineLevel="0" collapsed="false">
      <c r="A403" s="19" t="n">
        <v>43209</v>
      </c>
      <c r="B403" s="20" t="n">
        <v>10565.3</v>
      </c>
    </row>
    <row r="404" customFormat="false" ht="15" hidden="false" customHeight="false" outlineLevel="0" collapsed="false">
      <c r="A404" s="19" t="n">
        <v>43210</v>
      </c>
      <c r="B404" s="20" t="n">
        <v>10564.05</v>
      </c>
    </row>
    <row r="405" customFormat="false" ht="15" hidden="false" customHeight="false" outlineLevel="0" collapsed="false">
      <c r="A405" s="19" t="n">
        <v>43213</v>
      </c>
      <c r="B405" s="20" t="n">
        <v>10584.7</v>
      </c>
    </row>
    <row r="406" customFormat="false" ht="15" hidden="false" customHeight="false" outlineLevel="0" collapsed="false">
      <c r="A406" s="19" t="n">
        <v>43214</v>
      </c>
      <c r="B406" s="20" t="n">
        <v>10614.35</v>
      </c>
    </row>
    <row r="407" customFormat="false" ht="15" hidden="false" customHeight="false" outlineLevel="0" collapsed="false">
      <c r="A407" s="19" t="n">
        <v>43215</v>
      </c>
      <c r="B407" s="20" t="n">
        <v>10570.55</v>
      </c>
    </row>
    <row r="408" customFormat="false" ht="15" hidden="false" customHeight="false" outlineLevel="0" collapsed="false">
      <c r="A408" s="19" t="n">
        <v>43216</v>
      </c>
      <c r="B408" s="20" t="n">
        <v>10617.8</v>
      </c>
    </row>
    <row r="409" customFormat="false" ht="15" hidden="false" customHeight="false" outlineLevel="0" collapsed="false">
      <c r="A409" s="19" t="n">
        <v>43217</v>
      </c>
      <c r="B409" s="20" t="n">
        <v>10692.3</v>
      </c>
    </row>
    <row r="410" customFormat="false" ht="15" hidden="false" customHeight="false" outlineLevel="0" collapsed="false">
      <c r="A410" s="19" t="n">
        <v>43220</v>
      </c>
      <c r="B410" s="20" t="n">
        <v>10739.35</v>
      </c>
    </row>
    <row r="411" customFormat="false" ht="15" hidden="false" customHeight="false" outlineLevel="0" collapsed="false">
      <c r="A411" s="19" t="n">
        <v>43222</v>
      </c>
      <c r="B411" s="20" t="n">
        <v>10718.05</v>
      </c>
    </row>
    <row r="412" customFormat="false" ht="15" hidden="false" customHeight="false" outlineLevel="0" collapsed="false">
      <c r="A412" s="19" t="n">
        <v>43223</v>
      </c>
      <c r="B412" s="20" t="n">
        <v>10679.65</v>
      </c>
    </row>
    <row r="413" customFormat="false" ht="15" hidden="false" customHeight="false" outlineLevel="0" collapsed="false">
      <c r="A413" s="19" t="n">
        <v>43224</v>
      </c>
      <c r="B413" s="20" t="n">
        <v>10618.25</v>
      </c>
    </row>
    <row r="414" customFormat="false" ht="15" hidden="false" customHeight="false" outlineLevel="0" collapsed="false">
      <c r="A414" s="19" t="n">
        <v>43227</v>
      </c>
      <c r="B414" s="20" t="n">
        <v>10715.5</v>
      </c>
    </row>
    <row r="415" customFormat="false" ht="15" hidden="false" customHeight="false" outlineLevel="0" collapsed="false">
      <c r="A415" s="19" t="n">
        <v>43228</v>
      </c>
      <c r="B415" s="20" t="n">
        <v>10717.8</v>
      </c>
    </row>
    <row r="416" customFormat="false" ht="15" hidden="false" customHeight="false" outlineLevel="0" collapsed="false">
      <c r="A416" s="19" t="n">
        <v>43229</v>
      </c>
      <c r="B416" s="20" t="n">
        <v>10741.7</v>
      </c>
    </row>
    <row r="417" customFormat="false" ht="15" hidden="false" customHeight="false" outlineLevel="0" collapsed="false">
      <c r="A417" s="19" t="n">
        <v>43230</v>
      </c>
      <c r="B417" s="20" t="n">
        <v>10716.55</v>
      </c>
    </row>
    <row r="418" customFormat="false" ht="15" hidden="false" customHeight="false" outlineLevel="0" collapsed="false">
      <c r="A418" s="19" t="n">
        <v>43231</v>
      </c>
      <c r="B418" s="20" t="n">
        <v>10806.5</v>
      </c>
    </row>
    <row r="419" customFormat="false" ht="15" hidden="false" customHeight="false" outlineLevel="0" collapsed="false">
      <c r="A419" s="19" t="n">
        <v>43234</v>
      </c>
      <c r="B419" s="20" t="n">
        <v>10806.6</v>
      </c>
    </row>
    <row r="420" customFormat="false" ht="15" hidden="false" customHeight="false" outlineLevel="0" collapsed="false">
      <c r="A420" s="19" t="n">
        <v>43235</v>
      </c>
      <c r="B420" s="20" t="n">
        <v>10801.85</v>
      </c>
    </row>
    <row r="421" customFormat="false" ht="15" hidden="false" customHeight="false" outlineLevel="0" collapsed="false">
      <c r="A421" s="19" t="n">
        <v>43236</v>
      </c>
      <c r="B421" s="20" t="n">
        <v>10741.1</v>
      </c>
    </row>
    <row r="422" customFormat="false" ht="15" hidden="false" customHeight="false" outlineLevel="0" collapsed="false">
      <c r="A422" s="19" t="n">
        <v>43237</v>
      </c>
      <c r="B422" s="20" t="n">
        <v>10682.7</v>
      </c>
    </row>
    <row r="423" customFormat="false" ht="15" hidden="false" customHeight="false" outlineLevel="0" collapsed="false">
      <c r="A423" s="19" t="n">
        <v>43238</v>
      </c>
      <c r="B423" s="20" t="n">
        <v>10596.4</v>
      </c>
    </row>
    <row r="424" customFormat="false" ht="15" hidden="false" customHeight="false" outlineLevel="0" collapsed="false">
      <c r="A424" s="19" t="n">
        <v>43241</v>
      </c>
      <c r="B424" s="20" t="n">
        <v>10516.7</v>
      </c>
    </row>
    <row r="425" customFormat="false" ht="15" hidden="false" customHeight="false" outlineLevel="0" collapsed="false">
      <c r="A425" s="19" t="n">
        <v>43242</v>
      </c>
      <c r="B425" s="20" t="n">
        <v>10536.7</v>
      </c>
    </row>
    <row r="426" customFormat="false" ht="15" hidden="false" customHeight="false" outlineLevel="0" collapsed="false">
      <c r="A426" s="19" t="n">
        <v>43243</v>
      </c>
      <c r="B426" s="20" t="n">
        <v>10430.35</v>
      </c>
    </row>
    <row r="427" customFormat="false" ht="15" hidden="false" customHeight="false" outlineLevel="0" collapsed="false">
      <c r="A427" s="19" t="n">
        <v>43244</v>
      </c>
      <c r="B427" s="20" t="n">
        <v>10513.85</v>
      </c>
    </row>
    <row r="428" customFormat="false" ht="15" hidden="false" customHeight="false" outlineLevel="0" collapsed="false">
      <c r="A428" s="19" t="n">
        <v>43245</v>
      </c>
      <c r="B428" s="20" t="n">
        <v>10605.15</v>
      </c>
    </row>
    <row r="429" customFormat="false" ht="15" hidden="false" customHeight="false" outlineLevel="0" collapsed="false">
      <c r="A429" s="19" t="n">
        <v>43248</v>
      </c>
      <c r="B429" s="20" t="n">
        <v>10688.65</v>
      </c>
    </row>
    <row r="430" customFormat="false" ht="15" hidden="false" customHeight="false" outlineLevel="0" collapsed="false">
      <c r="A430" s="19" t="n">
        <v>43249</v>
      </c>
      <c r="B430" s="20" t="n">
        <v>10633.3</v>
      </c>
    </row>
    <row r="431" customFormat="false" ht="15" hidden="false" customHeight="false" outlineLevel="0" collapsed="false">
      <c r="A431" s="19" t="n">
        <v>43250</v>
      </c>
      <c r="B431" s="20" t="n">
        <v>10614.35</v>
      </c>
    </row>
    <row r="432" customFormat="false" ht="15" hidden="false" customHeight="false" outlineLevel="0" collapsed="false">
      <c r="A432" s="19" t="n">
        <v>43251</v>
      </c>
      <c r="B432" s="20" t="n">
        <v>10736.15</v>
      </c>
    </row>
    <row r="433" customFormat="false" ht="15" hidden="false" customHeight="false" outlineLevel="0" collapsed="false">
      <c r="A433" s="19" t="n">
        <v>43252</v>
      </c>
      <c r="B433" s="20" t="n">
        <v>10696.2</v>
      </c>
    </row>
    <row r="434" customFormat="false" ht="15" hidden="false" customHeight="false" outlineLevel="0" collapsed="false">
      <c r="A434" s="19" t="n">
        <v>43255</v>
      </c>
      <c r="B434" s="20" t="n">
        <v>10628.5</v>
      </c>
    </row>
    <row r="435" customFormat="false" ht="15" hidden="false" customHeight="false" outlineLevel="0" collapsed="false">
      <c r="A435" s="19" t="n">
        <v>43256</v>
      </c>
      <c r="B435" s="20" t="n">
        <v>10593.15</v>
      </c>
    </row>
    <row r="436" customFormat="false" ht="15" hidden="false" customHeight="false" outlineLevel="0" collapsed="false">
      <c r="A436" s="19" t="n">
        <v>43257</v>
      </c>
      <c r="B436" s="20" t="n">
        <v>10684.65</v>
      </c>
    </row>
    <row r="437" customFormat="false" ht="15" hidden="false" customHeight="false" outlineLevel="0" collapsed="false">
      <c r="A437" s="19" t="n">
        <v>43258</v>
      </c>
      <c r="B437" s="20" t="n">
        <v>10768.35</v>
      </c>
    </row>
    <row r="438" customFormat="false" ht="15" hidden="false" customHeight="false" outlineLevel="0" collapsed="false">
      <c r="A438" s="19" t="n">
        <v>43259</v>
      </c>
      <c r="B438" s="20" t="n">
        <v>10767.65</v>
      </c>
    </row>
    <row r="439" customFormat="false" ht="15" hidden="false" customHeight="false" outlineLevel="0" collapsed="false">
      <c r="A439" s="19" t="n">
        <v>43262</v>
      </c>
      <c r="B439" s="20" t="n">
        <v>10786.95</v>
      </c>
    </row>
    <row r="440" customFormat="false" ht="15" hidden="false" customHeight="false" outlineLevel="0" collapsed="false">
      <c r="A440" s="19" t="n">
        <v>43263</v>
      </c>
      <c r="B440" s="20" t="n">
        <v>10842.85</v>
      </c>
    </row>
    <row r="441" customFormat="false" ht="15" hidden="false" customHeight="false" outlineLevel="0" collapsed="false">
      <c r="A441" s="19" t="n">
        <v>43264</v>
      </c>
      <c r="B441" s="20" t="n">
        <v>10856.7</v>
      </c>
    </row>
    <row r="442" customFormat="false" ht="15" hidden="false" customHeight="false" outlineLevel="0" collapsed="false">
      <c r="A442" s="19" t="n">
        <v>43265</v>
      </c>
      <c r="B442" s="20" t="n">
        <v>10808.05</v>
      </c>
    </row>
    <row r="443" customFormat="false" ht="15" hidden="false" customHeight="false" outlineLevel="0" collapsed="false">
      <c r="A443" s="19" t="n">
        <v>43266</v>
      </c>
      <c r="B443" s="20" t="n">
        <v>10817.7</v>
      </c>
    </row>
    <row r="444" customFormat="false" ht="15" hidden="false" customHeight="false" outlineLevel="0" collapsed="false">
      <c r="A444" s="19" t="n">
        <v>43269</v>
      </c>
      <c r="B444" s="20" t="n">
        <v>10799.85</v>
      </c>
    </row>
    <row r="445" customFormat="false" ht="15" hidden="false" customHeight="false" outlineLevel="0" collapsed="false">
      <c r="A445" s="19" t="n">
        <v>43270</v>
      </c>
      <c r="B445" s="20" t="n">
        <v>10710.45</v>
      </c>
    </row>
    <row r="446" customFormat="false" ht="15" hidden="false" customHeight="false" outlineLevel="0" collapsed="false">
      <c r="A446" s="19" t="n">
        <v>43271</v>
      </c>
      <c r="B446" s="20" t="n">
        <v>10772.05</v>
      </c>
    </row>
    <row r="447" customFormat="false" ht="15" hidden="false" customHeight="false" outlineLevel="0" collapsed="false">
      <c r="A447" s="19" t="n">
        <v>43272</v>
      </c>
      <c r="B447" s="20" t="n">
        <v>10741.1</v>
      </c>
    </row>
    <row r="448" customFormat="false" ht="15" hidden="false" customHeight="false" outlineLevel="0" collapsed="false">
      <c r="A448" s="19" t="n">
        <v>43273</v>
      </c>
      <c r="B448" s="20" t="n">
        <v>10821.85</v>
      </c>
    </row>
    <row r="449" customFormat="false" ht="15" hidden="false" customHeight="false" outlineLevel="0" collapsed="false">
      <c r="A449" s="19" t="n">
        <v>43276</v>
      </c>
      <c r="B449" s="20" t="n">
        <v>10762.45</v>
      </c>
    </row>
    <row r="450" customFormat="false" ht="15" hidden="false" customHeight="false" outlineLevel="0" collapsed="false">
      <c r="A450" s="19" t="n">
        <v>43277</v>
      </c>
      <c r="B450" s="20" t="n">
        <v>10769.15</v>
      </c>
    </row>
    <row r="451" customFormat="false" ht="15" hidden="false" customHeight="false" outlineLevel="0" collapsed="false">
      <c r="A451" s="19" t="n">
        <v>43278</v>
      </c>
      <c r="B451" s="20" t="n">
        <v>10671.4</v>
      </c>
    </row>
    <row r="452" customFormat="false" ht="15" hidden="false" customHeight="false" outlineLevel="0" collapsed="false">
      <c r="A452" s="19" t="n">
        <v>43279</v>
      </c>
      <c r="B452" s="20" t="n">
        <v>10589.1</v>
      </c>
    </row>
    <row r="453" customFormat="false" ht="15" hidden="false" customHeight="false" outlineLevel="0" collapsed="false">
      <c r="A453" s="19" t="n">
        <v>43280</v>
      </c>
      <c r="B453" s="20" t="n">
        <v>10714.3</v>
      </c>
    </row>
    <row r="454" customFormat="false" ht="15" hidden="false" customHeight="false" outlineLevel="0" collapsed="false">
      <c r="A454" s="19" t="n">
        <v>43283</v>
      </c>
      <c r="B454" s="20" t="n">
        <v>10657.3</v>
      </c>
    </row>
    <row r="455" customFormat="false" ht="15" hidden="false" customHeight="false" outlineLevel="0" collapsed="false">
      <c r="A455" s="19" t="n">
        <v>43284</v>
      </c>
      <c r="B455" s="20" t="n">
        <v>10699.9</v>
      </c>
    </row>
    <row r="456" customFormat="false" ht="15" hidden="false" customHeight="false" outlineLevel="0" collapsed="false">
      <c r="A456" s="19" t="n">
        <v>43285</v>
      </c>
      <c r="B456" s="20" t="n">
        <v>10769.9</v>
      </c>
    </row>
    <row r="457" customFormat="false" ht="15" hidden="false" customHeight="false" outlineLevel="0" collapsed="false">
      <c r="A457" s="19" t="n">
        <v>43286</v>
      </c>
      <c r="B457" s="20" t="n">
        <v>10749.75</v>
      </c>
    </row>
    <row r="458" customFormat="false" ht="15" hidden="false" customHeight="false" outlineLevel="0" collapsed="false">
      <c r="A458" s="19" t="n">
        <v>43287</v>
      </c>
      <c r="B458" s="20" t="n">
        <v>10772.65</v>
      </c>
    </row>
    <row r="459" customFormat="false" ht="15" hidden="false" customHeight="false" outlineLevel="0" collapsed="false">
      <c r="A459" s="19" t="n">
        <v>43290</v>
      </c>
      <c r="B459" s="20" t="n">
        <v>10852.9</v>
      </c>
    </row>
    <row r="460" customFormat="false" ht="15" hidden="false" customHeight="false" outlineLevel="0" collapsed="false">
      <c r="A460" s="19" t="n">
        <v>43291</v>
      </c>
      <c r="B460" s="20" t="n">
        <v>10947.25</v>
      </c>
    </row>
    <row r="461" customFormat="false" ht="15" hidden="false" customHeight="false" outlineLevel="0" collapsed="false">
      <c r="A461" s="19" t="n">
        <v>43292</v>
      </c>
      <c r="B461" s="20" t="n">
        <v>10948.3</v>
      </c>
    </row>
    <row r="462" customFormat="false" ht="15" hidden="false" customHeight="false" outlineLevel="0" collapsed="false">
      <c r="A462" s="19" t="n">
        <v>43293</v>
      </c>
      <c r="B462" s="20" t="n">
        <v>11023.2</v>
      </c>
    </row>
    <row r="463" customFormat="false" ht="15" hidden="false" customHeight="false" outlineLevel="0" collapsed="false">
      <c r="A463" s="19" t="n">
        <v>43294</v>
      </c>
      <c r="B463" s="20" t="n">
        <v>11018.9</v>
      </c>
    </row>
    <row r="464" customFormat="false" ht="15" hidden="false" customHeight="false" outlineLevel="0" collapsed="false">
      <c r="A464" s="19" t="n">
        <v>43297</v>
      </c>
      <c r="B464" s="20" t="n">
        <v>10936.85</v>
      </c>
    </row>
    <row r="465" customFormat="false" ht="15" hidden="false" customHeight="false" outlineLevel="0" collapsed="false">
      <c r="A465" s="19" t="n">
        <v>43298</v>
      </c>
      <c r="B465" s="20" t="n">
        <v>11008.05</v>
      </c>
    </row>
    <row r="466" customFormat="false" ht="15" hidden="false" customHeight="false" outlineLevel="0" collapsed="false">
      <c r="A466" s="19" t="n">
        <v>43299</v>
      </c>
      <c r="B466" s="20" t="n">
        <v>10980.45</v>
      </c>
    </row>
    <row r="467" customFormat="false" ht="15" hidden="false" customHeight="false" outlineLevel="0" collapsed="false">
      <c r="A467" s="19" t="n">
        <v>43300</v>
      </c>
      <c r="B467" s="20" t="n">
        <v>10957.1</v>
      </c>
    </row>
    <row r="468" customFormat="false" ht="15" hidden="false" customHeight="false" outlineLevel="0" collapsed="false">
      <c r="A468" s="19" t="n">
        <v>43301</v>
      </c>
      <c r="B468" s="20" t="n">
        <v>11010.2</v>
      </c>
    </row>
    <row r="469" customFormat="false" ht="15" hidden="false" customHeight="false" outlineLevel="0" collapsed="false">
      <c r="A469" s="19" t="n">
        <v>43304</v>
      </c>
      <c r="B469" s="20" t="n">
        <v>11084.75</v>
      </c>
    </row>
    <row r="470" customFormat="false" ht="15" hidden="false" customHeight="false" outlineLevel="0" collapsed="false">
      <c r="A470" s="19" t="n">
        <v>43305</v>
      </c>
      <c r="B470" s="20" t="n">
        <v>11134.3</v>
      </c>
    </row>
    <row r="471" customFormat="false" ht="15" hidden="false" customHeight="false" outlineLevel="0" collapsed="false">
      <c r="A471" s="19" t="n">
        <v>43306</v>
      </c>
      <c r="B471" s="20" t="n">
        <v>11132</v>
      </c>
    </row>
    <row r="472" customFormat="false" ht="15" hidden="false" customHeight="false" outlineLevel="0" collapsed="false">
      <c r="A472" s="19" t="n">
        <v>43307</v>
      </c>
      <c r="B472" s="20" t="n">
        <v>11167.3</v>
      </c>
    </row>
    <row r="473" customFormat="false" ht="15" hidden="false" customHeight="false" outlineLevel="0" collapsed="false">
      <c r="A473" s="19" t="n">
        <v>43308</v>
      </c>
      <c r="B473" s="20" t="n">
        <v>11278.35</v>
      </c>
    </row>
    <row r="474" customFormat="false" ht="15" hidden="false" customHeight="false" outlineLevel="0" collapsed="false">
      <c r="A474" s="19" t="n">
        <v>43311</v>
      </c>
      <c r="B474" s="20" t="n">
        <v>11319.55</v>
      </c>
    </row>
    <row r="475" customFormat="false" ht="15" hidden="false" customHeight="false" outlineLevel="0" collapsed="false">
      <c r="A475" s="19" t="n">
        <v>43312</v>
      </c>
      <c r="B475" s="20" t="n">
        <v>11356.5</v>
      </c>
    </row>
    <row r="476" customFormat="false" ht="15" hidden="false" customHeight="false" outlineLevel="0" collapsed="false">
      <c r="A476" s="19" t="n">
        <v>43313</v>
      </c>
      <c r="B476" s="20" t="n">
        <v>11346.2</v>
      </c>
    </row>
    <row r="477" customFormat="false" ht="15" hidden="false" customHeight="false" outlineLevel="0" collapsed="false">
      <c r="A477" s="19" t="n">
        <v>43314</v>
      </c>
      <c r="B477" s="20" t="n">
        <v>11244.7</v>
      </c>
    </row>
    <row r="478" customFormat="false" ht="15" hidden="false" customHeight="false" outlineLevel="0" collapsed="false">
      <c r="A478" s="19" t="n">
        <v>43315</v>
      </c>
      <c r="B478" s="20" t="n">
        <v>11360.8</v>
      </c>
    </row>
    <row r="479" customFormat="false" ht="15" hidden="false" customHeight="false" outlineLevel="0" collapsed="false">
      <c r="A479" s="19" t="n">
        <v>43318</v>
      </c>
      <c r="B479" s="20" t="n">
        <v>11387.1</v>
      </c>
    </row>
    <row r="480" customFormat="false" ht="15" hidden="false" customHeight="false" outlineLevel="0" collapsed="false">
      <c r="A480" s="19" t="n">
        <v>43319</v>
      </c>
      <c r="B480" s="20" t="n">
        <v>11389.45</v>
      </c>
    </row>
    <row r="481" customFormat="false" ht="15" hidden="false" customHeight="false" outlineLevel="0" collapsed="false">
      <c r="A481" s="19" t="n">
        <v>43320</v>
      </c>
      <c r="B481" s="20" t="n">
        <v>11450</v>
      </c>
    </row>
    <row r="482" customFormat="false" ht="15" hidden="false" customHeight="false" outlineLevel="0" collapsed="false">
      <c r="A482" s="19" t="n">
        <v>43321</v>
      </c>
      <c r="B482" s="20" t="n">
        <v>11470.7</v>
      </c>
    </row>
    <row r="483" customFormat="false" ht="15" hidden="false" customHeight="false" outlineLevel="0" collapsed="false">
      <c r="A483" s="19" t="n">
        <v>43322</v>
      </c>
      <c r="B483" s="20" t="n">
        <v>11429.5</v>
      </c>
    </row>
    <row r="484" customFormat="false" ht="15" hidden="false" customHeight="false" outlineLevel="0" collapsed="false">
      <c r="A484" s="19" t="n">
        <v>43325</v>
      </c>
      <c r="B484" s="20" t="n">
        <v>11355.75</v>
      </c>
    </row>
    <row r="485" customFormat="false" ht="15" hidden="false" customHeight="false" outlineLevel="0" collapsed="false">
      <c r="A485" s="19" t="n">
        <v>43326</v>
      </c>
      <c r="B485" s="20" t="n">
        <v>11435.1</v>
      </c>
    </row>
    <row r="486" customFormat="false" ht="15" hidden="false" customHeight="false" outlineLevel="0" collapsed="false">
      <c r="A486" s="19" t="n">
        <v>43328</v>
      </c>
      <c r="B486" s="20" t="n">
        <v>11385.05</v>
      </c>
    </row>
    <row r="487" customFormat="false" ht="15" hidden="false" customHeight="false" outlineLevel="0" collapsed="false">
      <c r="A487" s="19" t="n">
        <v>43329</v>
      </c>
      <c r="B487" s="20" t="n">
        <v>11470.75</v>
      </c>
    </row>
    <row r="488" customFormat="false" ht="15" hidden="false" customHeight="false" outlineLevel="0" collapsed="false">
      <c r="A488" s="19" t="n">
        <v>43332</v>
      </c>
      <c r="B488" s="20" t="n">
        <v>11551.75</v>
      </c>
    </row>
    <row r="489" customFormat="false" ht="15" hidden="false" customHeight="false" outlineLevel="0" collapsed="false">
      <c r="A489" s="19" t="n">
        <v>43333</v>
      </c>
      <c r="B489" s="20" t="n">
        <v>11570.9</v>
      </c>
    </row>
    <row r="490" customFormat="false" ht="15" hidden="false" customHeight="false" outlineLevel="0" collapsed="false">
      <c r="A490" s="19" t="n">
        <v>43335</v>
      </c>
      <c r="B490" s="20" t="n">
        <v>11582.75</v>
      </c>
    </row>
    <row r="491" customFormat="false" ht="15" hidden="false" customHeight="false" outlineLevel="0" collapsed="false">
      <c r="A491" s="19" t="n">
        <v>43336</v>
      </c>
      <c r="B491" s="20" t="n">
        <v>11557.1</v>
      </c>
    </row>
    <row r="492" customFormat="false" ht="15" hidden="false" customHeight="false" outlineLevel="0" collapsed="false">
      <c r="A492" s="19" t="n">
        <v>43339</v>
      </c>
      <c r="B492" s="20" t="n">
        <v>11691.95</v>
      </c>
    </row>
    <row r="493" customFormat="false" ht="15" hidden="false" customHeight="false" outlineLevel="0" collapsed="false">
      <c r="A493" s="19" t="n">
        <v>43340</v>
      </c>
      <c r="B493" s="20" t="n">
        <v>11738.5</v>
      </c>
    </row>
    <row r="494" customFormat="false" ht="15" hidden="false" customHeight="false" outlineLevel="0" collapsed="false">
      <c r="A494" s="19" t="n">
        <v>43341</v>
      </c>
      <c r="B494" s="20" t="n">
        <v>11691.9</v>
      </c>
    </row>
    <row r="495" customFormat="false" ht="15" hidden="false" customHeight="false" outlineLevel="0" collapsed="false">
      <c r="A495" s="19" t="n">
        <v>43342</v>
      </c>
      <c r="B495" s="20" t="n">
        <v>11676.8</v>
      </c>
    </row>
    <row r="496" customFormat="false" ht="15" hidden="false" customHeight="false" outlineLevel="0" collapsed="false">
      <c r="A496" s="19" t="n">
        <v>43343</v>
      </c>
      <c r="B496" s="20" t="n">
        <v>11680.5</v>
      </c>
    </row>
    <row r="497" customFormat="false" ht="15" hidden="false" customHeight="false" outlineLevel="0" collapsed="false">
      <c r="A497" s="19" t="n">
        <v>43346</v>
      </c>
      <c r="B497" s="20" t="n">
        <v>11582.35</v>
      </c>
    </row>
    <row r="498" customFormat="false" ht="15" hidden="false" customHeight="false" outlineLevel="0" collapsed="false">
      <c r="A498" s="19" t="n">
        <v>43347</v>
      </c>
      <c r="B498" s="20" t="n">
        <v>11520.3</v>
      </c>
    </row>
    <row r="499" customFormat="false" ht="15" hidden="false" customHeight="false" outlineLevel="0" collapsed="false">
      <c r="A499" s="19" t="n">
        <v>43348</v>
      </c>
      <c r="B499" s="20" t="n">
        <v>11476.95</v>
      </c>
    </row>
    <row r="500" customFormat="false" ht="15" hidden="false" customHeight="false" outlineLevel="0" collapsed="false">
      <c r="A500" s="19" t="n">
        <v>43349</v>
      </c>
      <c r="B500" s="20" t="n">
        <v>11536.9</v>
      </c>
    </row>
    <row r="501" customFormat="false" ht="15" hidden="false" customHeight="false" outlineLevel="0" collapsed="false">
      <c r="A501" s="19" t="n">
        <v>43350</v>
      </c>
      <c r="B501" s="20" t="n">
        <v>11589.1</v>
      </c>
    </row>
    <row r="502" customFormat="false" ht="15" hidden="false" customHeight="false" outlineLevel="0" collapsed="false">
      <c r="A502" s="19" t="n">
        <v>43353</v>
      </c>
      <c r="B502" s="20" t="n">
        <v>11438.1</v>
      </c>
    </row>
    <row r="503" customFormat="false" ht="15" hidden="false" customHeight="false" outlineLevel="0" collapsed="false">
      <c r="A503" s="19" t="n">
        <v>43354</v>
      </c>
      <c r="B503" s="20" t="n">
        <v>11287.5</v>
      </c>
    </row>
    <row r="504" customFormat="false" ht="15" hidden="false" customHeight="false" outlineLevel="0" collapsed="false">
      <c r="A504" s="19" t="n">
        <v>43355</v>
      </c>
      <c r="B504" s="20" t="n">
        <v>11369.9</v>
      </c>
    </row>
    <row r="505" customFormat="false" ht="15" hidden="false" customHeight="false" outlineLevel="0" collapsed="false">
      <c r="A505" s="19" t="n">
        <v>43357</v>
      </c>
      <c r="B505" s="20" t="n">
        <v>11515.2</v>
      </c>
    </row>
    <row r="506" customFormat="false" ht="15" hidden="false" customHeight="false" outlineLevel="0" collapsed="false">
      <c r="A506" s="19" t="n">
        <v>43360</v>
      </c>
      <c r="B506" s="20" t="n">
        <v>11377.75</v>
      </c>
    </row>
    <row r="507" customFormat="false" ht="15" hidden="false" customHeight="false" outlineLevel="0" collapsed="false">
      <c r="A507" s="19" t="n">
        <v>43361</v>
      </c>
      <c r="B507" s="20" t="n">
        <v>11278.9</v>
      </c>
    </row>
    <row r="508" customFormat="false" ht="15" hidden="false" customHeight="false" outlineLevel="0" collapsed="false">
      <c r="A508" s="19" t="n">
        <v>43362</v>
      </c>
      <c r="B508" s="20" t="n">
        <v>11234.35</v>
      </c>
    </row>
    <row r="509" customFormat="false" ht="15" hidden="false" customHeight="false" outlineLevel="0" collapsed="false">
      <c r="A509" s="19" t="n">
        <v>43364</v>
      </c>
      <c r="B509" s="20" t="n">
        <v>11143.1</v>
      </c>
    </row>
    <row r="510" customFormat="false" ht="15" hidden="false" customHeight="false" outlineLevel="0" collapsed="false">
      <c r="A510" s="19" t="n">
        <v>43367</v>
      </c>
      <c r="B510" s="20" t="n">
        <v>10967.4</v>
      </c>
    </row>
    <row r="511" customFormat="false" ht="15" hidden="false" customHeight="false" outlineLevel="0" collapsed="false">
      <c r="A511" s="19" t="n">
        <v>43368</v>
      </c>
      <c r="B511" s="20" t="n">
        <v>11067.45</v>
      </c>
    </row>
    <row r="512" customFormat="false" ht="15" hidden="false" customHeight="false" outlineLevel="0" collapsed="false">
      <c r="A512" s="19" t="n">
        <v>43369</v>
      </c>
      <c r="B512" s="20" t="n">
        <v>11053.8</v>
      </c>
    </row>
    <row r="513" customFormat="false" ht="15" hidden="false" customHeight="false" outlineLevel="0" collapsed="false">
      <c r="A513" s="19" t="n">
        <v>43370</v>
      </c>
      <c r="B513" s="20" t="n">
        <v>10977.55</v>
      </c>
    </row>
    <row r="514" customFormat="false" ht="15" hidden="false" customHeight="false" outlineLevel="0" collapsed="false">
      <c r="A514" s="19" t="n">
        <v>43371</v>
      </c>
      <c r="B514" s="20" t="n">
        <v>10930.45</v>
      </c>
    </row>
    <row r="515" customFormat="false" ht="15" hidden="false" customHeight="false" outlineLevel="0" collapsed="false">
      <c r="A515" s="19" t="n">
        <v>43374</v>
      </c>
      <c r="B515" s="20" t="n">
        <v>11008.3</v>
      </c>
    </row>
    <row r="516" customFormat="false" ht="15" hidden="false" customHeight="false" outlineLevel="0" collapsed="false">
      <c r="A516" s="19" t="n">
        <v>43376</v>
      </c>
      <c r="B516" s="20" t="n">
        <v>10858.25</v>
      </c>
    </row>
    <row r="517" customFormat="false" ht="15" hidden="false" customHeight="false" outlineLevel="0" collapsed="false">
      <c r="A517" s="19" t="n">
        <v>43377</v>
      </c>
      <c r="B517" s="20" t="n">
        <v>10599.25</v>
      </c>
    </row>
    <row r="518" customFormat="false" ht="15" hidden="false" customHeight="false" outlineLevel="0" collapsed="false">
      <c r="A518" s="19" t="n">
        <v>43378</v>
      </c>
      <c r="B518" s="20" t="n">
        <v>10316.45</v>
      </c>
    </row>
    <row r="519" customFormat="false" ht="15" hidden="false" customHeight="false" outlineLevel="0" collapsed="false">
      <c r="A519" s="19" t="n">
        <v>43381</v>
      </c>
      <c r="B519" s="20" t="n">
        <v>10348.05</v>
      </c>
    </row>
    <row r="520" customFormat="false" ht="15" hidden="false" customHeight="false" outlineLevel="0" collapsed="false">
      <c r="A520" s="19" t="n">
        <v>43382</v>
      </c>
      <c r="B520" s="20" t="n">
        <v>10301.05</v>
      </c>
    </row>
    <row r="521" customFormat="false" ht="15" hidden="false" customHeight="false" outlineLevel="0" collapsed="false">
      <c r="A521" s="19" t="n">
        <v>43383</v>
      </c>
      <c r="B521" s="20" t="n">
        <v>10460.1</v>
      </c>
    </row>
    <row r="522" customFormat="false" ht="15" hidden="false" customHeight="false" outlineLevel="0" collapsed="false">
      <c r="A522" s="19" t="n">
        <v>43384</v>
      </c>
      <c r="B522" s="20" t="n">
        <v>10234.65</v>
      </c>
    </row>
    <row r="523" customFormat="false" ht="15" hidden="false" customHeight="false" outlineLevel="0" collapsed="false">
      <c r="A523" s="19" t="n">
        <v>43385</v>
      </c>
      <c r="B523" s="20" t="n">
        <v>10472.5</v>
      </c>
    </row>
    <row r="524" customFormat="false" ht="15" hidden="false" customHeight="false" outlineLevel="0" collapsed="false">
      <c r="A524" s="19" t="n">
        <v>43388</v>
      </c>
      <c r="B524" s="20" t="n">
        <v>10512.5</v>
      </c>
    </row>
    <row r="525" customFormat="false" ht="15" hidden="false" customHeight="false" outlineLevel="0" collapsed="false">
      <c r="A525" s="19" t="n">
        <v>43389</v>
      </c>
      <c r="B525" s="20" t="n">
        <v>10584.75</v>
      </c>
    </row>
    <row r="526" customFormat="false" ht="15" hidden="false" customHeight="false" outlineLevel="0" collapsed="false">
      <c r="A526" s="19" t="n">
        <v>43390</v>
      </c>
      <c r="B526" s="20" t="n">
        <v>10453.05</v>
      </c>
    </row>
    <row r="527" customFormat="false" ht="15" hidden="false" customHeight="false" outlineLevel="0" collapsed="false">
      <c r="A527" s="19" t="n">
        <v>43392</v>
      </c>
      <c r="B527" s="20" t="n">
        <v>10303.55</v>
      </c>
    </row>
    <row r="528" customFormat="false" ht="15" hidden="false" customHeight="false" outlineLevel="0" collapsed="false">
      <c r="A528" s="19" t="n">
        <v>43395</v>
      </c>
      <c r="B528" s="20" t="n">
        <v>10245.25</v>
      </c>
    </row>
    <row r="529" customFormat="false" ht="15" hidden="false" customHeight="false" outlineLevel="0" collapsed="false">
      <c r="A529" s="19" t="n">
        <v>43396</v>
      </c>
      <c r="B529" s="20" t="n">
        <v>10146.8</v>
      </c>
    </row>
    <row r="530" customFormat="false" ht="15" hidden="false" customHeight="false" outlineLevel="0" collapsed="false">
      <c r="A530" s="19" t="n">
        <v>43397</v>
      </c>
      <c r="B530" s="20" t="n">
        <v>10224.75</v>
      </c>
    </row>
    <row r="531" customFormat="false" ht="15" hidden="false" customHeight="false" outlineLevel="0" collapsed="false">
      <c r="A531" s="19" t="n">
        <v>43398</v>
      </c>
      <c r="B531" s="20" t="n">
        <v>10124.9</v>
      </c>
    </row>
    <row r="532" customFormat="false" ht="15" hidden="false" customHeight="false" outlineLevel="0" collapsed="false">
      <c r="A532" s="19" t="n">
        <v>43399</v>
      </c>
      <c r="B532" s="20" t="n">
        <v>10030</v>
      </c>
    </row>
    <row r="533" customFormat="false" ht="15" hidden="false" customHeight="false" outlineLevel="0" collapsed="false">
      <c r="A533" s="19" t="n">
        <v>43402</v>
      </c>
      <c r="B533" s="20" t="n">
        <v>10250.85</v>
      </c>
    </row>
    <row r="534" customFormat="false" ht="15" hidden="false" customHeight="false" outlineLevel="0" collapsed="false">
      <c r="A534" s="19" t="n">
        <v>43403</v>
      </c>
      <c r="B534" s="20" t="n">
        <v>10198.4</v>
      </c>
    </row>
    <row r="535" customFormat="false" ht="15" hidden="false" customHeight="false" outlineLevel="0" collapsed="false">
      <c r="A535" s="19" t="n">
        <v>43404</v>
      </c>
      <c r="B535" s="20" t="n">
        <v>10386.6</v>
      </c>
    </row>
    <row r="536" customFormat="false" ht="15" hidden="false" customHeight="false" outlineLevel="0" collapsed="false">
      <c r="A536" s="19" t="n">
        <v>43405</v>
      </c>
      <c r="B536" s="20" t="n">
        <v>10380.45</v>
      </c>
    </row>
    <row r="537" customFormat="false" ht="15" hidden="false" customHeight="false" outlineLevel="0" collapsed="false">
      <c r="A537" s="19" t="n">
        <v>43406</v>
      </c>
      <c r="B537" s="20" t="n">
        <v>10553</v>
      </c>
    </row>
    <row r="538" customFormat="false" ht="15" hidden="false" customHeight="false" outlineLevel="0" collapsed="false">
      <c r="A538" s="19" t="n">
        <v>43409</v>
      </c>
      <c r="B538" s="20" t="n">
        <v>10524</v>
      </c>
    </row>
    <row r="539" customFormat="false" ht="15" hidden="false" customHeight="false" outlineLevel="0" collapsed="false">
      <c r="A539" s="19" t="n">
        <v>43410</v>
      </c>
      <c r="B539" s="20" t="n">
        <v>10530</v>
      </c>
    </row>
    <row r="540" customFormat="false" ht="15" hidden="false" customHeight="false" outlineLevel="0" collapsed="false">
      <c r="A540" s="19" t="n">
        <v>43411</v>
      </c>
      <c r="B540" s="20" t="n">
        <v>10598.4</v>
      </c>
    </row>
    <row r="541" customFormat="false" ht="15" hidden="false" customHeight="false" outlineLevel="0" collapsed="false">
      <c r="A541" s="19" t="n">
        <v>43413</v>
      </c>
      <c r="B541" s="20" t="n">
        <v>10585.2</v>
      </c>
    </row>
    <row r="542" customFormat="false" ht="15" hidden="false" customHeight="false" outlineLevel="0" collapsed="false">
      <c r="A542" s="19" t="n">
        <v>43416</v>
      </c>
      <c r="B542" s="20" t="n">
        <v>10482.2</v>
      </c>
    </row>
    <row r="543" customFormat="false" ht="15" hidden="false" customHeight="false" outlineLevel="0" collapsed="false">
      <c r="A543" s="19" t="n">
        <v>43417</v>
      </c>
      <c r="B543" s="20" t="n">
        <v>10582.5</v>
      </c>
    </row>
    <row r="544" customFormat="false" ht="15" hidden="false" customHeight="false" outlineLevel="0" collapsed="false">
      <c r="A544" s="19" t="n">
        <v>43418</v>
      </c>
      <c r="B544" s="20" t="n">
        <v>10576.3</v>
      </c>
    </row>
    <row r="545" customFormat="false" ht="15" hidden="false" customHeight="false" outlineLevel="0" collapsed="false">
      <c r="A545" s="19" t="n">
        <v>43419</v>
      </c>
      <c r="B545" s="20" t="n">
        <v>10616.7</v>
      </c>
    </row>
    <row r="546" customFormat="false" ht="15" hidden="false" customHeight="false" outlineLevel="0" collapsed="false">
      <c r="A546" s="19" t="n">
        <v>43420</v>
      </c>
      <c r="B546" s="20" t="n">
        <v>10682.2</v>
      </c>
    </row>
    <row r="547" customFormat="false" ht="15" hidden="false" customHeight="false" outlineLevel="0" collapsed="false">
      <c r="A547" s="19" t="n">
        <v>43423</v>
      </c>
      <c r="B547" s="20" t="n">
        <v>10763.4</v>
      </c>
    </row>
    <row r="548" customFormat="false" ht="15" hidden="false" customHeight="false" outlineLevel="0" collapsed="false">
      <c r="A548" s="19" t="n">
        <v>43424</v>
      </c>
      <c r="B548" s="20" t="n">
        <v>10656.2</v>
      </c>
    </row>
    <row r="549" customFormat="false" ht="15" hidden="false" customHeight="false" outlineLevel="0" collapsed="false">
      <c r="A549" s="19" t="n">
        <v>43425</v>
      </c>
      <c r="B549" s="20" t="n">
        <v>10600.05</v>
      </c>
    </row>
    <row r="550" customFormat="false" ht="15" hidden="false" customHeight="false" outlineLevel="0" collapsed="false">
      <c r="A550" s="19" t="n">
        <v>43426</v>
      </c>
      <c r="B550" s="20" t="n">
        <v>10526.75</v>
      </c>
    </row>
    <row r="551" customFormat="false" ht="15" hidden="false" customHeight="false" outlineLevel="0" collapsed="false">
      <c r="A551" s="19" t="n">
        <v>43430</v>
      </c>
      <c r="B551" s="20" t="n">
        <v>10628.6</v>
      </c>
    </row>
    <row r="552" customFormat="false" ht="15" hidden="false" customHeight="false" outlineLevel="0" collapsed="false">
      <c r="A552" s="19" t="n">
        <v>43431</v>
      </c>
      <c r="B552" s="20" t="n">
        <v>10685.6</v>
      </c>
    </row>
    <row r="553" customFormat="false" ht="15" hidden="false" customHeight="false" outlineLevel="0" collapsed="false">
      <c r="A553" s="19" t="n">
        <v>43432</v>
      </c>
      <c r="B553" s="20" t="n">
        <v>10728.85</v>
      </c>
    </row>
    <row r="554" customFormat="false" ht="15" hidden="false" customHeight="false" outlineLevel="0" collapsed="false">
      <c r="A554" s="19" t="n">
        <v>43433</v>
      </c>
      <c r="B554" s="20" t="n">
        <v>10858.7</v>
      </c>
    </row>
    <row r="555" customFormat="false" ht="15" hidden="false" customHeight="false" outlineLevel="0" collapsed="false">
      <c r="A555" s="19" t="n">
        <v>43434</v>
      </c>
      <c r="B555" s="20" t="n">
        <v>10876.75</v>
      </c>
    </row>
    <row r="556" customFormat="false" ht="15" hidden="false" customHeight="false" outlineLevel="0" collapsed="false">
      <c r="A556" s="19" t="n">
        <v>43437</v>
      </c>
      <c r="B556" s="20" t="n">
        <v>10883.75</v>
      </c>
    </row>
    <row r="557" customFormat="false" ht="15" hidden="false" customHeight="false" outlineLevel="0" collapsed="false">
      <c r="A557" s="19" t="n">
        <v>43438</v>
      </c>
      <c r="B557" s="20" t="n">
        <v>10869.5</v>
      </c>
    </row>
    <row r="558" customFormat="false" ht="15" hidden="false" customHeight="false" outlineLevel="0" collapsed="false">
      <c r="A558" s="19" t="n">
        <v>43439</v>
      </c>
      <c r="B558" s="20" t="n">
        <v>10782.9</v>
      </c>
    </row>
    <row r="559" customFormat="false" ht="15" hidden="false" customHeight="false" outlineLevel="0" collapsed="false">
      <c r="A559" s="19" t="n">
        <v>43440</v>
      </c>
      <c r="B559" s="20" t="n">
        <v>10601.15</v>
      </c>
    </row>
    <row r="560" customFormat="false" ht="15" hidden="false" customHeight="false" outlineLevel="0" collapsed="false">
      <c r="A560" s="19" t="n">
        <v>43441</v>
      </c>
      <c r="B560" s="20" t="n">
        <v>10693.7</v>
      </c>
    </row>
    <row r="561" customFormat="false" ht="15" hidden="false" customHeight="false" outlineLevel="0" collapsed="false">
      <c r="A561" s="19" t="n">
        <v>43444</v>
      </c>
      <c r="B561" s="20" t="n">
        <v>10488.45</v>
      </c>
    </row>
    <row r="562" customFormat="false" ht="15" hidden="false" customHeight="false" outlineLevel="0" collapsed="false">
      <c r="A562" s="19" t="n">
        <v>43445</v>
      </c>
      <c r="B562" s="20" t="n">
        <v>10549.15</v>
      </c>
    </row>
    <row r="563" customFormat="false" ht="15" hidden="false" customHeight="false" outlineLevel="0" collapsed="false">
      <c r="A563" s="19" t="n">
        <v>43446</v>
      </c>
      <c r="B563" s="20" t="n">
        <v>10737.6</v>
      </c>
    </row>
    <row r="564" customFormat="false" ht="15" hidden="false" customHeight="false" outlineLevel="0" collapsed="false">
      <c r="A564" s="19" t="n">
        <v>43447</v>
      </c>
      <c r="B564" s="20" t="n">
        <v>10791.55</v>
      </c>
    </row>
    <row r="565" customFormat="false" ht="15" hidden="false" customHeight="false" outlineLevel="0" collapsed="false">
      <c r="A565" s="19" t="n">
        <v>43448</v>
      </c>
      <c r="B565" s="20" t="n">
        <v>10805.45</v>
      </c>
    </row>
    <row r="566" customFormat="false" ht="15" hidden="false" customHeight="false" outlineLevel="0" collapsed="false">
      <c r="A566" s="19" t="n">
        <v>43451</v>
      </c>
      <c r="B566" s="20" t="n">
        <v>10888.35</v>
      </c>
    </row>
    <row r="567" customFormat="false" ht="15" hidden="false" customHeight="false" outlineLevel="0" collapsed="false">
      <c r="A567" s="19" t="n">
        <v>43452</v>
      </c>
      <c r="B567" s="20" t="n">
        <v>10908.7</v>
      </c>
    </row>
    <row r="568" customFormat="false" ht="15" hidden="false" customHeight="false" outlineLevel="0" collapsed="false">
      <c r="A568" s="19" t="n">
        <v>43453</v>
      </c>
      <c r="B568" s="20" t="n">
        <v>10967.3</v>
      </c>
    </row>
    <row r="569" customFormat="false" ht="15" hidden="false" customHeight="false" outlineLevel="0" collapsed="false">
      <c r="A569" s="19" t="n">
        <v>43454</v>
      </c>
      <c r="B569" s="20" t="n">
        <v>10951.7</v>
      </c>
    </row>
    <row r="570" customFormat="false" ht="15" hidden="false" customHeight="false" outlineLevel="0" collapsed="false">
      <c r="A570" s="19" t="n">
        <v>43455</v>
      </c>
      <c r="B570" s="20" t="n">
        <v>10754</v>
      </c>
    </row>
    <row r="571" customFormat="false" ht="15" hidden="false" customHeight="false" outlineLevel="0" collapsed="false">
      <c r="A571" s="19" t="n">
        <v>43458</v>
      </c>
      <c r="B571" s="20" t="n">
        <v>10663.5</v>
      </c>
    </row>
    <row r="572" customFormat="false" ht="15" hidden="false" customHeight="false" outlineLevel="0" collapsed="false">
      <c r="A572" s="19" t="n">
        <v>43460</v>
      </c>
      <c r="B572" s="20" t="n">
        <v>10729.85</v>
      </c>
    </row>
    <row r="573" customFormat="false" ht="15" hidden="false" customHeight="false" outlineLevel="0" collapsed="false">
      <c r="A573" s="19" t="n">
        <v>43461</v>
      </c>
      <c r="B573" s="20" t="n">
        <v>10779.8</v>
      </c>
    </row>
    <row r="574" customFormat="false" ht="15" hidden="false" customHeight="false" outlineLevel="0" collapsed="false">
      <c r="A574" s="19" t="n">
        <v>43462</v>
      </c>
      <c r="B574" s="20" t="n">
        <v>10859.9</v>
      </c>
    </row>
    <row r="575" customFormat="false" ht="15" hidden="false" customHeight="false" outlineLevel="0" collapsed="false">
      <c r="A575" s="19" t="n">
        <v>43465</v>
      </c>
      <c r="B575" s="20" t="n">
        <v>10862.55</v>
      </c>
    </row>
    <row r="576" customFormat="false" ht="15" hidden="false" customHeight="false" outlineLevel="0" collapsed="false">
      <c r="A576" s="19" t="n">
        <v>43467</v>
      </c>
      <c r="B576" s="20" t="n">
        <v>10792.5</v>
      </c>
    </row>
    <row r="577" customFormat="false" ht="15" hidden="false" customHeight="false" outlineLevel="0" collapsed="false">
      <c r="A577" s="19" t="n">
        <v>43468</v>
      </c>
      <c r="B577" s="20" t="n">
        <v>10672.25</v>
      </c>
    </row>
    <row r="578" customFormat="false" ht="15" hidden="false" customHeight="false" outlineLevel="0" collapsed="false">
      <c r="A578" s="19" t="n">
        <v>43469</v>
      </c>
      <c r="B578" s="20" t="n">
        <v>10727.35</v>
      </c>
    </row>
    <row r="579" customFormat="false" ht="15" hidden="false" customHeight="false" outlineLevel="0" collapsed="false">
      <c r="A579" s="19" t="n">
        <v>43472</v>
      </c>
      <c r="B579" s="20" t="n">
        <v>10771.8</v>
      </c>
    </row>
    <row r="580" customFormat="false" ht="15" hidden="false" customHeight="false" outlineLevel="0" collapsed="false">
      <c r="A580" s="19" t="n">
        <v>43473</v>
      </c>
      <c r="B580" s="20" t="n">
        <v>10802.15</v>
      </c>
    </row>
    <row r="581" customFormat="false" ht="15" hidden="false" customHeight="false" outlineLevel="0" collapsed="false">
      <c r="A581" s="19" t="n">
        <v>43474</v>
      </c>
      <c r="B581" s="20" t="n">
        <v>10855.15</v>
      </c>
    </row>
    <row r="582" customFormat="false" ht="15" hidden="false" customHeight="false" outlineLevel="0" collapsed="false">
      <c r="A582" s="19" t="n">
        <v>43475</v>
      </c>
      <c r="B582" s="20" t="n">
        <v>10821.6</v>
      </c>
    </row>
    <row r="583" customFormat="false" ht="15" hidden="false" customHeight="false" outlineLevel="0" collapsed="false">
      <c r="A583" s="19" t="n">
        <v>43476</v>
      </c>
      <c r="B583" s="20" t="n">
        <v>10794.95</v>
      </c>
    </row>
    <row r="584" customFormat="false" ht="15" hidden="false" customHeight="false" outlineLevel="0" collapsed="false">
      <c r="A584" s="19" t="n">
        <v>43479</v>
      </c>
      <c r="B584" s="20" t="n">
        <v>10737.6</v>
      </c>
    </row>
    <row r="585" customFormat="false" ht="15" hidden="false" customHeight="false" outlineLevel="0" collapsed="false">
      <c r="A585" s="19" t="n">
        <v>43480</v>
      </c>
      <c r="B585" s="20" t="n">
        <v>10886.8</v>
      </c>
    </row>
    <row r="586" customFormat="false" ht="15" hidden="false" customHeight="false" outlineLevel="0" collapsed="false">
      <c r="A586" s="19" t="n">
        <v>43481</v>
      </c>
      <c r="B586" s="20" t="n">
        <v>10890.3</v>
      </c>
    </row>
    <row r="587" customFormat="false" ht="15" hidden="false" customHeight="false" outlineLevel="0" collapsed="false">
      <c r="A587" s="19" t="n">
        <v>43482</v>
      </c>
      <c r="B587" s="20" t="n">
        <v>10905.2</v>
      </c>
    </row>
    <row r="588" customFormat="false" ht="15" hidden="false" customHeight="false" outlineLevel="0" collapsed="false">
      <c r="A588" s="19" t="n">
        <v>43483</v>
      </c>
      <c r="B588" s="20" t="n">
        <v>10906.95</v>
      </c>
    </row>
    <row r="589" customFormat="false" ht="15" hidden="false" customHeight="false" outlineLevel="0" collapsed="false">
      <c r="A589" s="19" t="n">
        <v>43486</v>
      </c>
      <c r="B589" s="20" t="n">
        <v>10961.85</v>
      </c>
    </row>
    <row r="590" customFormat="false" ht="15" hidden="false" customHeight="false" outlineLevel="0" collapsed="false">
      <c r="A590" s="19" t="n">
        <v>43487</v>
      </c>
      <c r="B590" s="20" t="n">
        <v>10922.75</v>
      </c>
    </row>
    <row r="591" customFormat="false" ht="15" hidden="false" customHeight="false" outlineLevel="0" collapsed="false">
      <c r="A591" s="19" t="n">
        <v>43488</v>
      </c>
      <c r="B591" s="20" t="n">
        <v>10831.5</v>
      </c>
    </row>
    <row r="592" customFormat="false" ht="15" hidden="false" customHeight="false" outlineLevel="0" collapsed="false">
      <c r="A592" s="19" t="n">
        <v>43489</v>
      </c>
      <c r="B592" s="20" t="n">
        <v>10849.8</v>
      </c>
    </row>
    <row r="593" customFormat="false" ht="15" hidden="false" customHeight="false" outlineLevel="0" collapsed="false">
      <c r="A593" s="19" t="n">
        <v>43490</v>
      </c>
      <c r="B593" s="20" t="n">
        <v>10780.55</v>
      </c>
    </row>
    <row r="594" customFormat="false" ht="15" hidden="false" customHeight="false" outlineLevel="0" collapsed="false">
      <c r="A594" s="19" t="n">
        <v>43493</v>
      </c>
      <c r="B594" s="20" t="n">
        <v>10661.55</v>
      </c>
    </row>
    <row r="595" customFormat="false" ht="15" hidden="false" customHeight="false" outlineLevel="0" collapsed="false">
      <c r="A595" s="19" t="n">
        <v>43494</v>
      </c>
      <c r="B595" s="20" t="n">
        <v>10652.2</v>
      </c>
    </row>
    <row r="596" customFormat="false" ht="15" hidden="false" customHeight="false" outlineLevel="0" collapsed="false">
      <c r="A596" s="19" t="n">
        <v>43495</v>
      </c>
      <c r="B596" s="20" t="n">
        <v>10651.8</v>
      </c>
    </row>
    <row r="597" customFormat="false" ht="15" hidden="false" customHeight="false" outlineLevel="0" collapsed="false">
      <c r="A597" s="19" t="n">
        <v>43496</v>
      </c>
      <c r="B597" s="20" t="n">
        <v>10830.95</v>
      </c>
    </row>
    <row r="598" customFormat="false" ht="15" hidden="false" customHeight="false" outlineLevel="0" collapsed="false">
      <c r="A598" s="19" t="n">
        <v>43497</v>
      </c>
      <c r="B598" s="20" t="n">
        <v>10893.65</v>
      </c>
    </row>
    <row r="599" customFormat="false" ht="15" hidden="false" customHeight="false" outlineLevel="0" collapsed="false">
      <c r="A599" s="19" t="n">
        <v>43500</v>
      </c>
      <c r="B599" s="20" t="n">
        <v>10912.25</v>
      </c>
    </row>
    <row r="600" customFormat="false" ht="15" hidden="false" customHeight="false" outlineLevel="0" collapsed="false">
      <c r="A600" s="19" t="n">
        <v>43501</v>
      </c>
      <c r="B600" s="20" t="n">
        <v>10934.35</v>
      </c>
    </row>
    <row r="601" customFormat="false" ht="15" hidden="false" customHeight="false" outlineLevel="0" collapsed="false">
      <c r="A601" s="19" t="n">
        <v>43502</v>
      </c>
      <c r="B601" s="20" t="n">
        <v>11062.45</v>
      </c>
    </row>
    <row r="602" customFormat="false" ht="15" hidden="false" customHeight="false" outlineLevel="0" collapsed="false">
      <c r="A602" s="19" t="n">
        <v>43503</v>
      </c>
      <c r="B602" s="20" t="n">
        <v>11069.4</v>
      </c>
    </row>
    <row r="603" customFormat="false" ht="15" hidden="false" customHeight="false" outlineLevel="0" collapsed="false">
      <c r="A603" s="19" t="n">
        <v>43504</v>
      </c>
      <c r="B603" s="20" t="n">
        <v>10943.6</v>
      </c>
    </row>
    <row r="604" customFormat="false" ht="15" hidden="false" customHeight="false" outlineLevel="0" collapsed="false">
      <c r="A604" s="19" t="n">
        <v>43507</v>
      </c>
      <c r="B604" s="20" t="n">
        <v>10888.8</v>
      </c>
    </row>
    <row r="605" customFormat="false" ht="15" hidden="false" customHeight="false" outlineLevel="0" collapsed="false">
      <c r="A605" s="19" t="n">
        <v>43508</v>
      </c>
      <c r="B605" s="20" t="n">
        <v>10831.4</v>
      </c>
    </row>
    <row r="606" customFormat="false" ht="15" hidden="false" customHeight="false" outlineLevel="0" collapsed="false">
      <c r="A606" s="19" t="n">
        <v>43510</v>
      </c>
      <c r="B606" s="20" t="n">
        <v>10746.05</v>
      </c>
    </row>
    <row r="607" customFormat="false" ht="15" hidden="false" customHeight="false" outlineLevel="0" collapsed="false">
      <c r="A607" s="19" t="n">
        <v>43511</v>
      </c>
      <c r="B607" s="20" t="n">
        <v>10724.4</v>
      </c>
    </row>
    <row r="608" customFormat="false" ht="15" hidden="false" customHeight="false" outlineLevel="0" collapsed="false">
      <c r="A608" s="19" t="n">
        <v>43514</v>
      </c>
      <c r="B608" s="20" t="n">
        <v>10640.95</v>
      </c>
    </row>
    <row r="609" customFormat="false" ht="15" hidden="false" customHeight="false" outlineLevel="0" collapsed="false">
      <c r="A609" s="19" t="n">
        <v>43515</v>
      </c>
      <c r="B609" s="20" t="n">
        <v>10604.35</v>
      </c>
    </row>
    <row r="610" customFormat="false" ht="15" hidden="false" customHeight="false" outlineLevel="0" collapsed="false">
      <c r="A610" s="19" t="n">
        <v>43516</v>
      </c>
      <c r="B610" s="20" t="n">
        <v>10735.45</v>
      </c>
    </row>
    <row r="611" customFormat="false" ht="15" hidden="false" customHeight="false" outlineLevel="0" collapsed="false">
      <c r="A611" s="19" t="n">
        <v>43517</v>
      </c>
      <c r="B611" s="20" t="n">
        <v>10789.85</v>
      </c>
    </row>
    <row r="612" customFormat="false" ht="15" hidden="false" customHeight="false" outlineLevel="0" collapsed="false">
      <c r="A612" s="19" t="n">
        <v>43518</v>
      </c>
      <c r="B612" s="20" t="n">
        <v>10791.65</v>
      </c>
    </row>
    <row r="613" customFormat="false" ht="15" hidden="false" customHeight="false" outlineLevel="0" collapsed="false">
      <c r="A613" s="19" t="n">
        <v>43521</v>
      </c>
      <c r="B613" s="20" t="n">
        <v>10880.1</v>
      </c>
    </row>
    <row r="614" customFormat="false" ht="15" hidden="false" customHeight="false" outlineLevel="0" collapsed="false">
      <c r="A614" s="19" t="n">
        <v>43522</v>
      </c>
      <c r="B614" s="20" t="n">
        <v>10835.3</v>
      </c>
    </row>
    <row r="615" customFormat="false" ht="15" hidden="false" customHeight="false" outlineLevel="0" collapsed="false">
      <c r="A615" s="19" t="n">
        <v>43523</v>
      </c>
      <c r="B615" s="20" t="n">
        <v>10806.65</v>
      </c>
    </row>
    <row r="616" customFormat="false" ht="15" hidden="false" customHeight="false" outlineLevel="0" collapsed="false">
      <c r="A616" s="19" t="n">
        <v>43524</v>
      </c>
      <c r="B616" s="20" t="n">
        <v>10792.5</v>
      </c>
    </row>
    <row r="617" customFormat="false" ht="15" hidden="false" customHeight="false" outlineLevel="0" collapsed="false">
      <c r="A617" s="19" t="n">
        <v>43525</v>
      </c>
      <c r="B617" s="20" t="n">
        <v>10863.5</v>
      </c>
    </row>
    <row r="618" customFormat="false" ht="15" hidden="false" customHeight="false" outlineLevel="0" collapsed="false">
      <c r="A618" s="19" t="n">
        <v>43529</v>
      </c>
      <c r="B618" s="20" t="n">
        <v>10987.45</v>
      </c>
    </row>
    <row r="619" customFormat="false" ht="15" hidden="false" customHeight="false" outlineLevel="0" collapsed="false">
      <c r="A619" s="19" t="n">
        <v>43530</v>
      </c>
      <c r="B619" s="20" t="n">
        <v>11053</v>
      </c>
    </row>
    <row r="620" customFormat="false" ht="15" hidden="false" customHeight="false" outlineLevel="0" collapsed="false">
      <c r="A620" s="19" t="n">
        <v>43531</v>
      </c>
      <c r="B620" s="20" t="n">
        <v>11058.2</v>
      </c>
    </row>
    <row r="621" customFormat="false" ht="15" hidden="false" customHeight="false" outlineLevel="0" collapsed="false">
      <c r="A621" s="19" t="n">
        <v>43532</v>
      </c>
      <c r="B621" s="20" t="n">
        <v>11035.4</v>
      </c>
    </row>
    <row r="622" customFormat="false" ht="15" hidden="false" customHeight="false" outlineLevel="0" collapsed="false">
      <c r="A622" s="19" t="n">
        <v>43535</v>
      </c>
      <c r="B622" s="20" t="n">
        <v>11168.05</v>
      </c>
    </row>
    <row r="623" customFormat="false" ht="15" hidden="false" customHeight="false" outlineLevel="0" collapsed="false">
      <c r="A623" s="19" t="n">
        <v>43536</v>
      </c>
      <c r="B623" s="20" t="n">
        <v>11301.2</v>
      </c>
    </row>
    <row r="624" customFormat="false" ht="15" hidden="false" customHeight="false" outlineLevel="0" collapsed="false">
      <c r="A624" s="19" t="n">
        <v>43537</v>
      </c>
      <c r="B624" s="20" t="n">
        <v>11341.7</v>
      </c>
    </row>
    <row r="625" customFormat="false" ht="15" hidden="false" customHeight="false" outlineLevel="0" collapsed="false">
      <c r="A625" s="19" t="n">
        <v>43538</v>
      </c>
      <c r="B625" s="20" t="n">
        <v>11343.25</v>
      </c>
    </row>
    <row r="626" customFormat="false" ht="15" hidden="false" customHeight="false" outlineLevel="0" collapsed="false">
      <c r="A626" s="19" t="n">
        <v>43539</v>
      </c>
      <c r="B626" s="20" t="n">
        <v>11426.85</v>
      </c>
    </row>
    <row r="627" customFormat="false" ht="15" hidden="false" customHeight="false" outlineLevel="0" collapsed="false">
      <c r="A627" s="19" t="n">
        <v>43542</v>
      </c>
      <c r="B627" s="20" t="n">
        <v>11462.2</v>
      </c>
    </row>
    <row r="628" customFormat="false" ht="15" hidden="false" customHeight="false" outlineLevel="0" collapsed="false">
      <c r="A628" s="19" t="n">
        <v>43543</v>
      </c>
      <c r="B628" s="20" t="n">
        <v>11532.4</v>
      </c>
    </row>
    <row r="629" customFormat="false" ht="15" hidden="false" customHeight="false" outlineLevel="0" collapsed="false">
      <c r="A629" s="19" t="n">
        <v>43544</v>
      </c>
      <c r="B629" s="20" t="n">
        <v>11521.05</v>
      </c>
    </row>
    <row r="630" customFormat="false" ht="15" hidden="false" customHeight="false" outlineLevel="0" collapsed="false">
      <c r="A630" s="19" t="n">
        <v>43546</v>
      </c>
      <c r="B630" s="20" t="n">
        <v>11456.9</v>
      </c>
    </row>
    <row r="631" customFormat="false" ht="15" hidden="false" customHeight="false" outlineLevel="0" collapsed="false">
      <c r="A631" s="19" t="n">
        <v>43549</v>
      </c>
      <c r="B631" s="20" t="n">
        <v>11354.25</v>
      </c>
    </row>
    <row r="632" customFormat="false" ht="15" hidden="false" customHeight="false" outlineLevel="0" collapsed="false">
      <c r="A632" s="19" t="n">
        <v>43550</v>
      </c>
      <c r="B632" s="20" t="n">
        <v>11483.25</v>
      </c>
    </row>
    <row r="633" customFormat="false" ht="15" hidden="false" customHeight="false" outlineLevel="0" collapsed="false">
      <c r="A633" s="19" t="n">
        <v>43551</v>
      </c>
      <c r="B633" s="20" t="n">
        <v>11445.05</v>
      </c>
    </row>
    <row r="634" customFormat="false" ht="15" hidden="false" customHeight="false" outlineLevel="0" collapsed="false">
      <c r="A634" s="19" t="n">
        <v>43552</v>
      </c>
      <c r="B634" s="20" t="n">
        <v>11570</v>
      </c>
    </row>
    <row r="635" customFormat="false" ht="15" hidden="false" customHeight="false" outlineLevel="0" collapsed="false">
      <c r="A635" s="19" t="n">
        <v>43553</v>
      </c>
      <c r="B635" s="20" t="n">
        <v>11623.9</v>
      </c>
      <c r="C635" s="18" t="s">
        <v>20</v>
      </c>
    </row>
    <row r="636" customFormat="false" ht="15" hidden="false" customHeight="false" outlineLevel="0" collapsed="false">
      <c r="A636" s="19" t="n">
        <v>43556</v>
      </c>
      <c r="B636" s="20" t="n">
        <v>11669.15</v>
      </c>
    </row>
    <row r="637" customFormat="false" ht="15" hidden="false" customHeight="false" outlineLevel="0" collapsed="false">
      <c r="A637" s="19" t="n">
        <v>43557</v>
      </c>
      <c r="B637" s="20" t="n">
        <v>11713.2</v>
      </c>
    </row>
    <row r="638" customFormat="false" ht="15" hidden="false" customHeight="false" outlineLevel="0" collapsed="false">
      <c r="A638" s="19" t="n">
        <v>43558</v>
      </c>
      <c r="B638" s="20" t="n">
        <v>11643.95</v>
      </c>
    </row>
    <row r="639" customFormat="false" ht="15" hidden="false" customHeight="false" outlineLevel="0" collapsed="false">
      <c r="A639" s="19" t="n">
        <v>43559</v>
      </c>
      <c r="B639" s="20" t="n">
        <v>11598</v>
      </c>
    </row>
    <row r="640" customFormat="false" ht="15" hidden="false" customHeight="false" outlineLevel="0" collapsed="false">
      <c r="A640" s="19" t="n">
        <v>43560</v>
      </c>
      <c r="B640" s="20" t="n">
        <v>11665.95</v>
      </c>
    </row>
    <row r="641" customFormat="false" ht="15" hidden="false" customHeight="false" outlineLevel="0" collapsed="false">
      <c r="A641" s="19" t="n">
        <v>43563</v>
      </c>
      <c r="B641" s="20" t="n">
        <v>11604.5</v>
      </c>
    </row>
    <row r="642" customFormat="false" ht="15" hidden="false" customHeight="false" outlineLevel="0" collapsed="false">
      <c r="A642" s="19" t="n">
        <v>43564</v>
      </c>
      <c r="B642" s="20" t="n">
        <v>11671.95</v>
      </c>
    </row>
    <row r="643" customFormat="false" ht="15" hidden="false" customHeight="false" outlineLevel="0" collapsed="false">
      <c r="A643" s="19" t="n">
        <v>43565</v>
      </c>
      <c r="B643" s="20" t="n">
        <v>11584.3</v>
      </c>
    </row>
    <row r="644" customFormat="false" ht="15" hidden="false" customHeight="false" outlineLevel="0" collapsed="false">
      <c r="A644" s="19" t="n">
        <v>43566</v>
      </c>
      <c r="B644" s="20" t="n">
        <v>11596.7</v>
      </c>
    </row>
    <row r="645" customFormat="false" ht="15" hidden="false" customHeight="false" outlineLevel="0" collapsed="false">
      <c r="A645" s="19" t="n">
        <v>43567</v>
      </c>
      <c r="B645" s="20" t="n">
        <v>11643.45</v>
      </c>
    </row>
    <row r="646" customFormat="false" ht="15" hidden="false" customHeight="false" outlineLevel="0" collapsed="false">
      <c r="A646" s="19" t="n">
        <v>43570</v>
      </c>
      <c r="B646" s="20" t="n">
        <v>11690.35</v>
      </c>
    </row>
    <row r="647" customFormat="false" ht="15" hidden="false" customHeight="false" outlineLevel="0" collapsed="false">
      <c r="A647" s="19" t="n">
        <v>43571</v>
      </c>
      <c r="B647" s="20" t="n">
        <v>11787.15</v>
      </c>
    </row>
    <row r="648" customFormat="false" ht="15" hidden="false" customHeight="false" outlineLevel="0" collapsed="false">
      <c r="A648" s="19" t="n">
        <v>43573</v>
      </c>
      <c r="B648" s="20" t="n">
        <v>11752.8</v>
      </c>
    </row>
    <row r="649" customFormat="false" ht="15" hidden="false" customHeight="false" outlineLevel="0" collapsed="false">
      <c r="A649" s="19" t="n">
        <v>43577</v>
      </c>
      <c r="B649" s="20" t="n">
        <v>11594.45</v>
      </c>
    </row>
    <row r="650" customFormat="false" ht="15" hidden="false" customHeight="false" outlineLevel="0" collapsed="false">
      <c r="A650" s="19" t="n">
        <v>43578</v>
      </c>
      <c r="B650" s="20" t="n">
        <v>11575.95</v>
      </c>
    </row>
    <row r="651" customFormat="false" ht="15" hidden="false" customHeight="false" outlineLevel="0" collapsed="false">
      <c r="A651" s="19" t="n">
        <v>43579</v>
      </c>
      <c r="B651" s="20" t="n">
        <v>11726.15</v>
      </c>
    </row>
    <row r="652" customFormat="false" ht="15" hidden="false" customHeight="false" outlineLevel="0" collapsed="false">
      <c r="A652" s="19" t="n">
        <v>43580</v>
      </c>
      <c r="B652" s="20" t="n">
        <v>11641.8</v>
      </c>
    </row>
    <row r="653" customFormat="false" ht="15" hidden="false" customHeight="false" outlineLevel="0" collapsed="false">
      <c r="A653" s="19" t="n">
        <v>43581</v>
      </c>
      <c r="B653" s="20" t="n">
        <v>11754.65</v>
      </c>
    </row>
    <row r="654" customFormat="false" ht="15" hidden="false" customHeight="false" outlineLevel="0" collapsed="false">
      <c r="A654" s="19" t="n">
        <v>43585</v>
      </c>
      <c r="B654" s="20" t="n">
        <v>11748.15</v>
      </c>
    </row>
    <row r="655" customFormat="false" ht="15" hidden="false" customHeight="false" outlineLevel="0" collapsed="false">
      <c r="A655" s="19" t="n">
        <v>43587</v>
      </c>
      <c r="B655" s="20" t="n">
        <v>11724.75</v>
      </c>
    </row>
    <row r="656" customFormat="false" ht="15" hidden="false" customHeight="false" outlineLevel="0" collapsed="false">
      <c r="A656" s="19" t="n">
        <v>43588</v>
      </c>
      <c r="B656" s="20" t="n">
        <v>11712.25</v>
      </c>
    </row>
    <row r="657" customFormat="false" ht="15" hidden="false" customHeight="false" outlineLevel="0" collapsed="false">
      <c r="A657" s="19" t="n">
        <v>43591</v>
      </c>
      <c r="B657" s="20" t="n">
        <v>11598.25</v>
      </c>
    </row>
    <row r="658" customFormat="false" ht="15" hidden="false" customHeight="false" outlineLevel="0" collapsed="false">
      <c r="A658" s="19" t="n">
        <v>43592</v>
      </c>
      <c r="B658" s="20" t="n">
        <v>11497.9</v>
      </c>
    </row>
    <row r="659" customFormat="false" ht="15" hidden="false" customHeight="false" outlineLevel="0" collapsed="false">
      <c r="A659" s="19" t="n">
        <v>43593</v>
      </c>
      <c r="B659" s="20" t="n">
        <v>11359.45</v>
      </c>
    </row>
    <row r="660" customFormat="false" ht="15" hidden="false" customHeight="false" outlineLevel="0" collapsed="false">
      <c r="A660" s="19" t="n">
        <v>43594</v>
      </c>
      <c r="B660" s="20" t="n">
        <v>11301.8</v>
      </c>
    </row>
    <row r="661" customFormat="false" ht="15" hidden="false" customHeight="false" outlineLevel="0" collapsed="false">
      <c r="A661" s="19" t="n">
        <v>43595</v>
      </c>
      <c r="B661" s="20" t="n">
        <v>11278.9</v>
      </c>
    </row>
    <row r="662" customFormat="false" ht="15" hidden="false" customHeight="false" outlineLevel="0" collapsed="false">
      <c r="A662" s="19" t="n">
        <v>43598</v>
      </c>
      <c r="B662" s="20" t="n">
        <v>11148.2</v>
      </c>
    </row>
    <row r="663" customFormat="false" ht="15" hidden="false" customHeight="false" outlineLevel="0" collapsed="false">
      <c r="A663" s="19" t="n">
        <v>43599</v>
      </c>
      <c r="B663" s="20" t="n">
        <v>11222.05</v>
      </c>
    </row>
    <row r="664" customFormat="false" ht="15" hidden="false" customHeight="false" outlineLevel="0" collapsed="false">
      <c r="A664" s="19" t="n">
        <v>43600</v>
      </c>
      <c r="B664" s="20" t="n">
        <v>11157</v>
      </c>
    </row>
    <row r="665" customFormat="false" ht="15" hidden="false" customHeight="false" outlineLevel="0" collapsed="false">
      <c r="A665" s="19" t="n">
        <v>43601</v>
      </c>
      <c r="B665" s="20" t="n">
        <v>11257.1</v>
      </c>
    </row>
    <row r="666" customFormat="false" ht="15" hidden="false" customHeight="false" outlineLevel="0" collapsed="false">
      <c r="A666" s="19" t="n">
        <v>43602</v>
      </c>
      <c r="B666" s="20" t="n">
        <v>11407.15</v>
      </c>
    </row>
    <row r="667" customFormat="false" ht="15" hidden="false" customHeight="false" outlineLevel="0" collapsed="false">
      <c r="A667" s="19" t="n">
        <v>43605</v>
      </c>
      <c r="B667" s="20" t="n">
        <v>11828.25</v>
      </c>
    </row>
    <row r="668" customFormat="false" ht="15" hidden="false" customHeight="false" outlineLevel="0" collapsed="false">
      <c r="A668" s="19" t="n">
        <v>43606</v>
      </c>
      <c r="B668" s="20" t="n">
        <v>11709.1</v>
      </c>
    </row>
    <row r="669" customFormat="false" ht="15" hidden="false" customHeight="false" outlineLevel="0" collapsed="false">
      <c r="A669" s="19" t="n">
        <v>43607</v>
      </c>
      <c r="B669" s="20" t="n">
        <v>11737.9</v>
      </c>
    </row>
    <row r="670" customFormat="false" ht="15" hidden="false" customHeight="false" outlineLevel="0" collapsed="false">
      <c r="A670" s="19" t="n">
        <v>43608</v>
      </c>
      <c r="B670" s="20" t="n">
        <v>11657.05</v>
      </c>
    </row>
    <row r="671" customFormat="false" ht="15" hidden="false" customHeight="false" outlineLevel="0" collapsed="false">
      <c r="A671" s="19" t="n">
        <v>43609</v>
      </c>
      <c r="B671" s="20" t="n">
        <v>11844.1</v>
      </c>
    </row>
    <row r="672" customFormat="false" ht="15" hidden="false" customHeight="false" outlineLevel="0" collapsed="false">
      <c r="A672" s="19" t="n">
        <v>43612</v>
      </c>
      <c r="B672" s="20" t="n">
        <v>11924.75</v>
      </c>
    </row>
    <row r="673" customFormat="false" ht="15" hidden="false" customHeight="false" outlineLevel="0" collapsed="false">
      <c r="A673" s="19" t="n">
        <v>43613</v>
      </c>
      <c r="B673" s="20" t="n">
        <v>11928.75</v>
      </c>
    </row>
    <row r="674" customFormat="false" ht="15" hidden="false" customHeight="false" outlineLevel="0" collapsed="false">
      <c r="A674" s="19" t="n">
        <v>43614</v>
      </c>
      <c r="B674" s="20" t="n">
        <v>11861.1</v>
      </c>
    </row>
    <row r="675" customFormat="false" ht="15" hidden="false" customHeight="false" outlineLevel="0" collapsed="false">
      <c r="A675" s="19" t="n">
        <v>43615</v>
      </c>
      <c r="B675" s="20" t="n">
        <v>11945.9</v>
      </c>
    </row>
    <row r="676" customFormat="false" ht="15" hidden="false" customHeight="false" outlineLevel="0" collapsed="false">
      <c r="A676" s="19" t="n">
        <v>43616</v>
      </c>
      <c r="B676" s="20" t="n">
        <v>11922.8</v>
      </c>
    </row>
    <row r="677" customFormat="false" ht="15" hidden="false" customHeight="false" outlineLevel="0" collapsed="false">
      <c r="A677" s="19" t="n">
        <v>43619</v>
      </c>
      <c r="B677" s="20" t="n">
        <v>12088.55</v>
      </c>
    </row>
    <row r="678" customFormat="false" ht="15" hidden="false" customHeight="false" outlineLevel="0" collapsed="false">
      <c r="A678" s="19" t="n">
        <v>43620</v>
      </c>
      <c r="B678" s="20" t="n">
        <v>12021.65</v>
      </c>
    </row>
    <row r="679" customFormat="false" ht="15" hidden="false" customHeight="false" outlineLevel="0" collapsed="false">
      <c r="A679" s="19" t="n">
        <v>43622</v>
      </c>
      <c r="B679" s="20" t="n">
        <v>11843.75</v>
      </c>
    </row>
    <row r="680" customFormat="false" ht="15" hidden="false" customHeight="false" outlineLevel="0" collapsed="false">
      <c r="A680" s="19" t="n">
        <v>43623</v>
      </c>
      <c r="B680" s="20" t="n">
        <v>11870.65</v>
      </c>
    </row>
    <row r="681" customFormat="false" ht="15" hidden="false" customHeight="false" outlineLevel="0" collapsed="false">
      <c r="A681" s="19" t="n">
        <v>43626</v>
      </c>
      <c r="B681" s="20" t="n">
        <v>11922.7</v>
      </c>
    </row>
    <row r="682" customFormat="false" ht="15" hidden="false" customHeight="false" outlineLevel="0" collapsed="false">
      <c r="A682" s="19" t="n">
        <v>43627</v>
      </c>
      <c r="B682" s="20" t="n">
        <v>11965.6</v>
      </c>
    </row>
    <row r="683" customFormat="false" ht="15" hidden="false" customHeight="false" outlineLevel="0" collapsed="false">
      <c r="A683" s="19" t="n">
        <v>43628</v>
      </c>
      <c r="B683" s="20" t="n">
        <v>11906.2</v>
      </c>
    </row>
    <row r="684" customFormat="false" ht="15" hidden="false" customHeight="false" outlineLevel="0" collapsed="false">
      <c r="A684" s="19" t="n">
        <v>43629</v>
      </c>
      <c r="B684" s="20" t="n">
        <v>11914.05</v>
      </c>
    </row>
    <row r="685" customFormat="false" ht="15" hidden="false" customHeight="false" outlineLevel="0" collapsed="false">
      <c r="A685" s="19" t="n">
        <v>43630</v>
      </c>
      <c r="B685" s="20" t="n">
        <v>11823.3</v>
      </c>
    </row>
    <row r="686" customFormat="false" ht="15" hidden="false" customHeight="false" outlineLevel="0" collapsed="false">
      <c r="A686" s="19" t="n">
        <v>43633</v>
      </c>
      <c r="B686" s="20" t="n">
        <v>11672.15</v>
      </c>
    </row>
    <row r="687" customFormat="false" ht="15" hidden="false" customHeight="false" outlineLevel="0" collapsed="false">
      <c r="A687" s="19" t="n">
        <v>43634</v>
      </c>
      <c r="B687" s="20" t="n">
        <v>11691.5</v>
      </c>
    </row>
    <row r="688" customFormat="false" ht="15" hidden="false" customHeight="false" outlineLevel="0" collapsed="false">
      <c r="A688" s="19" t="n">
        <v>43635</v>
      </c>
      <c r="B688" s="20" t="n">
        <v>11691.45</v>
      </c>
    </row>
    <row r="689" customFormat="false" ht="15" hidden="false" customHeight="false" outlineLevel="0" collapsed="false">
      <c r="A689" s="19" t="n">
        <v>43636</v>
      </c>
      <c r="B689" s="20" t="n">
        <v>11831.75</v>
      </c>
    </row>
    <row r="690" customFormat="false" ht="15" hidden="false" customHeight="false" outlineLevel="0" collapsed="false">
      <c r="A690" s="19" t="n">
        <v>43637</v>
      </c>
      <c r="B690" s="20" t="n">
        <v>11724.1</v>
      </c>
    </row>
    <row r="691" customFormat="false" ht="15" hidden="false" customHeight="false" outlineLevel="0" collapsed="false">
      <c r="A691" s="19" t="n">
        <v>43640</v>
      </c>
      <c r="B691" s="20" t="n">
        <v>11699.65</v>
      </c>
    </row>
    <row r="692" customFormat="false" ht="15" hidden="false" customHeight="false" outlineLevel="0" collapsed="false">
      <c r="A692" s="19" t="n">
        <v>43641</v>
      </c>
      <c r="B692" s="20" t="n">
        <v>11796.45</v>
      </c>
    </row>
    <row r="693" customFormat="false" ht="15" hidden="false" customHeight="false" outlineLevel="0" collapsed="false">
      <c r="A693" s="19" t="n">
        <v>43642</v>
      </c>
      <c r="B693" s="20" t="n">
        <v>11847.55</v>
      </c>
    </row>
    <row r="694" customFormat="false" ht="15" hidden="false" customHeight="false" outlineLevel="0" collapsed="false">
      <c r="A694" s="19" t="n">
        <v>43643</v>
      </c>
      <c r="B694" s="20" t="n">
        <v>11841.55</v>
      </c>
    </row>
    <row r="695" customFormat="false" ht="15" hidden="false" customHeight="false" outlineLevel="0" collapsed="false">
      <c r="A695" s="19" t="n">
        <v>43644</v>
      </c>
      <c r="B695" s="20" t="n">
        <v>11788.85</v>
      </c>
    </row>
    <row r="696" customFormat="false" ht="15" hidden="false" customHeight="false" outlineLevel="0" collapsed="false">
      <c r="A696" s="19" t="n">
        <v>43647</v>
      </c>
      <c r="B696" s="20" t="n">
        <v>11865.6</v>
      </c>
    </row>
    <row r="697" customFormat="false" ht="15" hidden="false" customHeight="false" outlineLevel="0" collapsed="false">
      <c r="A697" s="19" t="n">
        <v>43648</v>
      </c>
      <c r="B697" s="20" t="n">
        <v>11910.3</v>
      </c>
    </row>
    <row r="698" customFormat="false" ht="15" hidden="false" customHeight="false" outlineLevel="0" collapsed="false">
      <c r="A698" s="19" t="n">
        <v>43649</v>
      </c>
      <c r="B698" s="20" t="n">
        <v>11916.75</v>
      </c>
    </row>
    <row r="699" customFormat="false" ht="15" hidden="false" customHeight="false" outlineLevel="0" collapsed="false">
      <c r="A699" s="19" t="n">
        <v>43650</v>
      </c>
      <c r="B699" s="20" t="n">
        <v>11946.75</v>
      </c>
    </row>
    <row r="700" customFormat="false" ht="15" hidden="false" customHeight="false" outlineLevel="0" collapsed="false">
      <c r="A700" s="19" t="n">
        <v>43651</v>
      </c>
      <c r="B700" s="20" t="n">
        <v>11811.15</v>
      </c>
    </row>
    <row r="701" customFormat="false" ht="15" hidden="false" customHeight="false" outlineLevel="0" collapsed="false">
      <c r="A701" s="19" t="n">
        <v>43654</v>
      </c>
      <c r="B701" s="20" t="n">
        <v>11558.6</v>
      </c>
    </row>
    <row r="702" customFormat="false" ht="15" hidden="false" customHeight="false" outlineLevel="0" collapsed="false">
      <c r="A702" s="19" t="n">
        <v>43655</v>
      </c>
      <c r="B702" s="20" t="n">
        <v>11555.9</v>
      </c>
    </row>
    <row r="703" customFormat="false" ht="15" hidden="false" customHeight="false" outlineLevel="0" collapsed="false">
      <c r="A703" s="19" t="n">
        <v>43656</v>
      </c>
      <c r="B703" s="20" t="n">
        <v>11498.9</v>
      </c>
    </row>
    <row r="704" customFormat="false" ht="15" hidden="false" customHeight="false" outlineLevel="0" collapsed="false">
      <c r="A704" s="19" t="n">
        <v>43657</v>
      </c>
      <c r="B704" s="20" t="n">
        <v>11582.9</v>
      </c>
    </row>
    <row r="705" customFormat="false" ht="15" hidden="false" customHeight="false" outlineLevel="0" collapsed="false">
      <c r="A705" s="19" t="n">
        <v>43658</v>
      </c>
      <c r="B705" s="20" t="n">
        <v>11552.5</v>
      </c>
    </row>
    <row r="706" customFormat="false" ht="15" hidden="false" customHeight="false" outlineLevel="0" collapsed="false">
      <c r="A706" s="19" t="n">
        <v>43661</v>
      </c>
      <c r="B706" s="20" t="n">
        <v>11588.35</v>
      </c>
    </row>
    <row r="707" customFormat="false" ht="15" hidden="false" customHeight="false" outlineLevel="0" collapsed="false">
      <c r="A707" s="19" t="n">
        <v>43662</v>
      </c>
      <c r="B707" s="20" t="n">
        <v>11662.6</v>
      </c>
    </row>
    <row r="708" customFormat="false" ht="15" hidden="false" customHeight="false" outlineLevel="0" collapsed="false">
      <c r="A708" s="19" t="n">
        <v>43663</v>
      </c>
      <c r="B708" s="20" t="n">
        <v>11687.5</v>
      </c>
    </row>
    <row r="709" customFormat="false" ht="15" hidden="false" customHeight="false" outlineLevel="0" collapsed="false">
      <c r="A709" s="19" t="n">
        <v>43664</v>
      </c>
      <c r="B709" s="20" t="n">
        <v>11596.9</v>
      </c>
    </row>
    <row r="710" customFormat="false" ht="15" hidden="false" customHeight="false" outlineLevel="0" collapsed="false">
      <c r="A710" s="19" t="n">
        <v>43665</v>
      </c>
      <c r="B710" s="20" t="n">
        <v>11419.25</v>
      </c>
    </row>
    <row r="711" customFormat="false" ht="15" hidden="false" customHeight="false" outlineLevel="0" collapsed="false">
      <c r="A711" s="19" t="n">
        <v>43668</v>
      </c>
      <c r="B711" s="20" t="n">
        <v>11346.2</v>
      </c>
    </row>
    <row r="712" customFormat="false" ht="15" hidden="false" customHeight="false" outlineLevel="0" collapsed="false">
      <c r="A712" s="19" t="n">
        <v>43669</v>
      </c>
      <c r="B712" s="20" t="n">
        <v>11331.05</v>
      </c>
    </row>
    <row r="713" customFormat="false" ht="15" hidden="false" customHeight="false" outlineLevel="0" collapsed="false">
      <c r="A713" s="19" t="n">
        <v>43670</v>
      </c>
      <c r="B713" s="20" t="n">
        <v>11271.3</v>
      </c>
    </row>
    <row r="714" customFormat="false" ht="15" hidden="false" customHeight="false" outlineLevel="0" collapsed="false">
      <c r="A714" s="19" t="n">
        <v>43671</v>
      </c>
      <c r="B714" s="20" t="n">
        <v>11252.15</v>
      </c>
    </row>
    <row r="715" customFormat="false" ht="15" hidden="false" customHeight="false" outlineLevel="0" collapsed="false">
      <c r="A715" s="19" t="n">
        <v>43672</v>
      </c>
      <c r="B715" s="20" t="n">
        <v>11284.3</v>
      </c>
    </row>
    <row r="716" customFormat="false" ht="15" hidden="false" customHeight="false" outlineLevel="0" collapsed="false">
      <c r="A716" s="19" t="n">
        <v>43675</v>
      </c>
      <c r="B716" s="20" t="n">
        <v>11189.2</v>
      </c>
    </row>
    <row r="717" customFormat="false" ht="15" hidden="false" customHeight="false" outlineLevel="0" collapsed="false">
      <c r="A717" s="19" t="n">
        <v>43676</v>
      </c>
      <c r="B717" s="20" t="n">
        <v>11085.4</v>
      </c>
    </row>
    <row r="718" customFormat="false" ht="15" hidden="false" customHeight="false" outlineLevel="0" collapsed="false">
      <c r="A718" s="19" t="n">
        <v>43677</v>
      </c>
      <c r="B718" s="20" t="n">
        <v>11118</v>
      </c>
    </row>
    <row r="719" customFormat="false" ht="15" hidden="false" customHeight="false" outlineLevel="0" collapsed="false">
      <c r="A719" s="19" t="n">
        <v>43678</v>
      </c>
      <c r="B719" s="20" t="n">
        <v>10980</v>
      </c>
    </row>
    <row r="720" customFormat="false" ht="15" hidden="false" customHeight="false" outlineLevel="0" collapsed="false">
      <c r="A720" s="19" t="n">
        <v>43679</v>
      </c>
      <c r="B720" s="20" t="n">
        <v>10997.35</v>
      </c>
    </row>
    <row r="721" customFormat="false" ht="15" hidden="false" customHeight="false" outlineLevel="0" collapsed="false">
      <c r="A721" s="19" t="n">
        <v>43682</v>
      </c>
      <c r="B721" s="20" t="n">
        <v>10862.6</v>
      </c>
    </row>
    <row r="722" customFormat="false" ht="15" hidden="false" customHeight="false" outlineLevel="0" collapsed="false">
      <c r="A722" s="19" t="n">
        <v>43683</v>
      </c>
      <c r="B722" s="20" t="n">
        <v>10948.25</v>
      </c>
    </row>
    <row r="723" customFormat="false" ht="15" hidden="false" customHeight="false" outlineLevel="0" collapsed="false">
      <c r="A723" s="19" t="n">
        <v>43684</v>
      </c>
      <c r="B723" s="20" t="n">
        <v>10855.5</v>
      </c>
    </row>
    <row r="724" customFormat="false" ht="15" hidden="false" customHeight="false" outlineLevel="0" collapsed="false">
      <c r="A724" s="19" t="n">
        <v>43685</v>
      </c>
      <c r="B724" s="20" t="n">
        <v>11032.45</v>
      </c>
    </row>
    <row r="725" customFormat="false" ht="15" hidden="false" customHeight="false" outlineLevel="0" collapsed="false">
      <c r="A725" s="19" t="n">
        <v>43686</v>
      </c>
      <c r="B725" s="20" t="n">
        <v>11109.65</v>
      </c>
    </row>
    <row r="726" customFormat="false" ht="15" hidden="false" customHeight="false" outlineLevel="0" collapsed="false">
      <c r="A726" s="19" t="n">
        <v>43690</v>
      </c>
      <c r="B726" s="20" t="n">
        <v>10925.85</v>
      </c>
    </row>
    <row r="727" customFormat="false" ht="15" hidden="false" customHeight="false" outlineLevel="0" collapsed="false">
      <c r="A727" s="19" t="n">
        <v>43691</v>
      </c>
      <c r="B727" s="20" t="n">
        <v>11029.4</v>
      </c>
    </row>
    <row r="728" customFormat="false" ht="15" hidden="false" customHeight="false" outlineLevel="0" collapsed="false">
      <c r="A728" s="19" t="n">
        <v>43693</v>
      </c>
      <c r="B728" s="20" t="n">
        <v>11047.8</v>
      </c>
    </row>
    <row r="729" customFormat="false" ht="15" hidden="false" customHeight="false" outlineLevel="0" collapsed="false">
      <c r="A729" s="19" t="n">
        <v>43696</v>
      </c>
      <c r="B729" s="20" t="n">
        <v>11053.9</v>
      </c>
    </row>
    <row r="730" customFormat="false" ht="15" hidden="false" customHeight="false" outlineLevel="0" collapsed="false">
      <c r="A730" s="19" t="n">
        <v>43697</v>
      </c>
      <c r="B730" s="20" t="n">
        <v>11017</v>
      </c>
    </row>
    <row r="731" customFormat="false" ht="15" hidden="false" customHeight="false" outlineLevel="0" collapsed="false">
      <c r="A731" s="19" t="n">
        <v>43698</v>
      </c>
      <c r="B731" s="20" t="n">
        <v>10918.7</v>
      </c>
    </row>
    <row r="732" customFormat="false" ht="15" hidden="false" customHeight="false" outlineLevel="0" collapsed="false">
      <c r="A732" s="19" t="n">
        <v>43699</v>
      </c>
      <c r="B732" s="20" t="n">
        <v>10741.35</v>
      </c>
    </row>
    <row r="733" customFormat="false" ht="15" hidden="false" customHeight="false" outlineLevel="0" collapsed="false">
      <c r="A733" s="19" t="n">
        <v>43700</v>
      </c>
      <c r="B733" s="20" t="n">
        <v>10829.35</v>
      </c>
    </row>
    <row r="734" customFormat="false" ht="15" hidden="false" customHeight="false" outlineLevel="0" collapsed="false">
      <c r="A734" s="19" t="n">
        <v>43703</v>
      </c>
      <c r="B734" s="20" t="n">
        <v>11057.85</v>
      </c>
    </row>
    <row r="735" customFormat="false" ht="15" hidden="false" customHeight="false" outlineLevel="0" collapsed="false">
      <c r="A735" s="19" t="n">
        <v>43704</v>
      </c>
      <c r="B735" s="20" t="n">
        <v>11105.35</v>
      </c>
    </row>
    <row r="736" customFormat="false" ht="15" hidden="false" customHeight="false" outlineLevel="0" collapsed="false">
      <c r="A736" s="19" t="n">
        <v>43705</v>
      </c>
      <c r="B736" s="20" t="n">
        <v>11046.1</v>
      </c>
    </row>
    <row r="737" customFormat="false" ht="15" hidden="false" customHeight="false" outlineLevel="0" collapsed="false">
      <c r="A737" s="19" t="n">
        <v>43706</v>
      </c>
      <c r="B737" s="20" t="n">
        <v>10948.3</v>
      </c>
    </row>
    <row r="738" customFormat="false" ht="15" hidden="false" customHeight="false" outlineLevel="0" collapsed="false">
      <c r="A738" s="19" t="n">
        <v>43707</v>
      </c>
      <c r="B738" s="20" t="n">
        <v>11023.25</v>
      </c>
    </row>
    <row r="739" customFormat="false" ht="15" hidden="false" customHeight="false" outlineLevel="0" collapsed="false">
      <c r="A739" s="19" t="n">
        <v>43711</v>
      </c>
      <c r="B739" s="20" t="n">
        <v>10797.9</v>
      </c>
    </row>
    <row r="740" customFormat="false" ht="15" hidden="false" customHeight="false" outlineLevel="0" collapsed="false">
      <c r="A740" s="19" t="n">
        <v>43712</v>
      </c>
      <c r="B740" s="20" t="n">
        <v>10844.65</v>
      </c>
    </row>
    <row r="741" customFormat="false" ht="15" hidden="false" customHeight="false" outlineLevel="0" collapsed="false">
      <c r="A741" s="19" t="n">
        <v>43713</v>
      </c>
      <c r="B741" s="20" t="n">
        <v>10847.9</v>
      </c>
    </row>
    <row r="742" customFormat="false" ht="15" hidden="false" customHeight="false" outlineLevel="0" collapsed="false">
      <c r="A742" s="19" t="n">
        <v>43714</v>
      </c>
      <c r="B742" s="20" t="n">
        <v>10946.2</v>
      </c>
    </row>
    <row r="743" customFormat="false" ht="15" hidden="false" customHeight="false" outlineLevel="0" collapsed="false">
      <c r="A743" s="19" t="n">
        <v>43717</v>
      </c>
      <c r="B743" s="20" t="n">
        <v>11003.05</v>
      </c>
    </row>
    <row r="744" customFormat="false" ht="15" hidden="false" customHeight="false" outlineLevel="0" collapsed="false">
      <c r="A744" s="19" t="n">
        <v>43719</v>
      </c>
      <c r="B744" s="20" t="n">
        <v>11035.7</v>
      </c>
    </row>
    <row r="745" customFormat="false" ht="15" hidden="false" customHeight="false" outlineLevel="0" collapsed="false">
      <c r="A745" s="19" t="n">
        <v>43720</v>
      </c>
      <c r="B745" s="20" t="n">
        <v>10982.8</v>
      </c>
    </row>
    <row r="746" customFormat="false" ht="15" hidden="false" customHeight="false" outlineLevel="0" collapsed="false">
      <c r="A746" s="19" t="n">
        <v>43721</v>
      </c>
      <c r="B746" s="20" t="n">
        <v>11075.9</v>
      </c>
    </row>
    <row r="747" customFormat="false" ht="15" hidden="false" customHeight="false" outlineLevel="0" collapsed="false">
      <c r="A747" s="19" t="n">
        <v>43724</v>
      </c>
      <c r="B747" s="20" t="n">
        <v>11003.5</v>
      </c>
    </row>
    <row r="748" customFormat="false" ht="15" hidden="false" customHeight="false" outlineLevel="0" collapsed="false">
      <c r="A748" s="19" t="n">
        <v>43725</v>
      </c>
      <c r="B748" s="20" t="n">
        <v>10817.6</v>
      </c>
    </row>
    <row r="749" customFormat="false" ht="15" hidden="false" customHeight="false" outlineLevel="0" collapsed="false">
      <c r="A749" s="19" t="n">
        <v>43726</v>
      </c>
      <c r="B749" s="20" t="n">
        <v>10840.65</v>
      </c>
    </row>
    <row r="750" customFormat="false" ht="15" hidden="false" customHeight="false" outlineLevel="0" collapsed="false">
      <c r="A750" s="19" t="n">
        <v>43727</v>
      </c>
      <c r="B750" s="20" t="n">
        <v>10704.8</v>
      </c>
    </row>
    <row r="751" customFormat="false" ht="15" hidden="false" customHeight="false" outlineLevel="0" collapsed="false">
      <c r="A751" s="19" t="n">
        <v>43728</v>
      </c>
      <c r="B751" s="20" t="n">
        <v>11274.2</v>
      </c>
    </row>
    <row r="752" customFormat="false" ht="15" hidden="false" customHeight="false" outlineLevel="0" collapsed="false">
      <c r="A752" s="19" t="n">
        <v>43731</v>
      </c>
      <c r="B752" s="20" t="n">
        <v>11600.2</v>
      </c>
    </row>
    <row r="753" customFormat="false" ht="15" hidden="false" customHeight="false" outlineLevel="0" collapsed="false">
      <c r="A753" s="19" t="n">
        <v>43732</v>
      </c>
      <c r="B753" s="20" t="n">
        <v>11588.2</v>
      </c>
    </row>
    <row r="754" customFormat="false" ht="15" hidden="false" customHeight="false" outlineLevel="0" collapsed="false">
      <c r="A754" s="19" t="n">
        <v>43733</v>
      </c>
      <c r="B754" s="20" t="n">
        <v>11440.2</v>
      </c>
    </row>
    <row r="755" customFormat="false" ht="15" hidden="false" customHeight="false" outlineLevel="0" collapsed="false">
      <c r="A755" s="19" t="n">
        <v>43734</v>
      </c>
      <c r="B755" s="20" t="n">
        <v>11571.2</v>
      </c>
    </row>
    <row r="756" customFormat="false" ht="15" hidden="false" customHeight="false" outlineLevel="0" collapsed="false">
      <c r="A756" s="19" t="n">
        <v>43735</v>
      </c>
      <c r="B756" s="20" t="n">
        <v>11512.4</v>
      </c>
    </row>
    <row r="757" customFormat="false" ht="15" hidden="false" customHeight="false" outlineLevel="0" collapsed="false">
      <c r="A757" s="19" t="n">
        <v>43738</v>
      </c>
      <c r="B757" s="20" t="n">
        <v>11474.45</v>
      </c>
    </row>
    <row r="758" customFormat="false" ht="15" hidden="false" customHeight="false" outlineLevel="0" collapsed="false">
      <c r="A758" s="19" t="n">
        <v>43739</v>
      </c>
      <c r="B758" s="20" t="n">
        <v>11359.9</v>
      </c>
    </row>
    <row r="759" customFormat="false" ht="15" hidden="false" customHeight="false" outlineLevel="0" collapsed="false">
      <c r="A759" s="19" t="n">
        <v>43741</v>
      </c>
      <c r="B759" s="20" t="n">
        <v>11314</v>
      </c>
    </row>
    <row r="760" customFormat="false" ht="15" hidden="false" customHeight="false" outlineLevel="0" collapsed="false">
      <c r="A760" s="19" t="n">
        <v>43742</v>
      </c>
      <c r="B760" s="20" t="n">
        <v>11174.75</v>
      </c>
    </row>
    <row r="761" customFormat="false" ht="15" hidden="false" customHeight="false" outlineLevel="0" collapsed="false">
      <c r="A761" s="19" t="n">
        <v>43745</v>
      </c>
      <c r="B761" s="20" t="n">
        <v>11126.4</v>
      </c>
    </row>
    <row r="762" customFormat="false" ht="15" hidden="false" customHeight="false" outlineLevel="0" collapsed="false">
      <c r="A762" s="19" t="n">
        <v>43747</v>
      </c>
      <c r="B762" s="20" t="n">
        <v>11313.3</v>
      </c>
    </row>
    <row r="763" customFormat="false" ht="15" hidden="false" customHeight="false" outlineLevel="0" collapsed="false">
      <c r="A763" s="19" t="n">
        <v>43748</v>
      </c>
      <c r="B763" s="20" t="n">
        <v>11234.55</v>
      </c>
    </row>
    <row r="764" customFormat="false" ht="15" hidden="false" customHeight="false" outlineLevel="0" collapsed="false">
      <c r="A764" s="19" t="n">
        <v>43749</v>
      </c>
      <c r="B764" s="20" t="n">
        <v>11305.05</v>
      </c>
    </row>
    <row r="765" customFormat="false" ht="15" hidden="false" customHeight="false" outlineLevel="0" collapsed="false">
      <c r="A765" s="19" t="n">
        <v>43752</v>
      </c>
      <c r="B765" s="20" t="n">
        <v>11341.15</v>
      </c>
    </row>
    <row r="766" customFormat="false" ht="15" hidden="false" customHeight="false" outlineLevel="0" collapsed="false">
      <c r="A766" s="19" t="n">
        <v>43753</v>
      </c>
      <c r="B766" s="20" t="n">
        <v>11428.3</v>
      </c>
    </row>
    <row r="767" customFormat="false" ht="15" hidden="false" customHeight="false" outlineLevel="0" collapsed="false">
      <c r="A767" s="19" t="n">
        <v>43754</v>
      </c>
      <c r="B767" s="20" t="n">
        <v>11464</v>
      </c>
    </row>
    <row r="768" customFormat="false" ht="15" hidden="false" customHeight="false" outlineLevel="0" collapsed="false">
      <c r="A768" s="19" t="n">
        <v>43755</v>
      </c>
      <c r="B768" s="20" t="n">
        <v>11586.35</v>
      </c>
    </row>
    <row r="769" customFormat="false" ht="15" hidden="false" customHeight="false" outlineLevel="0" collapsed="false">
      <c r="A769" s="19" t="n">
        <v>43756</v>
      </c>
      <c r="B769" s="20" t="n">
        <v>11661.85</v>
      </c>
    </row>
    <row r="770" customFormat="false" ht="15" hidden="false" customHeight="false" outlineLevel="0" collapsed="false">
      <c r="A770" s="19" t="n">
        <v>43760</v>
      </c>
      <c r="B770" s="20" t="n">
        <v>11588.35</v>
      </c>
    </row>
    <row r="771" customFormat="false" ht="15" hidden="false" customHeight="false" outlineLevel="0" collapsed="false">
      <c r="A771" s="19" t="n">
        <v>43761</v>
      </c>
      <c r="B771" s="20" t="n">
        <v>11604.1</v>
      </c>
    </row>
    <row r="772" customFormat="false" ht="15" hidden="false" customHeight="false" outlineLevel="0" collapsed="false">
      <c r="A772" s="19" t="n">
        <v>43762</v>
      </c>
      <c r="B772" s="20" t="n">
        <v>11582.6</v>
      </c>
    </row>
    <row r="773" customFormat="false" ht="15" hidden="false" customHeight="false" outlineLevel="0" collapsed="false">
      <c r="A773" s="19" t="n">
        <v>43763</v>
      </c>
      <c r="B773" s="20" t="n">
        <v>11583.9</v>
      </c>
    </row>
    <row r="774" customFormat="false" ht="15" hidden="false" customHeight="false" outlineLevel="0" collapsed="false">
      <c r="A774" s="19" t="n">
        <v>43767</v>
      </c>
      <c r="B774" s="20" t="n">
        <v>11786.85</v>
      </c>
    </row>
    <row r="775" customFormat="false" ht="15" hidden="false" customHeight="false" outlineLevel="0" collapsed="false">
      <c r="A775" s="19" t="n">
        <v>43768</v>
      </c>
      <c r="B775" s="20" t="n">
        <v>11844.1</v>
      </c>
    </row>
    <row r="776" customFormat="false" ht="15" hidden="false" customHeight="false" outlineLevel="0" collapsed="false">
      <c r="A776" s="19" t="n">
        <v>43769</v>
      </c>
      <c r="B776" s="20" t="n">
        <v>11877.45</v>
      </c>
    </row>
    <row r="777" customFormat="false" ht="15" hidden="false" customHeight="false" outlineLevel="0" collapsed="false">
      <c r="A777" s="19" t="n">
        <v>43770</v>
      </c>
      <c r="B777" s="20" t="n">
        <v>11890.6</v>
      </c>
    </row>
    <row r="778" customFormat="false" ht="15" hidden="false" customHeight="false" outlineLevel="0" collapsed="false">
      <c r="A778" s="19" t="n">
        <v>43773</v>
      </c>
      <c r="B778" s="20" t="n">
        <v>11941.3</v>
      </c>
    </row>
    <row r="779" customFormat="false" ht="15" hidden="false" customHeight="false" outlineLevel="0" collapsed="false">
      <c r="A779" s="19" t="n">
        <v>43774</v>
      </c>
      <c r="B779" s="20" t="n">
        <v>11917.2</v>
      </c>
    </row>
    <row r="780" customFormat="false" ht="15" hidden="false" customHeight="false" outlineLevel="0" collapsed="false">
      <c r="A780" s="19" t="n">
        <v>43775</v>
      </c>
      <c r="B780" s="20" t="n">
        <v>11966.05</v>
      </c>
    </row>
    <row r="781" customFormat="false" ht="15" hidden="false" customHeight="false" outlineLevel="0" collapsed="false">
      <c r="A781" s="19" t="n">
        <v>43776</v>
      </c>
      <c r="B781" s="20" t="n">
        <v>12012.05</v>
      </c>
    </row>
    <row r="782" customFormat="false" ht="15" hidden="false" customHeight="false" outlineLevel="0" collapsed="false">
      <c r="A782" s="19" t="n">
        <v>43777</v>
      </c>
      <c r="B782" s="20" t="n">
        <v>11908.15</v>
      </c>
    </row>
    <row r="783" customFormat="false" ht="15" hidden="false" customHeight="false" outlineLevel="0" collapsed="false">
      <c r="A783" s="19" t="n">
        <v>43780</v>
      </c>
      <c r="B783" s="20" t="n">
        <v>11913.45</v>
      </c>
    </row>
    <row r="784" customFormat="false" ht="15" hidden="false" customHeight="false" outlineLevel="0" collapsed="false">
      <c r="A784" s="19" t="n">
        <v>43782</v>
      </c>
      <c r="B784" s="20" t="n">
        <v>11840.45</v>
      </c>
    </row>
    <row r="785" customFormat="false" ht="15" hidden="false" customHeight="false" outlineLevel="0" collapsed="false">
      <c r="A785" s="19" t="n">
        <v>43783</v>
      </c>
      <c r="B785" s="20" t="n">
        <v>11872.1</v>
      </c>
    </row>
    <row r="786" customFormat="false" ht="15" hidden="false" customHeight="false" outlineLevel="0" collapsed="false">
      <c r="A786" s="19" t="n">
        <v>43784</v>
      </c>
      <c r="B786" s="20" t="n">
        <v>11895.45</v>
      </c>
    </row>
    <row r="787" customFormat="false" ht="15" hidden="false" customHeight="false" outlineLevel="0" collapsed="false">
      <c r="A787" s="19" t="n">
        <v>43787</v>
      </c>
      <c r="B787" s="20" t="n">
        <v>11884.5</v>
      </c>
    </row>
    <row r="788" customFormat="false" ht="15" hidden="false" customHeight="false" outlineLevel="0" collapsed="false">
      <c r="A788" s="19" t="n">
        <v>43788</v>
      </c>
      <c r="B788" s="20" t="n">
        <v>11940.1</v>
      </c>
    </row>
    <row r="789" customFormat="false" ht="15" hidden="false" customHeight="false" outlineLevel="0" collapsed="false">
      <c r="A789" s="19" t="n">
        <v>43789</v>
      </c>
      <c r="B789" s="20" t="n">
        <v>11999.1</v>
      </c>
    </row>
    <row r="790" customFormat="false" ht="15" hidden="false" customHeight="false" outlineLevel="0" collapsed="false">
      <c r="A790" s="19" t="n">
        <v>43790</v>
      </c>
      <c r="B790" s="20" t="n">
        <v>11968.4</v>
      </c>
    </row>
    <row r="791" customFormat="false" ht="15" hidden="false" customHeight="false" outlineLevel="0" collapsed="false">
      <c r="A791" s="19" t="n">
        <v>43791</v>
      </c>
      <c r="B791" s="20" t="n">
        <v>11914.4</v>
      </c>
    </row>
    <row r="792" customFormat="false" ht="15" hidden="false" customHeight="false" outlineLevel="0" collapsed="false">
      <c r="A792" s="19" t="n">
        <v>43794</v>
      </c>
      <c r="B792" s="20" t="n">
        <v>12073.75</v>
      </c>
    </row>
    <row r="793" customFormat="false" ht="15" hidden="false" customHeight="false" outlineLevel="0" collapsed="false">
      <c r="A793" s="19" t="n">
        <v>43795</v>
      </c>
      <c r="B793" s="20" t="n">
        <v>12037.7</v>
      </c>
    </row>
    <row r="794" customFormat="false" ht="15" hidden="false" customHeight="false" outlineLevel="0" collapsed="false">
      <c r="A794" s="19" t="n">
        <v>43796</v>
      </c>
      <c r="B794" s="20" t="n">
        <v>12100.7</v>
      </c>
    </row>
    <row r="795" customFormat="false" ht="15" hidden="false" customHeight="false" outlineLevel="0" collapsed="false">
      <c r="A795" s="19" t="n">
        <v>43797</v>
      </c>
      <c r="B795" s="20" t="n">
        <v>12151.15</v>
      </c>
    </row>
    <row r="796" customFormat="false" ht="15" hidden="false" customHeight="false" outlineLevel="0" collapsed="false">
      <c r="A796" s="19" t="n">
        <v>43798</v>
      </c>
      <c r="B796" s="20" t="n">
        <v>12056.05</v>
      </c>
    </row>
    <row r="797" customFormat="false" ht="15" hidden="false" customHeight="false" outlineLevel="0" collapsed="false">
      <c r="A797" s="19" t="n">
        <v>43801</v>
      </c>
      <c r="B797" s="20" t="n">
        <v>12048.2</v>
      </c>
    </row>
    <row r="798" customFormat="false" ht="15" hidden="false" customHeight="false" outlineLevel="0" collapsed="false">
      <c r="A798" s="19" t="n">
        <v>43802</v>
      </c>
      <c r="B798" s="20" t="n">
        <v>11994.2</v>
      </c>
    </row>
    <row r="799" customFormat="false" ht="15" hidden="false" customHeight="false" outlineLevel="0" collapsed="false">
      <c r="A799" s="19" t="n">
        <v>43803</v>
      </c>
      <c r="B799" s="20" t="n">
        <v>12043.2</v>
      </c>
    </row>
    <row r="800" customFormat="false" ht="15" hidden="false" customHeight="false" outlineLevel="0" collapsed="false">
      <c r="A800" s="19" t="n">
        <v>43804</v>
      </c>
      <c r="B800" s="20" t="n">
        <v>12018.4</v>
      </c>
    </row>
    <row r="801" customFormat="false" ht="15" hidden="false" customHeight="false" outlineLevel="0" collapsed="false">
      <c r="A801" s="19" t="n">
        <v>43805</v>
      </c>
      <c r="B801" s="20" t="n">
        <v>11921.5</v>
      </c>
    </row>
    <row r="802" customFormat="false" ht="15" hidden="false" customHeight="false" outlineLevel="0" collapsed="false">
      <c r="A802" s="19" t="n">
        <v>43808</v>
      </c>
      <c r="B802" s="20" t="n">
        <v>11937.5</v>
      </c>
    </row>
    <row r="803" customFormat="false" ht="15" hidden="false" customHeight="false" outlineLevel="0" collapsed="false">
      <c r="A803" s="19" t="n">
        <v>43809</v>
      </c>
      <c r="B803" s="20" t="n">
        <v>11856.8</v>
      </c>
    </row>
    <row r="804" customFormat="false" ht="15" hidden="false" customHeight="false" outlineLevel="0" collapsed="false">
      <c r="A804" s="19" t="n">
        <v>43810</v>
      </c>
      <c r="B804" s="20" t="n">
        <v>11910.15</v>
      </c>
    </row>
    <row r="805" customFormat="false" ht="15" hidden="false" customHeight="false" outlineLevel="0" collapsed="false">
      <c r="A805" s="19" t="n">
        <v>43811</v>
      </c>
      <c r="B805" s="20" t="n">
        <v>11971.8</v>
      </c>
    </row>
    <row r="806" customFormat="false" ht="15" hidden="false" customHeight="false" outlineLevel="0" collapsed="false">
      <c r="A806" s="19" t="n">
        <v>43812</v>
      </c>
      <c r="B806" s="20" t="n">
        <v>12086.7</v>
      </c>
    </row>
    <row r="807" customFormat="false" ht="15" hidden="false" customHeight="false" outlineLevel="0" collapsed="false">
      <c r="A807" s="19" t="n">
        <v>43815</v>
      </c>
      <c r="B807" s="20" t="n">
        <v>12053.95</v>
      </c>
    </row>
    <row r="808" customFormat="false" ht="15" hidden="false" customHeight="false" outlineLevel="0" collapsed="false">
      <c r="A808" s="19" t="n">
        <v>43816</v>
      </c>
      <c r="B808" s="20" t="n">
        <v>12165</v>
      </c>
    </row>
    <row r="809" customFormat="false" ht="15" hidden="false" customHeight="false" outlineLevel="0" collapsed="false">
      <c r="A809" s="19" t="n">
        <v>43817</v>
      </c>
      <c r="B809" s="20" t="n">
        <v>12221.65</v>
      </c>
    </row>
    <row r="810" customFormat="false" ht="15" hidden="false" customHeight="false" outlineLevel="0" collapsed="false">
      <c r="A810" s="19" t="n">
        <v>43818</v>
      </c>
      <c r="B810" s="20" t="n">
        <v>12259.7</v>
      </c>
    </row>
    <row r="811" customFormat="false" ht="15" hidden="false" customHeight="false" outlineLevel="0" collapsed="false">
      <c r="A811" s="19" t="n">
        <v>43819</v>
      </c>
      <c r="B811" s="20" t="n">
        <v>12271.8</v>
      </c>
    </row>
    <row r="812" customFormat="false" ht="15" hidden="false" customHeight="false" outlineLevel="0" collapsed="false">
      <c r="A812" s="19" t="n">
        <v>43822</v>
      </c>
      <c r="B812" s="20" t="n">
        <v>12262.75</v>
      </c>
    </row>
    <row r="813" customFormat="false" ht="15" hidden="false" customHeight="false" outlineLevel="0" collapsed="false">
      <c r="A813" s="19" t="n">
        <v>43823</v>
      </c>
      <c r="B813" s="20" t="n">
        <v>12214.55</v>
      </c>
    </row>
    <row r="814" customFormat="false" ht="15" hidden="false" customHeight="false" outlineLevel="0" collapsed="false">
      <c r="A814" s="19" t="n">
        <v>43825</v>
      </c>
      <c r="B814" s="20" t="n">
        <v>12126.55</v>
      </c>
    </row>
    <row r="815" customFormat="false" ht="15" hidden="false" customHeight="false" outlineLevel="0" collapsed="false">
      <c r="A815" s="19" t="n">
        <v>43826</v>
      </c>
      <c r="B815" s="20" t="n">
        <v>12245.8</v>
      </c>
    </row>
    <row r="816" customFormat="false" ht="15" hidden="false" customHeight="false" outlineLevel="0" collapsed="false">
      <c r="A816" s="19" t="n">
        <v>43829</v>
      </c>
      <c r="B816" s="20" t="n">
        <v>12255.85</v>
      </c>
    </row>
    <row r="817" customFormat="false" ht="15" hidden="false" customHeight="false" outlineLevel="0" collapsed="false">
      <c r="A817" s="19" t="n">
        <v>43830</v>
      </c>
      <c r="B817" s="20" t="n">
        <v>12168.45</v>
      </c>
    </row>
    <row r="818" customFormat="false" ht="15" hidden="false" customHeight="false" outlineLevel="0" collapsed="false">
      <c r="A818" s="19" t="n">
        <v>43831</v>
      </c>
      <c r="B818" s="20" t="n">
        <v>12182.5</v>
      </c>
    </row>
    <row r="819" customFormat="false" ht="15" hidden="false" customHeight="false" outlineLevel="0" collapsed="false">
      <c r="A819" s="19" t="n">
        <v>43832</v>
      </c>
      <c r="B819" s="20" t="n">
        <v>12282.2</v>
      </c>
    </row>
    <row r="820" customFormat="false" ht="15" hidden="false" customHeight="false" outlineLevel="0" collapsed="false">
      <c r="A820" s="19" t="n">
        <v>43833</v>
      </c>
      <c r="B820" s="20" t="n">
        <v>12226.65</v>
      </c>
    </row>
    <row r="821" customFormat="false" ht="15" hidden="false" customHeight="false" outlineLevel="0" collapsed="false">
      <c r="A821" s="19" t="n">
        <v>43836</v>
      </c>
      <c r="B821" s="20" t="n">
        <v>11993.05</v>
      </c>
    </row>
    <row r="822" customFormat="false" ht="15" hidden="false" customHeight="false" outlineLevel="0" collapsed="false">
      <c r="A822" s="19" t="n">
        <v>43837</v>
      </c>
      <c r="B822" s="20" t="n">
        <v>12052.95</v>
      </c>
    </row>
    <row r="823" customFormat="false" ht="15" hidden="false" customHeight="false" outlineLevel="0" collapsed="false">
      <c r="A823" s="19" t="n">
        <v>43838</v>
      </c>
      <c r="B823" s="20" t="n">
        <v>12025.35</v>
      </c>
    </row>
    <row r="824" customFormat="false" ht="15" hidden="false" customHeight="false" outlineLevel="0" collapsed="false">
      <c r="A824" s="19" t="n">
        <v>43839</v>
      </c>
      <c r="B824" s="20" t="n">
        <v>12215.9</v>
      </c>
    </row>
    <row r="825" customFormat="false" ht="15" hidden="false" customHeight="false" outlineLevel="0" collapsed="false">
      <c r="A825" s="19" t="n">
        <v>43840</v>
      </c>
      <c r="B825" s="20" t="n">
        <v>12256.8</v>
      </c>
    </row>
    <row r="826" customFormat="false" ht="15" hidden="false" customHeight="false" outlineLevel="0" collapsed="false">
      <c r="A826" s="19" t="n">
        <v>43843</v>
      </c>
      <c r="B826" s="20" t="n">
        <v>12329.55</v>
      </c>
    </row>
    <row r="827" customFormat="false" ht="15" hidden="false" customHeight="false" outlineLevel="0" collapsed="false">
      <c r="A827" s="19" t="n">
        <v>43844</v>
      </c>
      <c r="B827" s="20" t="n">
        <v>12362.3</v>
      </c>
    </row>
    <row r="828" customFormat="false" ht="15" hidden="false" customHeight="false" outlineLevel="0" collapsed="false">
      <c r="A828" s="19" t="n">
        <v>43845</v>
      </c>
      <c r="B828" s="20" t="n">
        <v>12343.3</v>
      </c>
    </row>
    <row r="829" customFormat="false" ht="15" hidden="false" customHeight="false" outlineLevel="0" collapsed="false">
      <c r="A829" s="19" t="n">
        <v>43846</v>
      </c>
      <c r="B829" s="20" t="n">
        <v>12355.5</v>
      </c>
    </row>
    <row r="830" customFormat="false" ht="15" hidden="false" customHeight="false" outlineLevel="0" collapsed="false">
      <c r="A830" s="19" t="n">
        <v>43847</v>
      </c>
      <c r="B830" s="20" t="n">
        <v>12352.35</v>
      </c>
    </row>
    <row r="831" customFormat="false" ht="15" hidden="false" customHeight="false" outlineLevel="0" collapsed="false">
      <c r="A831" s="19" t="n">
        <v>43850</v>
      </c>
      <c r="B831" s="20" t="n">
        <v>12224.55</v>
      </c>
    </row>
    <row r="832" customFormat="false" ht="15" hidden="false" customHeight="false" outlineLevel="0" collapsed="false">
      <c r="A832" s="19" t="n">
        <v>43851</v>
      </c>
      <c r="B832" s="20" t="n">
        <v>12169.85</v>
      </c>
    </row>
    <row r="833" customFormat="false" ht="15" hidden="false" customHeight="false" outlineLevel="0" collapsed="false">
      <c r="A833" s="19" t="n">
        <v>43852</v>
      </c>
      <c r="B833" s="20" t="n">
        <v>12106.9</v>
      </c>
    </row>
    <row r="834" customFormat="false" ht="15" hidden="false" customHeight="false" outlineLevel="0" collapsed="false">
      <c r="A834" s="19" t="n">
        <v>43853</v>
      </c>
      <c r="B834" s="20" t="n">
        <v>12180.35</v>
      </c>
    </row>
    <row r="835" customFormat="false" ht="15" hidden="false" customHeight="false" outlineLevel="0" collapsed="false">
      <c r="A835" s="19" t="n">
        <v>43854</v>
      </c>
      <c r="B835" s="20" t="n">
        <v>12248.25</v>
      </c>
    </row>
    <row r="836" customFormat="false" ht="15" hidden="false" customHeight="false" outlineLevel="0" collapsed="false">
      <c r="A836" s="19" t="n">
        <v>43857</v>
      </c>
      <c r="B836" s="20" t="n">
        <v>12119</v>
      </c>
    </row>
    <row r="837" customFormat="false" ht="15" hidden="false" customHeight="false" outlineLevel="0" collapsed="false">
      <c r="A837" s="19" t="n">
        <v>43858</v>
      </c>
      <c r="B837" s="20" t="n">
        <v>12055.8</v>
      </c>
    </row>
    <row r="838" customFormat="false" ht="15" hidden="false" customHeight="false" outlineLevel="0" collapsed="false">
      <c r="A838" s="19" t="n">
        <v>43859</v>
      </c>
      <c r="B838" s="20" t="n">
        <v>12129.5</v>
      </c>
    </row>
    <row r="839" customFormat="false" ht="15" hidden="false" customHeight="false" outlineLevel="0" collapsed="false">
      <c r="A839" s="19" t="n">
        <v>43860</v>
      </c>
      <c r="B839" s="20" t="n">
        <v>12035.8</v>
      </c>
    </row>
    <row r="840" customFormat="false" ht="15" hidden="false" customHeight="false" outlineLevel="0" collapsed="false">
      <c r="A840" s="19" t="n">
        <v>43861</v>
      </c>
      <c r="B840" s="20" t="n">
        <v>11962.1</v>
      </c>
    </row>
    <row r="841" customFormat="false" ht="15" hidden="false" customHeight="false" outlineLevel="0" collapsed="false">
      <c r="A841" s="19" t="n">
        <v>43864</v>
      </c>
      <c r="B841" s="20" t="n">
        <v>11707.9</v>
      </c>
    </row>
    <row r="842" customFormat="false" ht="15" hidden="false" customHeight="false" outlineLevel="0" collapsed="false">
      <c r="A842" s="19" t="n">
        <v>43865</v>
      </c>
      <c r="B842" s="20" t="n">
        <v>11979.65</v>
      </c>
    </row>
    <row r="843" customFormat="false" ht="15" hidden="false" customHeight="false" outlineLevel="0" collapsed="false">
      <c r="A843" s="19" t="n">
        <v>43866</v>
      </c>
      <c r="B843" s="20" t="n">
        <v>12089.15</v>
      </c>
    </row>
    <row r="844" customFormat="false" ht="15" hidden="false" customHeight="false" outlineLevel="0" collapsed="false">
      <c r="A844" s="19" t="n">
        <v>43867</v>
      </c>
      <c r="B844" s="20" t="n">
        <v>12137.95</v>
      </c>
    </row>
    <row r="845" customFormat="false" ht="15" hidden="false" customHeight="false" outlineLevel="0" collapsed="false">
      <c r="A845" s="19" t="n">
        <v>43868</v>
      </c>
      <c r="B845" s="20" t="n">
        <v>12098.35</v>
      </c>
    </row>
    <row r="846" customFormat="false" ht="15" hidden="false" customHeight="false" outlineLevel="0" collapsed="false">
      <c r="A846" s="19" t="n">
        <v>43871</v>
      </c>
      <c r="B846" s="20" t="n">
        <v>12031.5</v>
      </c>
    </row>
    <row r="847" customFormat="false" ht="15" hidden="false" customHeight="false" outlineLevel="0" collapsed="false">
      <c r="A847" s="19" t="n">
        <v>43872</v>
      </c>
      <c r="B847" s="20" t="n">
        <v>12107.9</v>
      </c>
    </row>
    <row r="848" customFormat="false" ht="15" hidden="false" customHeight="false" outlineLevel="0" collapsed="false">
      <c r="A848" s="19" t="n">
        <v>43873</v>
      </c>
      <c r="B848" s="20" t="n">
        <v>12201.2</v>
      </c>
    </row>
    <row r="849" customFormat="false" ht="15" hidden="false" customHeight="false" outlineLevel="0" collapsed="false">
      <c r="A849" s="19" t="n">
        <v>43874</v>
      </c>
      <c r="B849" s="20" t="n">
        <v>12174.65</v>
      </c>
    </row>
    <row r="850" customFormat="false" ht="15" hidden="false" customHeight="false" outlineLevel="0" collapsed="false">
      <c r="A850" s="19" t="n">
        <v>43875</v>
      </c>
      <c r="B850" s="20" t="n">
        <v>12113.45</v>
      </c>
    </row>
    <row r="851" customFormat="false" ht="15" hidden="false" customHeight="false" outlineLevel="0" collapsed="false">
      <c r="A851" s="19" t="n">
        <v>43878</v>
      </c>
      <c r="B851" s="20" t="n">
        <v>12045.8</v>
      </c>
    </row>
    <row r="852" customFormat="false" ht="15" hidden="false" customHeight="false" outlineLevel="0" collapsed="false">
      <c r="A852" s="19" t="n">
        <v>43879</v>
      </c>
      <c r="B852" s="20" t="n">
        <v>11992.5</v>
      </c>
    </row>
    <row r="853" customFormat="false" ht="15" hidden="false" customHeight="false" outlineLevel="0" collapsed="false">
      <c r="A853" s="19" t="n">
        <v>43880</v>
      </c>
      <c r="B853" s="20" t="n">
        <v>12125.9</v>
      </c>
    </row>
    <row r="854" customFormat="false" ht="15" hidden="false" customHeight="false" outlineLevel="0" collapsed="false">
      <c r="A854" s="19" t="n">
        <v>43881</v>
      </c>
      <c r="B854" s="20" t="n">
        <v>12080.85</v>
      </c>
    </row>
    <row r="855" customFormat="false" ht="15" hidden="false" customHeight="false" outlineLevel="0" collapsed="false">
      <c r="A855" s="19" t="n">
        <v>43885</v>
      </c>
      <c r="B855" s="20" t="n">
        <v>11829.4</v>
      </c>
    </row>
    <row r="856" customFormat="false" ht="15" hidden="false" customHeight="false" outlineLevel="0" collapsed="false">
      <c r="A856" s="19" t="n">
        <v>43886</v>
      </c>
      <c r="B856" s="20" t="n">
        <v>11797.9</v>
      </c>
    </row>
    <row r="857" customFormat="false" ht="15" hidden="false" customHeight="false" outlineLevel="0" collapsed="false">
      <c r="A857" s="19" t="n">
        <v>43887</v>
      </c>
      <c r="B857" s="20" t="n">
        <v>11678.5</v>
      </c>
    </row>
    <row r="858" customFormat="false" ht="15" hidden="false" customHeight="false" outlineLevel="0" collapsed="false">
      <c r="A858" s="19" t="n">
        <v>43888</v>
      </c>
      <c r="B858" s="20" t="n">
        <v>11633.3</v>
      </c>
    </row>
    <row r="859" customFormat="false" ht="15" hidden="false" customHeight="false" outlineLevel="0" collapsed="false">
      <c r="A859" s="19" t="n">
        <v>43889</v>
      </c>
      <c r="B859" s="20" t="n">
        <v>11201.75</v>
      </c>
    </row>
    <row r="860" customFormat="false" ht="15" hidden="false" customHeight="false" outlineLevel="0" collapsed="false">
      <c r="A860" s="19" t="n">
        <v>43892</v>
      </c>
      <c r="B860" s="20" t="n">
        <v>11132.75</v>
      </c>
    </row>
    <row r="861" customFormat="false" ht="15" hidden="false" customHeight="false" outlineLevel="0" collapsed="false">
      <c r="A861" s="19" t="n">
        <v>43893</v>
      </c>
      <c r="B861" s="20" t="n">
        <v>11303.3</v>
      </c>
    </row>
    <row r="862" customFormat="false" ht="15" hidden="false" customHeight="false" outlineLevel="0" collapsed="false">
      <c r="A862" s="19" t="n">
        <v>43894</v>
      </c>
      <c r="B862" s="20" t="n">
        <v>11251</v>
      </c>
    </row>
    <row r="863" customFormat="false" ht="15" hidden="false" customHeight="false" outlineLevel="0" collapsed="false">
      <c r="A863" s="19" t="n">
        <v>43895</v>
      </c>
      <c r="B863" s="20" t="n">
        <v>11269</v>
      </c>
    </row>
    <row r="864" customFormat="false" ht="15" hidden="false" customHeight="false" outlineLevel="0" collapsed="false">
      <c r="A864" s="19" t="n">
        <v>43896</v>
      </c>
      <c r="B864" s="20" t="n">
        <v>10989.45</v>
      </c>
    </row>
    <row r="865" customFormat="false" ht="15" hidden="false" customHeight="false" outlineLevel="0" collapsed="false">
      <c r="A865" s="19" t="n">
        <v>43899</v>
      </c>
      <c r="B865" s="20" t="n">
        <v>10451.45</v>
      </c>
    </row>
    <row r="866" customFormat="false" ht="15" hidden="false" customHeight="false" outlineLevel="0" collapsed="false">
      <c r="A866" s="19" t="n">
        <v>43901</v>
      </c>
      <c r="B866" s="20" t="n">
        <v>10458.4</v>
      </c>
    </row>
    <row r="867" customFormat="false" ht="15" hidden="false" customHeight="false" outlineLevel="0" collapsed="false">
      <c r="A867" s="19" t="n">
        <v>43902</v>
      </c>
      <c r="B867" s="20" t="n">
        <v>9590.15</v>
      </c>
    </row>
    <row r="868" customFormat="false" ht="15" hidden="false" customHeight="false" outlineLevel="0" collapsed="false">
      <c r="A868" s="19" t="n">
        <v>43903</v>
      </c>
      <c r="B868" s="20" t="n">
        <v>9955.2</v>
      </c>
    </row>
    <row r="869" customFormat="false" ht="15" hidden="false" customHeight="false" outlineLevel="0" collapsed="false">
      <c r="A869" s="19" t="n">
        <v>43906</v>
      </c>
      <c r="B869" s="20" t="n">
        <v>9197.4</v>
      </c>
    </row>
    <row r="870" customFormat="false" ht="15" hidden="false" customHeight="false" outlineLevel="0" collapsed="false">
      <c r="A870" s="19" t="n">
        <v>43907</v>
      </c>
      <c r="B870" s="20" t="n">
        <v>8967.05</v>
      </c>
    </row>
    <row r="871" customFormat="false" ht="15" hidden="false" customHeight="false" outlineLevel="0" collapsed="false">
      <c r="A871" s="19" t="n">
        <v>43908</v>
      </c>
      <c r="B871" s="20" t="n">
        <v>8468.8</v>
      </c>
    </row>
    <row r="872" customFormat="false" ht="15" hidden="false" customHeight="false" outlineLevel="0" collapsed="false">
      <c r="A872" s="19" t="n">
        <v>43909</v>
      </c>
      <c r="B872" s="20" t="n">
        <v>8263.45</v>
      </c>
    </row>
    <row r="873" customFormat="false" ht="15" hidden="false" customHeight="false" outlineLevel="0" collapsed="false">
      <c r="A873" s="19" t="n">
        <v>43910</v>
      </c>
      <c r="B873" s="20" t="n">
        <v>8745.45</v>
      </c>
    </row>
    <row r="874" customFormat="false" ht="15" hidden="false" customHeight="false" outlineLevel="0" collapsed="false">
      <c r="A874" s="19" t="n">
        <v>43913</v>
      </c>
      <c r="B874" s="20" t="n">
        <v>7610.25</v>
      </c>
    </row>
    <row r="875" customFormat="false" ht="15" hidden="false" customHeight="false" outlineLevel="0" collapsed="false">
      <c r="A875" s="19" t="n">
        <v>43914</v>
      </c>
      <c r="B875" s="20" t="n">
        <v>7801.05</v>
      </c>
    </row>
    <row r="876" customFormat="false" ht="15" hidden="false" customHeight="false" outlineLevel="0" collapsed="false">
      <c r="A876" s="19" t="n">
        <v>43915</v>
      </c>
      <c r="B876" s="20" t="n">
        <v>8317.85</v>
      </c>
    </row>
    <row r="877" customFormat="false" ht="15" hidden="false" customHeight="false" outlineLevel="0" collapsed="false">
      <c r="A877" s="19" t="n">
        <v>43916</v>
      </c>
      <c r="B877" s="20" t="n">
        <v>8641.45</v>
      </c>
    </row>
    <row r="878" customFormat="false" ht="15" hidden="false" customHeight="false" outlineLevel="0" collapsed="false">
      <c r="A878" s="19" t="n">
        <v>43917</v>
      </c>
      <c r="B878" s="20" t="n">
        <v>8660.25</v>
      </c>
    </row>
    <row r="879" customFormat="false" ht="15" hidden="false" customHeight="false" outlineLevel="0" collapsed="false">
      <c r="A879" s="19" t="n">
        <v>43920</v>
      </c>
      <c r="B879" s="20" t="n">
        <v>8281.1</v>
      </c>
    </row>
    <row r="880" customFormat="false" ht="15" hidden="false" customHeight="false" outlineLevel="0" collapsed="false">
      <c r="A880" s="19" t="n">
        <v>43921</v>
      </c>
      <c r="B880" s="20" t="n">
        <v>8597.75</v>
      </c>
    </row>
    <row r="881" customFormat="false" ht="15" hidden="false" customHeight="false" outlineLevel="0" collapsed="false">
      <c r="A881" s="19" t="n">
        <v>43922</v>
      </c>
      <c r="B881" s="20" t="n">
        <v>8253.8</v>
      </c>
    </row>
    <row r="882" customFormat="false" ht="15" hidden="false" customHeight="false" outlineLevel="0" collapsed="false">
      <c r="A882" s="19" t="n">
        <v>43924</v>
      </c>
      <c r="B882" s="20" t="n">
        <v>8083.8</v>
      </c>
    </row>
    <row r="883" customFormat="false" ht="15" hidden="false" customHeight="false" outlineLevel="0" collapsed="false">
      <c r="A883" s="19" t="n">
        <v>43928</v>
      </c>
      <c r="B883" s="20" t="n">
        <v>8792.2</v>
      </c>
    </row>
    <row r="884" customFormat="false" ht="15" hidden="false" customHeight="false" outlineLevel="0" collapsed="false">
      <c r="A884" s="19" t="n">
        <v>43929</v>
      </c>
      <c r="B884" s="20" t="n">
        <v>8748.75</v>
      </c>
    </row>
    <row r="885" customFormat="false" ht="15" hidden="false" customHeight="false" outlineLevel="0" collapsed="false">
      <c r="A885" s="19" t="n">
        <v>43930</v>
      </c>
      <c r="B885" s="20" t="n">
        <v>9111.9</v>
      </c>
    </row>
    <row r="886" customFormat="false" ht="15" hidden="false" customHeight="false" outlineLevel="0" collapsed="false">
      <c r="A886" s="19" t="n">
        <v>43934</v>
      </c>
      <c r="B886" s="20" t="n">
        <v>8993.85</v>
      </c>
    </row>
    <row r="887" customFormat="false" ht="15" hidden="false" customHeight="false" outlineLevel="0" collapsed="false">
      <c r="A887" s="19" t="n">
        <v>43936</v>
      </c>
      <c r="B887" s="20" t="n">
        <v>8925.3</v>
      </c>
    </row>
    <row r="888" customFormat="false" ht="15" hidden="false" customHeight="false" outlineLevel="0" collapsed="false">
      <c r="A888" s="19" t="n">
        <v>43937</v>
      </c>
      <c r="B888" s="20" t="n">
        <v>8992.8</v>
      </c>
    </row>
    <row r="889" customFormat="false" ht="15" hidden="false" customHeight="false" outlineLevel="0" collapsed="false">
      <c r="A889" s="19" t="n">
        <v>43938</v>
      </c>
      <c r="B889" s="20" t="n">
        <v>9266.75</v>
      </c>
    </row>
    <row r="890" customFormat="false" ht="15" hidden="false" customHeight="false" outlineLevel="0" collapsed="false">
      <c r="A890" s="19" t="n">
        <v>43941</v>
      </c>
      <c r="B890" s="20" t="n">
        <v>9261.85</v>
      </c>
    </row>
    <row r="891" customFormat="false" ht="15" hidden="false" customHeight="false" outlineLevel="0" collapsed="false">
      <c r="A891" s="19" t="n">
        <v>43942</v>
      </c>
      <c r="B891" s="20" t="n">
        <v>8981.45</v>
      </c>
    </row>
    <row r="892" customFormat="false" ht="15" hidden="false" customHeight="false" outlineLevel="0" collapsed="false">
      <c r="A892" s="19" t="n">
        <v>43943</v>
      </c>
      <c r="B892" s="20" t="n">
        <v>9187.3</v>
      </c>
    </row>
    <row r="893" customFormat="false" ht="15" hidden="false" customHeight="false" outlineLevel="0" collapsed="false">
      <c r="A893" s="19" t="n">
        <v>43944</v>
      </c>
      <c r="B893" s="20" t="n">
        <v>9313.9</v>
      </c>
    </row>
    <row r="894" customFormat="false" ht="15" hidden="false" customHeight="false" outlineLevel="0" collapsed="false">
      <c r="A894" s="19" t="n">
        <v>43945</v>
      </c>
      <c r="B894" s="20" t="n">
        <v>9154.4</v>
      </c>
    </row>
    <row r="895" customFormat="false" ht="15" hidden="false" customHeight="false" outlineLevel="0" collapsed="false">
      <c r="A895" s="19" t="n">
        <v>43948</v>
      </c>
      <c r="B895" s="20" t="n">
        <v>9282.3</v>
      </c>
    </row>
    <row r="896" customFormat="false" ht="15" hidden="false" customHeight="false" outlineLevel="0" collapsed="false">
      <c r="A896" s="19" t="n">
        <v>43949</v>
      </c>
      <c r="B896" s="20" t="n">
        <v>9380.9</v>
      </c>
    </row>
    <row r="897" customFormat="false" ht="15" hidden="false" customHeight="false" outlineLevel="0" collapsed="false">
      <c r="A897" s="19" t="n">
        <v>43950</v>
      </c>
      <c r="B897" s="20" t="n">
        <v>9553.35</v>
      </c>
    </row>
    <row r="898" customFormat="false" ht="15" hidden="false" customHeight="false" outlineLevel="0" collapsed="false">
      <c r="A898" s="19" t="n">
        <v>43951</v>
      </c>
      <c r="B898" s="20" t="n">
        <v>9859.9</v>
      </c>
    </row>
    <row r="899" customFormat="false" ht="15" hidden="false" customHeight="false" outlineLevel="0" collapsed="false">
      <c r="A899" s="19" t="n">
        <v>43955</v>
      </c>
      <c r="B899" s="20" t="n">
        <v>9293.5</v>
      </c>
    </row>
    <row r="900" customFormat="false" ht="15" hidden="false" customHeight="false" outlineLevel="0" collapsed="false">
      <c r="A900" s="19" t="n">
        <v>43956</v>
      </c>
      <c r="B900" s="20" t="n">
        <v>9205.6</v>
      </c>
    </row>
    <row r="901" customFormat="false" ht="15" hidden="false" customHeight="false" outlineLevel="0" collapsed="false">
      <c r="A901" s="19" t="n">
        <v>43957</v>
      </c>
      <c r="B901" s="20" t="n">
        <v>9270.9</v>
      </c>
    </row>
    <row r="902" customFormat="false" ht="15" hidden="false" customHeight="false" outlineLevel="0" collapsed="false">
      <c r="A902" s="19" t="n">
        <v>43958</v>
      </c>
      <c r="B902" s="20" t="n">
        <v>9199.05</v>
      </c>
    </row>
    <row r="903" customFormat="false" ht="15" hidden="false" customHeight="false" outlineLevel="0" collapsed="false">
      <c r="A903" s="19" t="n">
        <v>43959</v>
      </c>
      <c r="B903" s="20" t="n">
        <v>9251.5</v>
      </c>
    </row>
    <row r="904" customFormat="false" ht="15" hidden="false" customHeight="false" outlineLevel="0" collapsed="false">
      <c r="A904" s="19" t="n">
        <v>43962</v>
      </c>
      <c r="B904" s="20" t="n">
        <v>9239.2</v>
      </c>
    </row>
    <row r="905" customFormat="false" ht="15" hidden="false" customHeight="false" outlineLevel="0" collapsed="false">
      <c r="A905" s="19" t="n">
        <v>43963</v>
      </c>
      <c r="B905" s="20" t="n">
        <v>9196.55</v>
      </c>
    </row>
    <row r="906" customFormat="false" ht="15" hidden="false" customHeight="false" outlineLevel="0" collapsed="false">
      <c r="A906" s="19" t="n">
        <v>43964</v>
      </c>
      <c r="B906" s="20" t="n">
        <v>9383.55</v>
      </c>
    </row>
    <row r="907" customFormat="false" ht="15" hidden="false" customHeight="false" outlineLevel="0" collapsed="false">
      <c r="A907" s="19" t="n">
        <v>43965</v>
      </c>
      <c r="B907" s="20" t="n">
        <v>9142.75</v>
      </c>
    </row>
    <row r="908" customFormat="false" ht="15" hidden="false" customHeight="false" outlineLevel="0" collapsed="false">
      <c r="A908" s="19" t="n">
        <v>43966</v>
      </c>
      <c r="B908" s="20" t="n">
        <v>9136.85</v>
      </c>
    </row>
    <row r="909" customFormat="false" ht="15" hidden="false" customHeight="false" outlineLevel="0" collapsed="false">
      <c r="A909" s="19" t="n">
        <v>43969</v>
      </c>
      <c r="B909" s="20" t="n">
        <v>8823.25</v>
      </c>
    </row>
    <row r="910" customFormat="false" ht="15" hidden="false" customHeight="false" outlineLevel="0" collapsed="false">
      <c r="A910" s="19" t="n">
        <v>43970</v>
      </c>
      <c r="B910" s="20" t="n">
        <v>8879.1</v>
      </c>
    </row>
    <row r="911" customFormat="false" ht="15" hidden="false" customHeight="false" outlineLevel="0" collapsed="false">
      <c r="A911" s="19" t="n">
        <v>43971</v>
      </c>
      <c r="B911" s="20" t="n">
        <v>9066.55</v>
      </c>
    </row>
    <row r="912" customFormat="false" ht="15" hidden="false" customHeight="false" outlineLevel="0" collapsed="false">
      <c r="A912" s="19" t="n">
        <v>43972</v>
      </c>
      <c r="B912" s="20" t="n">
        <v>9106.25</v>
      </c>
    </row>
    <row r="913" customFormat="false" ht="15" hidden="false" customHeight="false" outlineLevel="0" collapsed="false">
      <c r="A913" s="19" t="n">
        <v>43973</v>
      </c>
      <c r="B913" s="20" t="n">
        <v>9039.25</v>
      </c>
    </row>
    <row r="914" customFormat="false" ht="15" hidden="false" customHeight="false" outlineLevel="0" collapsed="false">
      <c r="A914" s="19" t="n">
        <v>43977</v>
      </c>
      <c r="B914" s="20" t="n">
        <v>9029.05</v>
      </c>
    </row>
    <row r="915" customFormat="false" ht="15" hidden="false" customHeight="false" outlineLevel="0" collapsed="false">
      <c r="A915" s="19" t="n">
        <v>43978</v>
      </c>
      <c r="B915" s="20" t="n">
        <v>9314.95</v>
      </c>
    </row>
    <row r="916" customFormat="false" ht="15" hidden="false" customHeight="false" outlineLevel="0" collapsed="false">
      <c r="A916" s="19" t="n">
        <v>43979</v>
      </c>
      <c r="B916" s="20" t="n">
        <v>9490.1</v>
      </c>
    </row>
    <row r="917" customFormat="false" ht="15" hidden="false" customHeight="false" outlineLevel="0" collapsed="false">
      <c r="A917" s="19" t="n">
        <v>43980</v>
      </c>
      <c r="B917" s="20" t="n">
        <v>9580.3</v>
      </c>
    </row>
    <row r="918" customFormat="false" ht="15" hidden="false" customHeight="false" outlineLevel="0" collapsed="false">
      <c r="A918" s="19" t="n">
        <v>43983</v>
      </c>
      <c r="B918" s="20" t="n">
        <v>9826.15</v>
      </c>
    </row>
    <row r="919" customFormat="false" ht="15" hidden="false" customHeight="false" outlineLevel="0" collapsed="false">
      <c r="A919" s="19" t="n">
        <v>43984</v>
      </c>
      <c r="B919" s="20" t="n">
        <v>9979.1</v>
      </c>
    </row>
    <row r="920" customFormat="false" ht="15" hidden="false" customHeight="false" outlineLevel="0" collapsed="false">
      <c r="A920" s="19" t="n">
        <v>43985</v>
      </c>
      <c r="B920" s="20" t="n">
        <v>10061.55</v>
      </c>
    </row>
    <row r="921" customFormat="false" ht="15" hidden="false" customHeight="false" outlineLevel="0" collapsed="false">
      <c r="A921" s="19" t="n">
        <v>43986</v>
      </c>
      <c r="B921" s="20" t="n">
        <v>10029.1</v>
      </c>
    </row>
    <row r="922" customFormat="false" ht="15" hidden="false" customHeight="false" outlineLevel="0" collapsed="false">
      <c r="A922" s="19" t="n">
        <v>43987</v>
      </c>
      <c r="B922" s="20" t="n">
        <v>10142.15</v>
      </c>
    </row>
    <row r="923" customFormat="false" ht="15" hidden="false" customHeight="false" outlineLevel="0" collapsed="false">
      <c r="A923" s="19" t="n">
        <v>43990</v>
      </c>
      <c r="B923" s="20" t="n">
        <v>10167.45</v>
      </c>
    </row>
    <row r="924" customFormat="false" ht="15" hidden="false" customHeight="false" outlineLevel="0" collapsed="false">
      <c r="A924" s="19" t="n">
        <v>43991</v>
      </c>
      <c r="B924" s="20" t="n">
        <v>10046.65</v>
      </c>
    </row>
    <row r="925" customFormat="false" ht="15" hidden="false" customHeight="false" outlineLevel="0" collapsed="false">
      <c r="A925" s="19" t="n">
        <v>43992</v>
      </c>
      <c r="B925" s="20" t="n">
        <v>10116.15</v>
      </c>
    </row>
    <row r="926" customFormat="false" ht="15" hidden="false" customHeight="false" outlineLevel="0" collapsed="false">
      <c r="A926" s="19" t="n">
        <v>43993</v>
      </c>
      <c r="B926" s="20" t="n">
        <v>9902</v>
      </c>
    </row>
    <row r="927" customFormat="false" ht="15" hidden="false" customHeight="false" outlineLevel="0" collapsed="false">
      <c r="A927" s="19" t="n">
        <v>43994</v>
      </c>
      <c r="B927" s="20" t="n">
        <v>9972.9</v>
      </c>
    </row>
    <row r="928" customFormat="false" ht="15" hidden="false" customHeight="false" outlineLevel="0" collapsed="false">
      <c r="A928" s="19" t="n">
        <v>43997</v>
      </c>
      <c r="B928" s="20" t="n">
        <v>9813.7</v>
      </c>
    </row>
    <row r="929" customFormat="false" ht="15" hidden="false" customHeight="false" outlineLevel="0" collapsed="false">
      <c r="A929" s="19" t="n">
        <v>43998</v>
      </c>
      <c r="B929" s="20" t="n">
        <v>9914</v>
      </c>
    </row>
    <row r="930" customFormat="false" ht="15" hidden="false" customHeight="false" outlineLevel="0" collapsed="false">
      <c r="A930" s="19" t="n">
        <v>43999</v>
      </c>
      <c r="B930" s="20" t="n">
        <v>9881.15</v>
      </c>
    </row>
    <row r="931" customFormat="false" ht="15" hidden="false" customHeight="false" outlineLevel="0" collapsed="false">
      <c r="A931" s="19" t="n">
        <v>44000</v>
      </c>
      <c r="B931" s="20" t="n">
        <v>10091.65</v>
      </c>
    </row>
    <row r="932" customFormat="false" ht="15" hidden="false" customHeight="false" outlineLevel="0" collapsed="false">
      <c r="A932" s="19" t="n">
        <v>44001</v>
      </c>
      <c r="B932" s="20" t="n">
        <v>10244.4</v>
      </c>
    </row>
    <row r="933" customFormat="false" ht="15" hidden="false" customHeight="false" outlineLevel="0" collapsed="false">
      <c r="A933" s="19" t="n">
        <v>44004</v>
      </c>
      <c r="B933" s="20" t="n">
        <v>10311.2</v>
      </c>
    </row>
    <row r="934" customFormat="false" ht="15" hidden="false" customHeight="false" outlineLevel="0" collapsed="false">
      <c r="A934" s="19" t="n">
        <v>44005</v>
      </c>
      <c r="B934" s="20" t="n">
        <v>10471</v>
      </c>
    </row>
    <row r="935" customFormat="false" ht="15" hidden="false" customHeight="false" outlineLevel="0" collapsed="false">
      <c r="A935" s="19" t="n">
        <v>44006</v>
      </c>
      <c r="B935" s="20" t="n">
        <v>10305.3</v>
      </c>
    </row>
    <row r="936" customFormat="false" ht="15" hidden="false" customHeight="false" outlineLevel="0" collapsed="false">
      <c r="A936" s="19" t="n">
        <v>44007</v>
      </c>
      <c r="B936" s="20" t="n">
        <v>10288.9</v>
      </c>
    </row>
    <row r="937" customFormat="false" ht="15" hidden="false" customHeight="false" outlineLevel="0" collapsed="false">
      <c r="A937" s="19" t="n">
        <v>44008</v>
      </c>
      <c r="B937" s="20" t="n">
        <v>10383</v>
      </c>
    </row>
    <row r="938" customFormat="false" ht="15" hidden="false" customHeight="false" outlineLevel="0" collapsed="false">
      <c r="A938" s="19" t="n">
        <v>44011</v>
      </c>
      <c r="B938" s="20" t="n">
        <v>10312.4</v>
      </c>
    </row>
    <row r="939" customFormat="false" ht="15" hidden="false" customHeight="false" outlineLevel="0" collapsed="false">
      <c r="A939" s="19" t="n">
        <v>44012</v>
      </c>
      <c r="B939" s="20" t="n">
        <v>10302.1</v>
      </c>
    </row>
    <row r="940" customFormat="false" ht="15" hidden="false" customHeight="false" outlineLevel="0" collapsed="false">
      <c r="A940" s="19" t="n">
        <v>44013</v>
      </c>
      <c r="B940" s="20" t="n">
        <v>10430.05</v>
      </c>
    </row>
    <row r="941" customFormat="false" ht="15" hidden="false" customHeight="false" outlineLevel="0" collapsed="false">
      <c r="A941" s="19" t="n">
        <v>44014</v>
      </c>
      <c r="B941" s="20" t="n">
        <v>10551.7</v>
      </c>
    </row>
    <row r="942" customFormat="false" ht="15" hidden="false" customHeight="false" outlineLevel="0" collapsed="false">
      <c r="A942" s="19" t="n">
        <v>44015</v>
      </c>
      <c r="B942" s="20" t="n">
        <v>10607.35</v>
      </c>
    </row>
    <row r="943" customFormat="false" ht="15" hidden="false" customHeight="false" outlineLevel="0" collapsed="false">
      <c r="A943" s="19" t="n">
        <v>44018</v>
      </c>
      <c r="B943" s="20" t="n">
        <v>10763.65</v>
      </c>
    </row>
    <row r="944" customFormat="false" ht="15" hidden="false" customHeight="false" outlineLevel="0" collapsed="false">
      <c r="A944" s="19" t="n">
        <v>44019</v>
      </c>
      <c r="B944" s="20" t="n">
        <v>10799.65</v>
      </c>
    </row>
    <row r="945" customFormat="false" ht="15" hidden="false" customHeight="false" outlineLevel="0" collapsed="false">
      <c r="A945" s="19" t="n">
        <v>44020</v>
      </c>
      <c r="B945" s="20" t="n">
        <v>10705.75</v>
      </c>
    </row>
    <row r="946" customFormat="false" ht="15" hidden="false" customHeight="false" outlineLevel="0" collapsed="false">
      <c r="A946" s="19" t="n">
        <v>44021</v>
      </c>
      <c r="B946" s="20" t="n">
        <v>10813.45</v>
      </c>
    </row>
    <row r="947" customFormat="false" ht="15" hidden="false" customHeight="false" outlineLevel="0" collapsed="false">
      <c r="A947" s="19" t="n">
        <v>44022</v>
      </c>
      <c r="B947" s="20" t="n">
        <v>10768.05</v>
      </c>
    </row>
    <row r="948" customFormat="false" ht="15" hidden="false" customHeight="false" outlineLevel="0" collapsed="false">
      <c r="A948" s="19" t="n">
        <v>44025</v>
      </c>
      <c r="B948" s="20" t="n">
        <v>10802.7</v>
      </c>
    </row>
    <row r="949" customFormat="false" ht="15" hidden="false" customHeight="false" outlineLevel="0" collapsed="false">
      <c r="A949" s="19" t="n">
        <v>44026</v>
      </c>
      <c r="B949" s="20" t="n">
        <v>10607.35</v>
      </c>
    </row>
    <row r="950" customFormat="false" ht="15" hidden="false" customHeight="false" outlineLevel="0" collapsed="false">
      <c r="A950" s="19" t="n">
        <v>44027</v>
      </c>
      <c r="B950" s="20" t="n">
        <v>10618.2</v>
      </c>
    </row>
    <row r="951" customFormat="false" ht="15" hidden="false" customHeight="false" outlineLevel="0" collapsed="false">
      <c r="A951" s="19" t="n">
        <v>44028</v>
      </c>
      <c r="B951" s="20" t="n">
        <v>10739.95</v>
      </c>
    </row>
    <row r="952" customFormat="false" ht="15" hidden="false" customHeight="false" outlineLevel="0" collapsed="false">
      <c r="A952" s="19" t="n">
        <v>44029</v>
      </c>
      <c r="B952" s="20" t="n">
        <v>10901.7</v>
      </c>
    </row>
    <row r="953" customFormat="false" ht="15" hidden="false" customHeight="false" outlineLevel="0" collapsed="false">
      <c r="A953" s="19" t="n">
        <v>44032</v>
      </c>
      <c r="B953" s="20" t="n">
        <v>11022.2</v>
      </c>
    </row>
    <row r="954" customFormat="false" ht="15" hidden="false" customHeight="false" outlineLevel="0" collapsed="false">
      <c r="A954" s="19" t="n">
        <v>44033</v>
      </c>
      <c r="B954" s="20" t="n">
        <v>11162.25</v>
      </c>
    </row>
    <row r="955" customFormat="false" ht="15" hidden="false" customHeight="false" outlineLevel="0" collapsed="false">
      <c r="A955" s="19" t="n">
        <v>44034</v>
      </c>
      <c r="B955" s="20" t="n">
        <v>11132.6</v>
      </c>
    </row>
    <row r="956" customFormat="false" ht="15" hidden="false" customHeight="false" outlineLevel="0" collapsed="false">
      <c r="A956" s="19" t="n">
        <v>44035</v>
      </c>
      <c r="B956" s="20" t="n">
        <v>11215.45</v>
      </c>
    </row>
    <row r="957" customFormat="false" ht="15" hidden="false" customHeight="false" outlineLevel="0" collapsed="false">
      <c r="A957" s="19" t="n">
        <v>44036</v>
      </c>
      <c r="B957" s="20" t="n">
        <v>11194.15</v>
      </c>
    </row>
    <row r="958" customFormat="false" ht="15" hidden="false" customHeight="false" outlineLevel="0" collapsed="false">
      <c r="A958" s="19" t="n">
        <v>44039</v>
      </c>
      <c r="B958" s="20" t="n">
        <v>11131.8</v>
      </c>
    </row>
    <row r="959" customFormat="false" ht="15" hidden="false" customHeight="false" outlineLevel="0" collapsed="false">
      <c r="A959" s="19" t="n">
        <v>44040</v>
      </c>
      <c r="B959" s="20" t="n">
        <v>11300.55</v>
      </c>
    </row>
    <row r="960" customFormat="false" ht="15" hidden="false" customHeight="false" outlineLevel="0" collapsed="false">
      <c r="A960" s="19" t="n">
        <v>44041</v>
      </c>
      <c r="B960" s="20" t="n">
        <v>11202.85</v>
      </c>
    </row>
    <row r="961" customFormat="false" ht="15" hidden="false" customHeight="false" outlineLevel="0" collapsed="false">
      <c r="A961" s="19" t="n">
        <v>44042</v>
      </c>
      <c r="B961" s="20" t="n">
        <v>11102.15</v>
      </c>
    </row>
    <row r="962" customFormat="false" ht="15" hidden="false" customHeight="false" outlineLevel="0" collapsed="false">
      <c r="A962" s="19" t="n">
        <v>44043</v>
      </c>
      <c r="B962" s="20" t="n">
        <v>11073.45</v>
      </c>
    </row>
    <row r="963" customFormat="false" ht="15" hidden="false" customHeight="false" outlineLevel="0" collapsed="false">
      <c r="A963" s="19" t="n">
        <v>44046</v>
      </c>
      <c r="B963" s="20" t="n">
        <v>10891.6</v>
      </c>
    </row>
    <row r="964" customFormat="false" ht="15" hidden="false" customHeight="false" outlineLevel="0" collapsed="false">
      <c r="A964" s="19" t="n">
        <v>44047</v>
      </c>
      <c r="B964" s="20" t="n">
        <v>11095.25</v>
      </c>
    </row>
    <row r="965" customFormat="false" ht="15" hidden="false" customHeight="false" outlineLevel="0" collapsed="false">
      <c r="A965" s="19" t="n">
        <v>44048</v>
      </c>
      <c r="B965" s="20" t="n">
        <v>11101.65</v>
      </c>
    </row>
    <row r="966" customFormat="false" ht="15" hidden="false" customHeight="false" outlineLevel="0" collapsed="false">
      <c r="A966" s="19" t="n">
        <v>44049</v>
      </c>
      <c r="B966" s="20" t="n">
        <v>11200.15</v>
      </c>
    </row>
    <row r="967" customFormat="false" ht="15" hidden="false" customHeight="false" outlineLevel="0" collapsed="false">
      <c r="A967" s="19" t="n">
        <v>44050</v>
      </c>
      <c r="B967" s="20" t="n">
        <v>11214.05</v>
      </c>
    </row>
    <row r="968" customFormat="false" ht="15" hidden="false" customHeight="false" outlineLevel="0" collapsed="false">
      <c r="A968" s="19" t="n">
        <v>44053</v>
      </c>
      <c r="B968" s="20" t="n">
        <v>11270.15</v>
      </c>
    </row>
    <row r="969" customFormat="false" ht="15" hidden="false" customHeight="false" outlineLevel="0" collapsed="false">
      <c r="A969" s="19" t="n">
        <v>44054</v>
      </c>
      <c r="B969" s="20" t="n">
        <v>11322.5</v>
      </c>
    </row>
    <row r="970" customFormat="false" ht="15" hidden="false" customHeight="false" outlineLevel="0" collapsed="false">
      <c r="A970" s="19" t="n">
        <v>44055</v>
      </c>
      <c r="B970" s="20" t="n">
        <v>11308.4</v>
      </c>
    </row>
    <row r="971" customFormat="false" ht="15" hidden="false" customHeight="false" outlineLevel="0" collapsed="false">
      <c r="A971" s="19" t="n">
        <v>44056</v>
      </c>
      <c r="B971" s="20" t="n">
        <v>11300.45</v>
      </c>
    </row>
    <row r="972" customFormat="false" ht="15" hidden="false" customHeight="false" outlineLevel="0" collapsed="false">
      <c r="A972" s="19" t="n">
        <v>44057</v>
      </c>
      <c r="B972" s="20" t="n">
        <v>11178.4</v>
      </c>
    </row>
    <row r="973" customFormat="false" ht="15" hidden="false" customHeight="false" outlineLevel="0" collapsed="false">
      <c r="A973" s="19" t="n">
        <v>44060</v>
      </c>
      <c r="B973" s="20" t="n">
        <v>11247.1</v>
      </c>
    </row>
    <row r="974" customFormat="false" ht="15" hidden="false" customHeight="false" outlineLevel="0" collapsed="false">
      <c r="A974" s="19" t="n">
        <v>44061</v>
      </c>
      <c r="B974" s="20" t="n">
        <v>11385.35</v>
      </c>
    </row>
    <row r="975" customFormat="false" ht="15" hidden="false" customHeight="false" outlineLevel="0" collapsed="false">
      <c r="A975" s="19" t="n">
        <v>44062</v>
      </c>
      <c r="B975" s="20" t="n">
        <v>11408.4</v>
      </c>
    </row>
    <row r="976" customFormat="false" ht="15" hidden="false" customHeight="false" outlineLevel="0" collapsed="false">
      <c r="A976" s="19" t="n">
        <v>44063</v>
      </c>
      <c r="B976" s="20" t="n">
        <v>11312.2</v>
      </c>
    </row>
    <row r="977" customFormat="false" ht="15" hidden="false" customHeight="false" outlineLevel="0" collapsed="false">
      <c r="A977" s="19" t="n">
        <v>44064</v>
      </c>
      <c r="B977" s="20" t="n">
        <v>11371.6</v>
      </c>
    </row>
    <row r="978" customFormat="false" ht="15" hidden="false" customHeight="false" outlineLevel="0" collapsed="false">
      <c r="A978" s="19" t="n">
        <v>44067</v>
      </c>
      <c r="B978" s="20" t="n">
        <v>11466.45</v>
      </c>
    </row>
    <row r="979" customFormat="false" ht="15" hidden="false" customHeight="false" outlineLevel="0" collapsed="false">
      <c r="A979" s="19" t="n">
        <v>44068</v>
      </c>
      <c r="B979" s="20" t="n">
        <v>11472.25</v>
      </c>
    </row>
    <row r="980" customFormat="false" ht="15" hidden="false" customHeight="false" outlineLevel="0" collapsed="false">
      <c r="A980" s="19" t="n">
        <v>44069</v>
      </c>
      <c r="B980" s="20" t="n">
        <v>11549.6</v>
      </c>
    </row>
    <row r="981" customFormat="false" ht="15" hidden="false" customHeight="false" outlineLevel="0" collapsed="false">
      <c r="A981" s="19" t="n">
        <v>44070</v>
      </c>
      <c r="B981" s="20" t="n">
        <v>11559.25</v>
      </c>
    </row>
    <row r="982" customFormat="false" ht="15" hidden="false" customHeight="false" outlineLevel="0" collapsed="false">
      <c r="A982" s="19" t="n">
        <v>44071</v>
      </c>
      <c r="B982" s="20" t="n">
        <v>11647.6</v>
      </c>
    </row>
    <row r="983" customFormat="false" ht="15" hidden="false" customHeight="false" outlineLevel="0" collapsed="false">
      <c r="A983" s="19" t="n">
        <v>44074</v>
      </c>
      <c r="B983" s="20" t="n">
        <v>11387.5</v>
      </c>
    </row>
    <row r="984" customFormat="false" ht="15" hidden="false" customHeight="false" outlineLevel="0" collapsed="false">
      <c r="A984" s="19" t="n">
        <v>44075</v>
      </c>
      <c r="B984" s="20" t="n">
        <v>11470.25</v>
      </c>
    </row>
    <row r="985" customFormat="false" ht="15" hidden="false" customHeight="false" outlineLevel="0" collapsed="false">
      <c r="A985" s="19" t="n">
        <v>44076</v>
      </c>
      <c r="B985" s="20" t="n">
        <v>11535</v>
      </c>
    </row>
    <row r="986" customFormat="false" ht="15" hidden="false" customHeight="false" outlineLevel="0" collapsed="false">
      <c r="A986" s="19" t="n">
        <v>44077</v>
      </c>
      <c r="B986" s="20" t="n">
        <v>11527.45</v>
      </c>
    </row>
    <row r="987" customFormat="false" ht="15" hidden="false" customHeight="false" outlineLevel="0" collapsed="false">
      <c r="A987" s="19" t="n">
        <v>44078</v>
      </c>
      <c r="B987" s="20" t="n">
        <v>11333.85</v>
      </c>
    </row>
    <row r="988" customFormat="false" ht="15" hidden="false" customHeight="false" outlineLevel="0" collapsed="false">
      <c r="A988" s="19" t="n">
        <v>44081</v>
      </c>
      <c r="B988" s="20" t="n">
        <v>11355.05</v>
      </c>
    </row>
    <row r="989" customFormat="false" ht="15" hidden="false" customHeight="false" outlineLevel="0" collapsed="false">
      <c r="A989" s="19" t="n">
        <v>44082</v>
      </c>
      <c r="B989" s="20" t="n">
        <v>11317.35</v>
      </c>
    </row>
    <row r="990" customFormat="false" ht="15" hidden="false" customHeight="false" outlineLevel="0" collapsed="false">
      <c r="A990" s="19" t="n">
        <v>44083</v>
      </c>
      <c r="B990" s="20" t="n">
        <v>11278</v>
      </c>
    </row>
    <row r="991" customFormat="false" ht="15" hidden="false" customHeight="false" outlineLevel="0" collapsed="false">
      <c r="A991" s="19" t="n">
        <v>44084</v>
      </c>
      <c r="B991" s="20" t="n">
        <v>11449.25</v>
      </c>
    </row>
    <row r="992" customFormat="false" ht="15" hidden="false" customHeight="false" outlineLevel="0" collapsed="false">
      <c r="A992" s="19" t="n">
        <v>44085</v>
      </c>
      <c r="B992" s="20" t="n">
        <v>11464.45</v>
      </c>
    </row>
    <row r="993" customFormat="false" ht="15" hidden="false" customHeight="false" outlineLevel="0" collapsed="false">
      <c r="A993" s="19" t="n">
        <v>44088</v>
      </c>
      <c r="B993" s="20" t="n">
        <v>11440.05</v>
      </c>
    </row>
    <row r="994" customFormat="false" ht="15" hidden="false" customHeight="false" outlineLevel="0" collapsed="false">
      <c r="A994" s="19" t="n">
        <v>44089</v>
      </c>
      <c r="B994" s="20" t="n">
        <v>11521.8</v>
      </c>
    </row>
    <row r="995" customFormat="false" ht="15" hidden="false" customHeight="false" outlineLevel="0" collapsed="false">
      <c r="A995" s="19" t="n">
        <v>44090</v>
      </c>
      <c r="B995" s="20" t="n">
        <v>11604.55</v>
      </c>
    </row>
    <row r="996" customFormat="false" ht="15" hidden="false" customHeight="false" outlineLevel="0" collapsed="false">
      <c r="A996" s="19" t="n">
        <v>44091</v>
      </c>
      <c r="B996" s="20" t="n">
        <v>11516.1</v>
      </c>
    </row>
    <row r="997" customFormat="false" ht="15" hidden="false" customHeight="false" outlineLevel="0" collapsed="false">
      <c r="A997" s="19" t="n">
        <v>44092</v>
      </c>
      <c r="B997" s="20" t="n">
        <v>11504.95</v>
      </c>
    </row>
    <row r="998" customFormat="false" ht="15" hidden="false" customHeight="false" outlineLevel="0" collapsed="false">
      <c r="A998" s="19" t="n">
        <v>44095</v>
      </c>
      <c r="B998" s="20" t="n">
        <v>11250.55</v>
      </c>
    </row>
    <row r="999" customFormat="false" ht="15" hidden="false" customHeight="false" outlineLevel="0" collapsed="false">
      <c r="A999" s="19" t="n">
        <v>44096</v>
      </c>
      <c r="B999" s="20" t="n">
        <v>11153.65</v>
      </c>
    </row>
    <row r="1000" customFormat="false" ht="15" hidden="false" customHeight="false" outlineLevel="0" collapsed="false">
      <c r="A1000" s="19" t="n">
        <v>44097</v>
      </c>
      <c r="B1000" s="20" t="n">
        <v>11131.85</v>
      </c>
    </row>
    <row r="1001" customFormat="false" ht="15" hidden="false" customHeight="false" outlineLevel="0" collapsed="false">
      <c r="A1001" s="19" t="n">
        <v>44098</v>
      </c>
      <c r="B1001" s="20" t="n">
        <v>10805.55</v>
      </c>
    </row>
    <row r="1002" customFormat="false" ht="15" hidden="false" customHeight="false" outlineLevel="0" collapsed="false">
      <c r="A1002" s="19" t="n">
        <v>44099</v>
      </c>
      <c r="B1002" s="20" t="n">
        <v>11050.25</v>
      </c>
    </row>
    <row r="1003" customFormat="false" ht="15" hidden="false" customHeight="false" outlineLevel="0" collapsed="false">
      <c r="A1003" s="19" t="n">
        <v>44102</v>
      </c>
      <c r="B1003" s="20" t="n">
        <v>11227.55</v>
      </c>
    </row>
    <row r="1004" customFormat="false" ht="15" hidden="false" customHeight="false" outlineLevel="0" collapsed="false">
      <c r="A1004" s="19" t="n">
        <v>44103</v>
      </c>
      <c r="B1004" s="20" t="n">
        <v>11222.4</v>
      </c>
    </row>
    <row r="1005" customFormat="false" ht="15" hidden="false" customHeight="false" outlineLevel="0" collapsed="false">
      <c r="A1005" s="19" t="n">
        <v>44104</v>
      </c>
      <c r="B1005" s="20" t="n">
        <v>11247.55</v>
      </c>
    </row>
    <row r="1006" customFormat="false" ht="15" hidden="false" customHeight="false" outlineLevel="0" collapsed="false">
      <c r="A1006" s="19" t="n">
        <v>44105</v>
      </c>
      <c r="B1006" s="20" t="n">
        <v>11416.95</v>
      </c>
    </row>
    <row r="1007" customFormat="false" ht="15" hidden="false" customHeight="false" outlineLevel="0" collapsed="false">
      <c r="A1007" s="19" t="n">
        <v>44109</v>
      </c>
      <c r="B1007" s="20" t="n">
        <v>11503.35</v>
      </c>
    </row>
    <row r="1008" customFormat="false" ht="15" hidden="false" customHeight="false" outlineLevel="0" collapsed="false">
      <c r="A1008" s="19" t="n">
        <v>44110</v>
      </c>
      <c r="B1008" s="20" t="n">
        <v>11662.4</v>
      </c>
    </row>
    <row r="1009" customFormat="false" ht="15" hidden="false" customHeight="false" outlineLevel="0" collapsed="false">
      <c r="A1009" s="19" t="n">
        <v>44111</v>
      </c>
      <c r="B1009" s="20" t="n">
        <v>11738.85</v>
      </c>
    </row>
    <row r="1010" customFormat="false" ht="15" hidden="false" customHeight="false" outlineLevel="0" collapsed="false">
      <c r="A1010" s="19" t="n">
        <v>44112</v>
      </c>
      <c r="B1010" s="20" t="n">
        <v>11834.6</v>
      </c>
    </row>
    <row r="1011" customFormat="false" ht="15" hidden="false" customHeight="false" outlineLevel="0" collapsed="false">
      <c r="A1011" s="19" t="n">
        <v>44113</v>
      </c>
      <c r="B1011" s="20" t="n">
        <v>11914.2</v>
      </c>
    </row>
    <row r="1012" customFormat="false" ht="15" hidden="false" customHeight="false" outlineLevel="0" collapsed="false">
      <c r="A1012" s="19" t="n">
        <v>44116</v>
      </c>
      <c r="B1012" s="20" t="n">
        <v>11930.95</v>
      </c>
    </row>
    <row r="1013" customFormat="false" ht="15" hidden="false" customHeight="false" outlineLevel="0" collapsed="false">
      <c r="A1013" s="19" t="n">
        <v>44117</v>
      </c>
      <c r="B1013" s="20" t="n">
        <v>11934.5</v>
      </c>
    </row>
    <row r="1014" customFormat="false" ht="15" hidden="false" customHeight="false" outlineLevel="0" collapsed="false">
      <c r="A1014" s="19" t="n">
        <v>44118</v>
      </c>
      <c r="B1014" s="20" t="n">
        <v>11971.05</v>
      </c>
    </row>
    <row r="1015" customFormat="false" ht="15" hidden="false" customHeight="false" outlineLevel="0" collapsed="false">
      <c r="A1015" s="19" t="n">
        <v>44119</v>
      </c>
      <c r="B1015" s="20" t="n">
        <v>11680.35</v>
      </c>
    </row>
    <row r="1016" customFormat="false" ht="15" hidden="false" customHeight="false" outlineLevel="0" collapsed="false">
      <c r="A1016" s="19" t="n">
        <v>44120</v>
      </c>
      <c r="B1016" s="20" t="n">
        <v>11762.45</v>
      </c>
    </row>
    <row r="1017" customFormat="false" ht="15" hidden="false" customHeight="false" outlineLevel="0" collapsed="false">
      <c r="A1017" s="19" t="n">
        <v>44123</v>
      </c>
      <c r="B1017" s="20" t="n">
        <v>11873.05</v>
      </c>
    </row>
    <row r="1018" customFormat="false" ht="15" hidden="false" customHeight="false" outlineLevel="0" collapsed="false">
      <c r="A1018" s="19" t="n">
        <v>44124</v>
      </c>
      <c r="B1018" s="20" t="n">
        <v>11896.8</v>
      </c>
    </row>
    <row r="1019" customFormat="false" ht="15" hidden="false" customHeight="false" outlineLevel="0" collapsed="false">
      <c r="A1019" s="19" t="n">
        <v>44125</v>
      </c>
      <c r="B1019" s="20" t="n">
        <v>11937.65</v>
      </c>
    </row>
    <row r="1020" customFormat="false" ht="15" hidden="false" customHeight="false" outlineLevel="0" collapsed="false">
      <c r="A1020" s="19" t="n">
        <v>44126</v>
      </c>
      <c r="B1020" s="20" t="n">
        <v>11896.45</v>
      </c>
    </row>
    <row r="1021" customFormat="false" ht="15" hidden="false" customHeight="false" outlineLevel="0" collapsed="false">
      <c r="A1021" s="19" t="n">
        <v>44127</v>
      </c>
      <c r="B1021" s="20" t="n">
        <v>11930.35</v>
      </c>
    </row>
    <row r="1022" customFormat="false" ht="15" hidden="false" customHeight="false" outlineLevel="0" collapsed="false">
      <c r="A1022" s="19" t="n">
        <v>44130</v>
      </c>
      <c r="B1022" s="20" t="n">
        <v>11767.75</v>
      </c>
    </row>
    <row r="1023" customFormat="false" ht="15" hidden="false" customHeight="false" outlineLevel="0" collapsed="false">
      <c r="A1023" s="19" t="n">
        <v>44131</v>
      </c>
      <c r="B1023" s="20" t="n">
        <v>11889.4</v>
      </c>
    </row>
    <row r="1024" customFormat="false" ht="15" hidden="false" customHeight="false" outlineLevel="0" collapsed="false">
      <c r="A1024" s="19" t="n">
        <v>44132</v>
      </c>
      <c r="B1024" s="20" t="n">
        <v>11729.6</v>
      </c>
    </row>
    <row r="1025" customFormat="false" ht="15" hidden="false" customHeight="false" outlineLevel="0" collapsed="false">
      <c r="A1025" s="19" t="n">
        <v>44133</v>
      </c>
      <c r="B1025" s="20" t="n">
        <v>11670.8</v>
      </c>
    </row>
    <row r="1026" customFormat="false" ht="15" hidden="false" customHeight="false" outlineLevel="0" collapsed="false">
      <c r="A1026" s="19" t="n">
        <v>44134</v>
      </c>
      <c r="B1026" s="20" t="n">
        <v>11642.4</v>
      </c>
    </row>
    <row r="1027" customFormat="false" ht="15" hidden="false" customHeight="false" outlineLevel="0" collapsed="false">
      <c r="A1027" s="19" t="n">
        <v>44137</v>
      </c>
      <c r="B1027" s="20" t="n">
        <v>11669.15</v>
      </c>
    </row>
    <row r="1028" customFormat="false" ht="15" hidden="false" customHeight="false" outlineLevel="0" collapsed="false">
      <c r="A1028" s="19" t="n">
        <v>44138</v>
      </c>
      <c r="B1028" s="20" t="n">
        <v>11813.5</v>
      </c>
    </row>
    <row r="1029" customFormat="false" ht="15" hidden="false" customHeight="false" outlineLevel="0" collapsed="false">
      <c r="A1029" s="19" t="n">
        <v>44139</v>
      </c>
      <c r="B1029" s="20" t="n">
        <v>11908.5</v>
      </c>
    </row>
    <row r="1030" customFormat="false" ht="15" hidden="false" customHeight="false" outlineLevel="0" collapsed="false">
      <c r="A1030" s="19" t="n">
        <v>44140</v>
      </c>
      <c r="B1030" s="20" t="n">
        <v>12120.3</v>
      </c>
    </row>
    <row r="1031" customFormat="false" ht="15" hidden="false" customHeight="false" outlineLevel="0" collapsed="false">
      <c r="A1031" s="19" t="n">
        <v>44141</v>
      </c>
      <c r="B1031" s="20" t="n">
        <v>12263.55</v>
      </c>
    </row>
    <row r="1032" customFormat="false" ht="15" hidden="false" customHeight="false" outlineLevel="0" collapsed="false">
      <c r="A1032" s="19" t="n">
        <v>44144</v>
      </c>
      <c r="B1032" s="20" t="n">
        <v>12461.05</v>
      </c>
    </row>
    <row r="1033" customFormat="false" ht="15" hidden="false" customHeight="false" outlineLevel="0" collapsed="false">
      <c r="A1033" s="19" t="n">
        <v>44145</v>
      </c>
      <c r="B1033" s="20" t="n">
        <v>12631.1</v>
      </c>
    </row>
    <row r="1034" customFormat="false" ht="15" hidden="false" customHeight="false" outlineLevel="0" collapsed="false">
      <c r="A1034" s="19" t="n">
        <v>44146</v>
      </c>
      <c r="B1034" s="20" t="n">
        <v>12749.15</v>
      </c>
    </row>
    <row r="1035" customFormat="false" ht="15" hidden="false" customHeight="false" outlineLevel="0" collapsed="false">
      <c r="A1035" s="19" t="n">
        <v>44147</v>
      </c>
      <c r="B1035" s="20" t="n">
        <v>12690.8</v>
      </c>
    </row>
    <row r="1036" customFormat="false" ht="15" hidden="false" customHeight="false" outlineLevel="0" collapsed="false">
      <c r="A1036" s="19" t="n">
        <v>44148</v>
      </c>
      <c r="B1036" s="20" t="n">
        <v>12719.95</v>
      </c>
    </row>
    <row r="1037" customFormat="false" ht="15" hidden="false" customHeight="false" outlineLevel="0" collapsed="false">
      <c r="A1037" s="19" t="n">
        <v>44152</v>
      </c>
      <c r="B1037" s="20" t="n">
        <v>12874.2</v>
      </c>
    </row>
    <row r="1038" customFormat="false" ht="15" hidden="false" customHeight="false" outlineLevel="0" collapsed="false">
      <c r="A1038" s="19" t="n">
        <v>44153</v>
      </c>
      <c r="B1038" s="20" t="n">
        <v>12938.25</v>
      </c>
    </row>
    <row r="1039" customFormat="false" ht="15" hidden="false" customHeight="false" outlineLevel="0" collapsed="false">
      <c r="A1039" s="19" t="n">
        <v>44154</v>
      </c>
      <c r="B1039" s="20" t="n">
        <v>12771.7</v>
      </c>
    </row>
    <row r="1040" customFormat="false" ht="15" hidden="false" customHeight="false" outlineLevel="0" collapsed="false">
      <c r="A1040" s="19" t="n">
        <v>44155</v>
      </c>
      <c r="B1040" s="20" t="n">
        <v>12859.05</v>
      </c>
    </row>
    <row r="1041" customFormat="false" ht="15" hidden="false" customHeight="false" outlineLevel="0" collapsed="false">
      <c r="A1041" s="19" t="n">
        <v>44158</v>
      </c>
      <c r="B1041" s="20" t="n">
        <v>12926.45</v>
      </c>
    </row>
    <row r="1042" customFormat="false" ht="15" hidden="false" customHeight="false" outlineLevel="0" collapsed="false">
      <c r="A1042" s="19" t="n">
        <v>44159</v>
      </c>
      <c r="B1042" s="20" t="n">
        <v>13055.15</v>
      </c>
    </row>
    <row r="1043" customFormat="false" ht="15" hidden="false" customHeight="false" outlineLevel="0" collapsed="false">
      <c r="A1043" s="19" t="n">
        <v>44160</v>
      </c>
      <c r="B1043" s="20" t="n">
        <v>12858.4</v>
      </c>
    </row>
    <row r="1044" customFormat="false" ht="15" hidden="false" customHeight="false" outlineLevel="0" collapsed="false">
      <c r="A1044" s="19" t="n">
        <v>44161</v>
      </c>
      <c r="B1044" s="20" t="n">
        <v>12987</v>
      </c>
    </row>
    <row r="1045" customFormat="false" ht="15" hidden="false" customHeight="false" outlineLevel="0" collapsed="false">
      <c r="A1045" s="19" t="n">
        <v>44162</v>
      </c>
      <c r="B1045" s="20" t="n">
        <v>12968.95</v>
      </c>
    </row>
    <row r="1046" customFormat="false" ht="15" hidden="false" customHeight="false" outlineLevel="0" collapsed="false">
      <c r="A1046" s="19" t="n">
        <v>44166</v>
      </c>
      <c r="B1046" s="20" t="n">
        <v>13109.05</v>
      </c>
    </row>
    <row r="1047" customFormat="false" ht="15" hidden="false" customHeight="false" outlineLevel="0" collapsed="false">
      <c r="A1047" s="19" t="n">
        <v>44167</v>
      </c>
      <c r="B1047" s="20" t="n">
        <v>13113.75</v>
      </c>
    </row>
    <row r="1048" customFormat="false" ht="15" hidden="false" customHeight="false" outlineLevel="0" collapsed="false">
      <c r="A1048" s="19" t="n">
        <v>44168</v>
      </c>
      <c r="B1048" s="20" t="n">
        <v>13133.9</v>
      </c>
    </row>
    <row r="1049" customFormat="false" ht="15" hidden="false" customHeight="false" outlineLevel="0" collapsed="false">
      <c r="A1049" s="19" t="n">
        <v>44169</v>
      </c>
      <c r="B1049" s="20" t="n">
        <v>13258.55</v>
      </c>
    </row>
    <row r="1050" customFormat="false" ht="15" hidden="false" customHeight="false" outlineLevel="0" collapsed="false">
      <c r="A1050" s="19" t="n">
        <v>44172</v>
      </c>
      <c r="B1050" s="20" t="n">
        <v>13355.75</v>
      </c>
    </row>
    <row r="1051" customFormat="false" ht="15" hidden="false" customHeight="false" outlineLevel="0" collapsed="false">
      <c r="A1051" s="19" t="n">
        <v>44173</v>
      </c>
      <c r="B1051" s="20" t="n">
        <v>13392.95</v>
      </c>
    </row>
    <row r="1052" customFormat="false" ht="15" hidden="false" customHeight="false" outlineLevel="0" collapsed="false">
      <c r="A1052" s="19" t="n">
        <v>44174</v>
      </c>
      <c r="B1052" s="20" t="n">
        <v>13529.1</v>
      </c>
    </row>
    <row r="1053" customFormat="false" ht="15" hidden="false" customHeight="false" outlineLevel="0" collapsed="false">
      <c r="A1053" s="19" t="n">
        <v>44175</v>
      </c>
      <c r="B1053" s="20" t="n">
        <v>13478.3</v>
      </c>
    </row>
    <row r="1054" customFormat="false" ht="15" hidden="false" customHeight="false" outlineLevel="0" collapsed="false">
      <c r="A1054" s="19" t="n">
        <v>44176</v>
      </c>
      <c r="B1054" s="20" t="n">
        <v>13513.85</v>
      </c>
    </row>
    <row r="1055" customFormat="false" ht="15" hidden="false" customHeight="false" outlineLevel="0" collapsed="false">
      <c r="A1055" s="19" t="n">
        <v>44179</v>
      </c>
      <c r="B1055" s="20" t="n">
        <v>13558.15</v>
      </c>
    </row>
    <row r="1056" customFormat="false" ht="15" hidden="false" customHeight="false" outlineLevel="0" collapsed="false">
      <c r="A1056" s="19" t="n">
        <v>44180</v>
      </c>
      <c r="B1056" s="20" t="n">
        <v>13567.85</v>
      </c>
    </row>
    <row r="1057" customFormat="false" ht="15" hidden="false" customHeight="false" outlineLevel="0" collapsed="false">
      <c r="A1057" s="19" t="n">
        <v>44181</v>
      </c>
      <c r="B1057" s="20" t="n">
        <v>13682.7</v>
      </c>
    </row>
    <row r="1058" customFormat="false" ht="15" hidden="false" customHeight="false" outlineLevel="0" collapsed="false">
      <c r="A1058" s="19" t="n">
        <v>44182</v>
      </c>
      <c r="B1058" s="20" t="n">
        <v>13740.7</v>
      </c>
    </row>
    <row r="1059" customFormat="false" ht="15" hidden="false" customHeight="false" outlineLevel="0" collapsed="false">
      <c r="A1059" s="19" t="n">
        <v>44183</v>
      </c>
      <c r="B1059" s="20" t="n">
        <v>13760.55</v>
      </c>
    </row>
    <row r="1060" customFormat="false" ht="15" hidden="false" customHeight="false" outlineLevel="0" collapsed="false">
      <c r="A1060" s="19" t="n">
        <v>44186</v>
      </c>
      <c r="B1060" s="20" t="n">
        <v>13328.4</v>
      </c>
    </row>
    <row r="1061" customFormat="false" ht="15" hidden="false" customHeight="false" outlineLevel="0" collapsed="false">
      <c r="A1061" s="19" t="n">
        <v>44187</v>
      </c>
      <c r="B1061" s="20" t="n">
        <v>13466.3</v>
      </c>
    </row>
    <row r="1062" customFormat="false" ht="15" hidden="false" customHeight="false" outlineLevel="0" collapsed="false">
      <c r="A1062" s="19" t="n">
        <v>44188</v>
      </c>
      <c r="B1062" s="20" t="n">
        <v>13601.1</v>
      </c>
    </row>
    <row r="1063" customFormat="false" ht="15" hidden="false" customHeight="false" outlineLevel="0" collapsed="false">
      <c r="A1063" s="19" t="n">
        <v>44189</v>
      </c>
      <c r="B1063" s="20" t="n">
        <v>13749.25</v>
      </c>
    </row>
    <row r="1064" customFormat="false" ht="15" hidden="false" customHeight="false" outlineLevel="0" collapsed="false">
      <c r="A1064" s="19" t="n">
        <v>44193</v>
      </c>
      <c r="B1064" s="20" t="n">
        <v>13873.2</v>
      </c>
    </row>
    <row r="1065" customFormat="false" ht="15" hidden="false" customHeight="false" outlineLevel="0" collapsed="false">
      <c r="A1065" s="19" t="n">
        <v>44194</v>
      </c>
      <c r="B1065" s="20" t="n">
        <v>13932.6</v>
      </c>
    </row>
    <row r="1066" customFormat="false" ht="15" hidden="false" customHeight="false" outlineLevel="0" collapsed="false">
      <c r="A1066" s="19" t="n">
        <v>44195</v>
      </c>
      <c r="B1066" s="20" t="n">
        <v>13981.95</v>
      </c>
    </row>
    <row r="1067" customFormat="false" ht="15" hidden="false" customHeight="false" outlineLevel="0" collapsed="false">
      <c r="A1067" s="19" t="n">
        <v>44196</v>
      </c>
      <c r="B1067" s="20" t="n">
        <v>13981.75</v>
      </c>
    </row>
    <row r="1068" customFormat="false" ht="15" hidden="false" customHeight="false" outlineLevel="0" collapsed="false">
      <c r="A1068" s="19" t="n">
        <v>44197</v>
      </c>
      <c r="B1068" s="20" t="n">
        <v>14018.5</v>
      </c>
    </row>
    <row r="1069" customFormat="false" ht="15" hidden="false" customHeight="false" outlineLevel="0" collapsed="false">
      <c r="A1069" s="19" t="n">
        <v>44200</v>
      </c>
      <c r="B1069" s="20" t="n">
        <v>14132.9</v>
      </c>
    </row>
    <row r="1070" customFormat="false" ht="15" hidden="false" customHeight="false" outlineLevel="0" collapsed="false">
      <c r="A1070" s="19" t="n">
        <v>44201</v>
      </c>
      <c r="B1070" s="20" t="n">
        <v>14199.5</v>
      </c>
    </row>
    <row r="1071" customFormat="false" ht="15" hidden="false" customHeight="false" outlineLevel="0" collapsed="false">
      <c r="A1071" s="19" t="n">
        <v>44202</v>
      </c>
      <c r="B1071" s="20" t="n">
        <v>14146.25</v>
      </c>
    </row>
    <row r="1072" customFormat="false" ht="15" hidden="false" customHeight="false" outlineLevel="0" collapsed="false">
      <c r="A1072" s="19" t="n">
        <v>44203</v>
      </c>
      <c r="B1072" s="20" t="n">
        <v>14137.35</v>
      </c>
    </row>
    <row r="1073" customFormat="false" ht="15" hidden="false" customHeight="false" outlineLevel="0" collapsed="false">
      <c r="A1073" s="19" t="n">
        <v>44204</v>
      </c>
      <c r="B1073" s="20" t="n">
        <v>14347.25</v>
      </c>
    </row>
    <row r="1074" customFormat="false" ht="15" hidden="false" customHeight="false" outlineLevel="0" collapsed="false">
      <c r="A1074" s="19" t="n">
        <v>44207</v>
      </c>
      <c r="B1074" s="20" t="n">
        <v>14484.75</v>
      </c>
    </row>
    <row r="1075" customFormat="false" ht="15" hidden="false" customHeight="false" outlineLevel="0" collapsed="false">
      <c r="A1075" s="19" t="n">
        <v>44208</v>
      </c>
      <c r="B1075" s="20" t="n">
        <v>14563.45</v>
      </c>
    </row>
    <row r="1076" customFormat="false" ht="15" hidden="false" customHeight="false" outlineLevel="0" collapsed="false">
      <c r="A1076" s="19" t="n">
        <v>44209</v>
      </c>
      <c r="B1076" s="20" t="n">
        <v>14564.85</v>
      </c>
    </row>
    <row r="1077" customFormat="false" ht="15" hidden="false" customHeight="false" outlineLevel="0" collapsed="false">
      <c r="A1077" s="19" t="n">
        <v>44210</v>
      </c>
      <c r="B1077" s="20" t="n">
        <v>14595.6</v>
      </c>
    </row>
    <row r="1078" customFormat="false" ht="15" hidden="false" customHeight="false" outlineLevel="0" collapsed="false">
      <c r="A1078" s="19" t="n">
        <v>44211</v>
      </c>
      <c r="B1078" s="20" t="n">
        <v>14433.7</v>
      </c>
    </row>
    <row r="1079" customFormat="false" ht="15" hidden="false" customHeight="false" outlineLevel="0" collapsed="false">
      <c r="A1079" s="19" t="n">
        <v>44214</v>
      </c>
      <c r="B1079" s="20" t="n">
        <v>14281.3</v>
      </c>
    </row>
    <row r="1080" customFormat="false" ht="15" hidden="false" customHeight="false" outlineLevel="0" collapsed="false">
      <c r="A1080" s="19" t="n">
        <v>44215</v>
      </c>
      <c r="B1080" s="20" t="n">
        <v>14521.15</v>
      </c>
    </row>
    <row r="1081" customFormat="false" ht="15" hidden="false" customHeight="false" outlineLevel="0" collapsed="false">
      <c r="A1081" s="19" t="n">
        <v>44216</v>
      </c>
      <c r="B1081" s="20" t="n">
        <v>14644.7</v>
      </c>
    </row>
    <row r="1082" customFormat="false" ht="15" hidden="false" customHeight="false" outlineLevel="0" collapsed="false">
      <c r="A1082" s="19" t="n">
        <v>44217</v>
      </c>
      <c r="B1082" s="20" t="n">
        <v>14590.35</v>
      </c>
    </row>
    <row r="1083" customFormat="false" ht="15" hidden="false" customHeight="false" outlineLevel="0" collapsed="false">
      <c r="A1083" s="19" t="n">
        <v>44218</v>
      </c>
      <c r="B1083" s="20" t="n">
        <v>14371.9</v>
      </c>
    </row>
    <row r="1084" customFormat="false" ht="15" hidden="false" customHeight="false" outlineLevel="0" collapsed="false">
      <c r="A1084" s="19" t="n">
        <v>44221</v>
      </c>
      <c r="B1084" s="20" t="n">
        <v>14238.9</v>
      </c>
    </row>
    <row r="1085" customFormat="false" ht="15" hidden="false" customHeight="false" outlineLevel="0" collapsed="false">
      <c r="A1085" s="19" t="n">
        <v>44223</v>
      </c>
      <c r="B1085" s="20" t="n">
        <v>13967.5</v>
      </c>
    </row>
    <row r="1086" customFormat="false" ht="15" hidden="false" customHeight="false" outlineLevel="0" collapsed="false">
      <c r="A1086" s="19" t="n">
        <v>44224</v>
      </c>
      <c r="B1086" s="20" t="n">
        <v>13817.55</v>
      </c>
    </row>
    <row r="1087" customFormat="false" ht="15" hidden="false" customHeight="false" outlineLevel="0" collapsed="false">
      <c r="A1087" s="19" t="n">
        <v>44225</v>
      </c>
      <c r="B1087" s="20" t="n">
        <v>13634.6</v>
      </c>
    </row>
    <row r="1088" customFormat="false" ht="15" hidden="false" customHeight="false" outlineLevel="0" collapsed="false">
      <c r="A1088" s="19" t="n">
        <v>44228</v>
      </c>
      <c r="B1088" s="20" t="n">
        <v>14281.2</v>
      </c>
    </row>
    <row r="1089" customFormat="false" ht="15" hidden="false" customHeight="false" outlineLevel="0" collapsed="false">
      <c r="A1089" s="19" t="n">
        <v>44229</v>
      </c>
      <c r="B1089" s="20" t="n">
        <v>14647.85</v>
      </c>
    </row>
    <row r="1090" customFormat="false" ht="15" hidden="false" customHeight="false" outlineLevel="0" collapsed="false">
      <c r="A1090" s="19" t="n">
        <v>44230</v>
      </c>
      <c r="B1090" s="20" t="n">
        <v>14789.95</v>
      </c>
    </row>
    <row r="1091" customFormat="false" ht="15" hidden="false" customHeight="false" outlineLevel="0" collapsed="false">
      <c r="A1091" s="19" t="n">
        <v>44231</v>
      </c>
      <c r="B1091" s="20" t="n">
        <v>14895.65</v>
      </c>
    </row>
    <row r="1092" customFormat="false" ht="15" hidden="false" customHeight="false" outlineLevel="0" collapsed="false">
      <c r="A1092" s="19" t="n">
        <v>44232</v>
      </c>
      <c r="B1092" s="20" t="n">
        <v>14924.25</v>
      </c>
    </row>
    <row r="1093" customFormat="false" ht="15" hidden="false" customHeight="false" outlineLevel="0" collapsed="false">
      <c r="A1093" s="19" t="n">
        <v>44235</v>
      </c>
      <c r="B1093" s="20" t="n">
        <v>15115.8</v>
      </c>
    </row>
    <row r="1094" customFormat="false" ht="15" hidden="false" customHeight="false" outlineLevel="0" collapsed="false">
      <c r="A1094" s="19" t="n">
        <v>44236</v>
      </c>
      <c r="B1094" s="20" t="n">
        <v>15109.3</v>
      </c>
    </row>
    <row r="1095" customFormat="false" ht="15" hidden="false" customHeight="false" outlineLevel="0" collapsed="false">
      <c r="A1095" s="19" t="n">
        <v>44237</v>
      </c>
      <c r="B1095" s="20" t="n">
        <v>15106.5</v>
      </c>
    </row>
    <row r="1096" customFormat="false" ht="15" hidden="false" customHeight="false" outlineLevel="0" collapsed="false">
      <c r="A1096" s="19" t="n">
        <v>44238</v>
      </c>
      <c r="B1096" s="20" t="n">
        <v>15173.3</v>
      </c>
    </row>
    <row r="1097" customFormat="false" ht="15" hidden="false" customHeight="false" outlineLevel="0" collapsed="false">
      <c r="A1097" s="19" t="n">
        <v>44239</v>
      </c>
      <c r="B1097" s="20" t="n">
        <v>15163.3</v>
      </c>
    </row>
    <row r="1098" customFormat="false" ht="15" hidden="false" customHeight="false" outlineLevel="0" collapsed="false">
      <c r="A1098" s="19" t="n">
        <v>44242</v>
      </c>
      <c r="B1098" s="20" t="n">
        <v>15314.7</v>
      </c>
    </row>
    <row r="1099" customFormat="false" ht="15" hidden="false" customHeight="false" outlineLevel="0" collapsed="false">
      <c r="A1099" s="19" t="n">
        <v>44243</v>
      </c>
      <c r="B1099" s="20" t="n">
        <v>15313.45</v>
      </c>
    </row>
    <row r="1100" customFormat="false" ht="15" hidden="false" customHeight="false" outlineLevel="0" collapsed="false">
      <c r="A1100" s="19" t="n">
        <v>44244</v>
      </c>
      <c r="B1100" s="20" t="n">
        <v>15208.9</v>
      </c>
    </row>
    <row r="1101" customFormat="false" ht="15" hidden="false" customHeight="false" outlineLevel="0" collapsed="false">
      <c r="A1101" s="19" t="n">
        <v>44245</v>
      </c>
      <c r="B1101" s="20" t="n">
        <v>15118.95</v>
      </c>
    </row>
    <row r="1102" customFormat="false" ht="15" hidden="false" customHeight="false" outlineLevel="0" collapsed="false">
      <c r="A1102" s="19" t="n">
        <v>44246</v>
      </c>
      <c r="B1102" s="20" t="n">
        <v>14981.75</v>
      </c>
    </row>
    <row r="1103" customFormat="false" ht="15" hidden="false" customHeight="false" outlineLevel="0" collapsed="false">
      <c r="A1103" s="19" t="n">
        <v>44249</v>
      </c>
      <c r="B1103" s="20" t="n">
        <v>14675.7</v>
      </c>
    </row>
    <row r="1104" customFormat="false" ht="15" hidden="false" customHeight="false" outlineLevel="0" collapsed="false">
      <c r="A1104" s="19" t="n">
        <v>44250</v>
      </c>
      <c r="B1104" s="20" t="n">
        <v>14707.8</v>
      </c>
    </row>
    <row r="1105" customFormat="false" ht="15" hidden="false" customHeight="false" outlineLevel="0" collapsed="false">
      <c r="A1105" s="19" t="n">
        <v>44251</v>
      </c>
      <c r="B1105" s="20" t="n">
        <v>14982</v>
      </c>
    </row>
    <row r="1106" customFormat="false" ht="15" hidden="false" customHeight="false" outlineLevel="0" collapsed="false">
      <c r="A1106" s="19" t="n">
        <v>44252</v>
      </c>
      <c r="B1106" s="20" t="n">
        <v>15097.35</v>
      </c>
    </row>
    <row r="1107" customFormat="false" ht="15" hidden="false" customHeight="false" outlineLevel="0" collapsed="false">
      <c r="A1107" s="19" t="n">
        <v>44253</v>
      </c>
      <c r="B1107" s="20" t="n">
        <v>14529.15</v>
      </c>
    </row>
    <row r="1108" customFormat="false" ht="15" hidden="false" customHeight="false" outlineLevel="0" collapsed="false">
      <c r="A1108" s="19" t="n">
        <v>44256</v>
      </c>
      <c r="B1108" s="20" t="n">
        <v>14761.55</v>
      </c>
    </row>
    <row r="1109" customFormat="false" ht="15" hidden="false" customHeight="false" outlineLevel="0" collapsed="false">
      <c r="A1109" s="19" t="n">
        <v>44257</v>
      </c>
      <c r="B1109" s="20" t="n">
        <v>14919.1</v>
      </c>
    </row>
    <row r="1110" customFormat="false" ht="15" hidden="false" customHeight="false" outlineLevel="0" collapsed="false">
      <c r="A1110" s="19" t="n">
        <v>44258</v>
      </c>
      <c r="B1110" s="20" t="n">
        <v>15245.6</v>
      </c>
    </row>
    <row r="1111" customFormat="false" ht="15" hidden="false" customHeight="false" outlineLevel="0" collapsed="false">
      <c r="A1111" s="19" t="n">
        <v>44259</v>
      </c>
      <c r="B1111" s="20" t="n">
        <v>15080.75</v>
      </c>
    </row>
    <row r="1112" customFormat="false" ht="15" hidden="false" customHeight="false" outlineLevel="0" collapsed="false">
      <c r="A1112" s="19" t="n">
        <v>44260</v>
      </c>
      <c r="B1112" s="20" t="n">
        <v>14938.1</v>
      </c>
    </row>
    <row r="1113" customFormat="false" ht="15" hidden="false" customHeight="false" outlineLevel="0" collapsed="false">
      <c r="A1113" s="19" t="n">
        <v>44263</v>
      </c>
      <c r="B1113" s="20" t="n">
        <v>14956.2</v>
      </c>
    </row>
    <row r="1114" customFormat="false" ht="15" hidden="false" customHeight="false" outlineLevel="0" collapsed="false">
      <c r="A1114" s="19" t="n">
        <v>44264</v>
      </c>
      <c r="B1114" s="20" t="n">
        <v>15098.4</v>
      </c>
    </row>
    <row r="1115" customFormat="false" ht="15" hidden="false" customHeight="false" outlineLevel="0" collapsed="false">
      <c r="A1115" s="19" t="n">
        <v>44265</v>
      </c>
      <c r="B1115" s="20" t="n">
        <v>15174.8</v>
      </c>
    </row>
    <row r="1116" customFormat="false" ht="15" hidden="false" customHeight="false" outlineLevel="0" collapsed="false">
      <c r="A1116" s="19" t="n">
        <v>44267</v>
      </c>
      <c r="B1116" s="20" t="n">
        <v>15030.95</v>
      </c>
    </row>
    <row r="1117" customFormat="false" ht="15" hidden="false" customHeight="false" outlineLevel="0" collapsed="false">
      <c r="A1117" s="19" t="n">
        <v>44270</v>
      </c>
      <c r="B1117" s="20" t="n">
        <v>14929.5</v>
      </c>
    </row>
    <row r="1118" customFormat="false" ht="15" hidden="false" customHeight="false" outlineLevel="0" collapsed="false">
      <c r="A1118" s="19" t="n">
        <v>44271</v>
      </c>
      <c r="B1118" s="20" t="n">
        <v>14910.45</v>
      </c>
    </row>
    <row r="1119" customFormat="false" ht="15" hidden="false" customHeight="false" outlineLevel="0" collapsed="false">
      <c r="A1119" s="19" t="n">
        <v>44272</v>
      </c>
      <c r="B1119" s="20" t="n">
        <v>14721.3</v>
      </c>
    </row>
    <row r="1120" customFormat="false" ht="15" hidden="false" customHeight="false" outlineLevel="0" collapsed="false">
      <c r="A1120" s="19" t="n">
        <v>44273</v>
      </c>
      <c r="B1120" s="20" t="n">
        <v>14557.85</v>
      </c>
    </row>
    <row r="1121" customFormat="false" ht="15" hidden="false" customHeight="false" outlineLevel="0" collapsed="false">
      <c r="A1121" s="19" t="n">
        <v>44274</v>
      </c>
      <c r="B1121" s="20" t="n">
        <v>14744</v>
      </c>
    </row>
    <row r="1122" customFormat="false" ht="15" hidden="false" customHeight="false" outlineLevel="0" collapsed="false">
      <c r="A1122" s="19" t="n">
        <v>44277</v>
      </c>
      <c r="B1122" s="20" t="n">
        <v>14736.4</v>
      </c>
    </row>
    <row r="1123" customFormat="false" ht="15" hidden="false" customHeight="false" outlineLevel="0" collapsed="false">
      <c r="A1123" s="19" t="n">
        <v>44278</v>
      </c>
      <c r="B1123" s="20" t="n">
        <v>14814.75</v>
      </c>
    </row>
    <row r="1124" customFormat="false" ht="15" hidden="false" customHeight="false" outlineLevel="0" collapsed="false">
      <c r="A1124" s="19" t="n">
        <v>44279</v>
      </c>
      <c r="B1124" s="20" t="n">
        <v>14549.4</v>
      </c>
    </row>
    <row r="1125" customFormat="false" ht="15" hidden="false" customHeight="false" outlineLevel="0" collapsed="false">
      <c r="A1125" s="19" t="n">
        <v>44280</v>
      </c>
      <c r="B1125" s="20" t="n">
        <v>14324.9</v>
      </c>
    </row>
    <row r="1126" customFormat="false" ht="15" hidden="false" customHeight="false" outlineLevel="0" collapsed="false">
      <c r="A1126" s="19" t="n">
        <v>44281</v>
      </c>
      <c r="B1126" s="20" t="n">
        <v>14507.3</v>
      </c>
    </row>
    <row r="1127" customFormat="false" ht="15" hidden="false" customHeight="false" outlineLevel="0" collapsed="false">
      <c r="A1127" s="19" t="n">
        <v>44285</v>
      </c>
      <c r="B1127" s="20" t="n">
        <v>14845.1</v>
      </c>
    </row>
    <row r="1128" customFormat="false" ht="15" hidden="false" customHeight="false" outlineLevel="0" collapsed="false">
      <c r="A1128" s="19" t="n">
        <v>44286</v>
      </c>
      <c r="B1128" s="20" t="n">
        <v>14690.7</v>
      </c>
    </row>
    <row r="1129" customFormat="false" ht="15" hidden="false" customHeight="false" outlineLevel="0" collapsed="false">
      <c r="A1129" s="19" t="n">
        <v>44287</v>
      </c>
      <c r="B1129" s="20" t="n">
        <v>14867.35</v>
      </c>
    </row>
    <row r="1130" customFormat="false" ht="15" hidden="false" customHeight="false" outlineLevel="0" collapsed="false">
      <c r="A1130" s="19" t="n">
        <v>44291</v>
      </c>
      <c r="B1130" s="20" t="n">
        <v>14637.8</v>
      </c>
    </row>
    <row r="1131" customFormat="false" ht="15" hidden="false" customHeight="false" outlineLevel="0" collapsed="false">
      <c r="A1131" s="19" t="n">
        <v>44292</v>
      </c>
      <c r="B1131" s="20" t="n">
        <v>14683.5</v>
      </c>
    </row>
    <row r="1132" customFormat="false" ht="15" hidden="false" customHeight="false" outlineLevel="0" collapsed="false">
      <c r="A1132" s="19" t="n">
        <v>44293</v>
      </c>
      <c r="B1132" s="20" t="n">
        <v>14819.05</v>
      </c>
    </row>
    <row r="1133" customFormat="false" ht="15" hidden="false" customHeight="false" outlineLevel="0" collapsed="false">
      <c r="A1133" s="19" t="n">
        <v>44294</v>
      </c>
      <c r="B1133" s="20" t="n">
        <v>14873.8</v>
      </c>
    </row>
    <row r="1134" customFormat="false" ht="15" hidden="false" customHeight="false" outlineLevel="0" collapsed="false">
      <c r="A1134" s="19" t="n">
        <v>44295</v>
      </c>
      <c r="B1134" s="20" t="n">
        <v>14834.85</v>
      </c>
    </row>
    <row r="1135" customFormat="false" ht="15" hidden="false" customHeight="false" outlineLevel="0" collapsed="false">
      <c r="A1135" s="19" t="n">
        <v>44298</v>
      </c>
      <c r="B1135" s="20" t="n">
        <v>14310.8</v>
      </c>
    </row>
    <row r="1136" customFormat="false" ht="15" hidden="false" customHeight="false" outlineLevel="0" collapsed="false">
      <c r="A1136" s="19" t="n">
        <v>44299</v>
      </c>
      <c r="B1136" s="20" t="n">
        <v>14504.8</v>
      </c>
    </row>
    <row r="1137" customFormat="false" ht="15" hidden="false" customHeight="false" outlineLevel="0" collapsed="false">
      <c r="A1137" s="19" t="n">
        <v>44301</v>
      </c>
      <c r="B1137" s="20" t="n">
        <v>14581.45</v>
      </c>
    </row>
    <row r="1138" customFormat="false" ht="15" hidden="false" customHeight="false" outlineLevel="0" collapsed="false">
      <c r="A1138" s="19" t="n">
        <v>44302</v>
      </c>
      <c r="B1138" s="20" t="n">
        <v>14617.85</v>
      </c>
    </row>
    <row r="1139" customFormat="false" ht="15" hidden="false" customHeight="false" outlineLevel="0" collapsed="false">
      <c r="A1139" s="19" t="n">
        <v>44305</v>
      </c>
      <c r="B1139" s="20" t="n">
        <v>14359.45</v>
      </c>
    </row>
    <row r="1140" customFormat="false" ht="15" hidden="false" customHeight="false" outlineLevel="0" collapsed="false">
      <c r="A1140" s="19" t="n">
        <v>44306</v>
      </c>
      <c r="B1140" s="20" t="n">
        <v>14296.4</v>
      </c>
    </row>
    <row r="1141" customFormat="false" ht="15" hidden="false" customHeight="false" outlineLevel="0" collapsed="false">
      <c r="A1141" s="19" t="n">
        <v>44308</v>
      </c>
      <c r="B1141" s="20" t="n">
        <v>14406.15</v>
      </c>
    </row>
    <row r="1142" customFormat="false" ht="15" hidden="false" customHeight="false" outlineLevel="0" collapsed="false">
      <c r="A1142" s="19" t="n">
        <v>44309</v>
      </c>
      <c r="B1142" s="20" t="n">
        <v>14341.35</v>
      </c>
    </row>
    <row r="1143" customFormat="false" ht="15" hidden="false" customHeight="false" outlineLevel="0" collapsed="false">
      <c r="A1143" s="19" t="n">
        <v>44312</v>
      </c>
      <c r="B1143" s="20" t="n">
        <v>14485</v>
      </c>
    </row>
    <row r="1144" customFormat="false" ht="15" hidden="false" customHeight="false" outlineLevel="0" collapsed="false">
      <c r="A1144" s="19" t="n">
        <v>44313</v>
      </c>
      <c r="B1144" s="20" t="n">
        <v>14653.05</v>
      </c>
    </row>
    <row r="1145" customFormat="false" ht="15" hidden="false" customHeight="false" outlineLevel="0" collapsed="false">
      <c r="A1145" s="19" t="n">
        <v>44314</v>
      </c>
      <c r="B1145" s="20" t="n">
        <v>14864.55</v>
      </c>
    </row>
    <row r="1146" customFormat="false" ht="15" hidden="false" customHeight="false" outlineLevel="0" collapsed="false">
      <c r="A1146" s="19" t="n">
        <v>44315</v>
      </c>
      <c r="B1146" s="20" t="n">
        <v>14894.9</v>
      </c>
    </row>
    <row r="1147" customFormat="false" ht="15" hidden="false" customHeight="false" outlineLevel="0" collapsed="false">
      <c r="A1147" s="19" t="n">
        <v>44316</v>
      </c>
      <c r="B1147" s="20" t="n">
        <v>14631.1</v>
      </c>
    </row>
    <row r="1148" customFormat="false" ht="15" hidden="false" customHeight="false" outlineLevel="0" collapsed="false">
      <c r="A1148" s="19" t="n">
        <v>44319</v>
      </c>
      <c r="B1148" s="20" t="n">
        <v>14634.15</v>
      </c>
    </row>
    <row r="1149" customFormat="false" ht="15" hidden="false" customHeight="false" outlineLevel="0" collapsed="false">
      <c r="A1149" s="19" t="n">
        <v>44320</v>
      </c>
      <c r="B1149" s="20" t="n">
        <v>14496.5</v>
      </c>
    </row>
    <row r="1150" customFormat="false" ht="15" hidden="false" customHeight="false" outlineLevel="0" collapsed="false">
      <c r="A1150" s="19" t="n">
        <v>44321</v>
      </c>
      <c r="B1150" s="20" t="n">
        <v>14617.85</v>
      </c>
    </row>
    <row r="1151" customFormat="false" ht="15" hidden="false" customHeight="false" outlineLevel="0" collapsed="false">
      <c r="A1151" s="19" t="n">
        <v>44322</v>
      </c>
      <c r="B1151" s="20" t="n">
        <v>14724.8</v>
      </c>
    </row>
    <row r="1152" customFormat="false" ht="15" hidden="false" customHeight="false" outlineLevel="0" collapsed="false">
      <c r="A1152" s="19" t="n">
        <v>44323</v>
      </c>
      <c r="B1152" s="20" t="n">
        <v>14823.15</v>
      </c>
    </row>
    <row r="1153" customFormat="false" ht="15" hidden="false" customHeight="false" outlineLevel="0" collapsed="false">
      <c r="A1153" s="19" t="n">
        <v>44326</v>
      </c>
      <c r="B1153" s="20" t="n">
        <v>14942.35</v>
      </c>
    </row>
    <row r="1154" customFormat="false" ht="15" hidden="false" customHeight="false" outlineLevel="0" collapsed="false">
      <c r="A1154" s="19" t="n">
        <v>44327</v>
      </c>
      <c r="B1154" s="20" t="n">
        <v>14850.75</v>
      </c>
    </row>
    <row r="1155" customFormat="false" ht="15" hidden="false" customHeight="false" outlineLevel="0" collapsed="false">
      <c r="A1155" s="19" t="n">
        <v>44328</v>
      </c>
      <c r="B1155" s="20" t="n">
        <v>14696.5</v>
      </c>
    </row>
    <row r="1156" customFormat="false" ht="15" hidden="false" customHeight="false" outlineLevel="0" collapsed="false">
      <c r="A1156" s="19" t="n">
        <v>44330</v>
      </c>
      <c r="B1156" s="20" t="n">
        <v>14677.8</v>
      </c>
    </row>
    <row r="1157" customFormat="false" ht="15" hidden="false" customHeight="false" outlineLevel="0" collapsed="false">
      <c r="A1157" s="19" t="n">
        <v>44333</v>
      </c>
      <c r="B1157" s="20" t="n">
        <v>14923.15</v>
      </c>
    </row>
    <row r="1158" customFormat="false" ht="15" hidden="false" customHeight="false" outlineLevel="0" collapsed="false">
      <c r="A1158" s="19" t="n">
        <v>44334</v>
      </c>
      <c r="B1158" s="20" t="n">
        <v>15108.1</v>
      </c>
    </row>
    <row r="1159" customFormat="false" ht="15" hidden="false" customHeight="false" outlineLevel="0" collapsed="false">
      <c r="A1159" s="19" t="n">
        <v>44335</v>
      </c>
      <c r="B1159" s="20" t="n">
        <v>15030.15</v>
      </c>
    </row>
    <row r="1160" customFormat="false" ht="15" hidden="false" customHeight="false" outlineLevel="0" collapsed="false">
      <c r="A1160" s="19" t="n">
        <v>44336</v>
      </c>
      <c r="B1160" s="20" t="n">
        <v>14906.05</v>
      </c>
    </row>
    <row r="1161" customFormat="false" ht="15" hidden="false" customHeight="false" outlineLevel="0" collapsed="false">
      <c r="A1161" s="19" t="n">
        <v>44337</v>
      </c>
      <c r="B1161" s="20" t="n">
        <v>15175.3</v>
      </c>
    </row>
    <row r="1162" customFormat="false" ht="15" hidden="false" customHeight="false" outlineLevel="0" collapsed="false">
      <c r="A1162" s="19" t="n">
        <v>44340</v>
      </c>
      <c r="B1162" s="20" t="n">
        <v>15197.7</v>
      </c>
    </row>
    <row r="1163" customFormat="false" ht="15" hidden="false" customHeight="false" outlineLevel="0" collapsed="false">
      <c r="A1163" s="19" t="n">
        <v>44341</v>
      </c>
      <c r="B1163" s="20" t="n">
        <v>15208.45</v>
      </c>
    </row>
    <row r="1164" customFormat="false" ht="15" hidden="false" customHeight="false" outlineLevel="0" collapsed="false">
      <c r="A1164" s="19" t="n">
        <v>44342</v>
      </c>
      <c r="B1164" s="20" t="n">
        <v>15301.45</v>
      </c>
    </row>
    <row r="1165" customFormat="false" ht="15" hidden="false" customHeight="false" outlineLevel="0" collapsed="false">
      <c r="A1165" s="19" t="n">
        <v>44343</v>
      </c>
      <c r="B1165" s="20" t="n">
        <v>15337.85</v>
      </c>
    </row>
    <row r="1166" customFormat="false" ht="15" hidden="false" customHeight="false" outlineLevel="0" collapsed="false">
      <c r="A1166" s="19" t="n">
        <v>44344</v>
      </c>
      <c r="B1166" s="20" t="n">
        <v>15435.65</v>
      </c>
    </row>
    <row r="1167" customFormat="false" ht="15" hidden="false" customHeight="false" outlineLevel="0" collapsed="false">
      <c r="A1167" s="19" t="n">
        <v>44347</v>
      </c>
      <c r="B1167" s="20" t="n">
        <v>15582.8</v>
      </c>
    </row>
    <row r="1168" customFormat="false" ht="15" hidden="false" customHeight="false" outlineLevel="0" collapsed="false">
      <c r="A1168" s="19" t="n">
        <v>44348</v>
      </c>
      <c r="B1168" s="20" t="n">
        <v>15574.85</v>
      </c>
    </row>
    <row r="1169" customFormat="false" ht="15" hidden="false" customHeight="false" outlineLevel="0" collapsed="false">
      <c r="A1169" s="19" t="n">
        <v>44349</v>
      </c>
      <c r="B1169" s="20" t="n">
        <v>15576.2</v>
      </c>
    </row>
    <row r="1170" customFormat="false" ht="15" hidden="false" customHeight="false" outlineLevel="0" collapsed="false">
      <c r="A1170" s="19" t="n">
        <v>44350</v>
      </c>
      <c r="B1170" s="20" t="n">
        <v>15690.35</v>
      </c>
    </row>
    <row r="1171" customFormat="false" ht="15" hidden="false" customHeight="false" outlineLevel="0" collapsed="false">
      <c r="A1171" s="19" t="n">
        <v>44351</v>
      </c>
      <c r="B1171" s="20" t="n">
        <v>15670.25</v>
      </c>
    </row>
    <row r="1172" customFormat="false" ht="15" hidden="false" customHeight="false" outlineLevel="0" collapsed="false">
      <c r="A1172" s="19" t="n">
        <v>44354</v>
      </c>
      <c r="B1172" s="20" t="n">
        <v>15751.65</v>
      </c>
    </row>
    <row r="1173" customFormat="false" ht="15" hidden="false" customHeight="false" outlineLevel="0" collapsed="false">
      <c r="A1173" s="19" t="n">
        <v>44355</v>
      </c>
      <c r="B1173" s="20" t="n">
        <v>15740.1</v>
      </c>
    </row>
    <row r="1174" customFormat="false" ht="15" hidden="false" customHeight="false" outlineLevel="0" collapsed="false">
      <c r="A1174" s="19" t="n">
        <v>44356</v>
      </c>
      <c r="B1174" s="20" t="n">
        <v>15635.35</v>
      </c>
    </row>
    <row r="1175" customFormat="false" ht="15" hidden="false" customHeight="false" outlineLevel="0" collapsed="false">
      <c r="A1175" s="19" t="n">
        <v>44357</v>
      </c>
      <c r="B1175" s="20" t="n">
        <v>15737.75</v>
      </c>
    </row>
    <row r="1176" customFormat="false" ht="15" hidden="false" customHeight="false" outlineLevel="0" collapsed="false">
      <c r="A1176" s="19" t="n">
        <v>44358</v>
      </c>
      <c r="B1176" s="20" t="n">
        <v>15799.35</v>
      </c>
    </row>
    <row r="1177" customFormat="false" ht="15" hidden="false" customHeight="false" outlineLevel="0" collapsed="false">
      <c r="A1177" s="19" t="n">
        <v>44361</v>
      </c>
      <c r="B1177" s="20" t="n">
        <v>15811.85</v>
      </c>
    </row>
    <row r="1178" customFormat="false" ht="15" hidden="false" customHeight="false" outlineLevel="0" collapsed="false">
      <c r="A1178" s="19" t="n">
        <v>44362</v>
      </c>
      <c r="B1178" s="20" t="n">
        <v>15869.25</v>
      </c>
    </row>
    <row r="1179" customFormat="false" ht="15" hidden="false" customHeight="false" outlineLevel="0" collapsed="false">
      <c r="A1179" s="19" t="n">
        <v>44363</v>
      </c>
      <c r="B1179" s="20" t="n">
        <v>15767.55</v>
      </c>
    </row>
    <row r="1180" customFormat="false" ht="15" hidden="false" customHeight="false" outlineLevel="0" collapsed="false">
      <c r="A1180" s="19" t="n">
        <v>44364</v>
      </c>
      <c r="B1180" s="20" t="n">
        <v>15691.4</v>
      </c>
    </row>
    <row r="1181" customFormat="false" ht="15" hidden="false" customHeight="false" outlineLevel="0" collapsed="false">
      <c r="A1181" s="19" t="n">
        <v>44365</v>
      </c>
      <c r="B1181" s="20" t="n">
        <v>15683.35</v>
      </c>
    </row>
    <row r="1182" customFormat="false" ht="15" hidden="false" customHeight="false" outlineLevel="0" collapsed="false">
      <c r="A1182" s="19" t="n">
        <v>44368</v>
      </c>
      <c r="B1182" s="20" t="n">
        <v>15746.5</v>
      </c>
    </row>
    <row r="1183" customFormat="false" ht="15" hidden="false" customHeight="false" outlineLevel="0" collapsed="false">
      <c r="A1183" s="19" t="n">
        <v>44369</v>
      </c>
      <c r="B1183" s="20" t="n">
        <v>15772.75</v>
      </c>
    </row>
    <row r="1184" customFormat="false" ht="15" hidden="false" customHeight="false" outlineLevel="0" collapsed="false">
      <c r="A1184" s="19" t="n">
        <v>44370</v>
      </c>
      <c r="B1184" s="20" t="n">
        <v>15686.95</v>
      </c>
    </row>
    <row r="1185" customFormat="false" ht="15" hidden="false" customHeight="false" outlineLevel="0" collapsed="false">
      <c r="A1185" s="19" t="n">
        <v>44371</v>
      </c>
      <c r="B1185" s="20" t="n">
        <v>15790.45</v>
      </c>
    </row>
    <row r="1186" customFormat="false" ht="15" hidden="false" customHeight="false" outlineLevel="0" collapsed="false">
      <c r="A1186" s="19" t="n">
        <v>44372</v>
      </c>
      <c r="B1186" s="20" t="n">
        <v>15860.35</v>
      </c>
    </row>
    <row r="1187" customFormat="false" ht="15" hidden="false" customHeight="false" outlineLevel="0" collapsed="false">
      <c r="A1187" s="19" t="n">
        <v>44375</v>
      </c>
      <c r="B1187" s="20" t="n">
        <v>15814.7</v>
      </c>
    </row>
    <row r="1188" customFormat="false" ht="15" hidden="false" customHeight="false" outlineLevel="0" collapsed="false">
      <c r="A1188" s="19" t="n">
        <v>44376</v>
      </c>
      <c r="B1188" s="20" t="n">
        <v>15748.45</v>
      </c>
    </row>
    <row r="1189" customFormat="false" ht="15" hidden="false" customHeight="false" outlineLevel="0" collapsed="false">
      <c r="A1189" s="19" t="n">
        <v>44377</v>
      </c>
      <c r="B1189" s="20" t="n">
        <v>15721.5</v>
      </c>
    </row>
    <row r="1190" customFormat="false" ht="15" hidden="false" customHeight="false" outlineLevel="0" collapsed="false">
      <c r="A1190" s="19" t="n">
        <v>44378</v>
      </c>
      <c r="B1190" s="20" t="n">
        <v>15680</v>
      </c>
    </row>
    <row r="1191" customFormat="false" ht="15" hidden="false" customHeight="false" outlineLevel="0" collapsed="false">
      <c r="A1191" s="19" t="n">
        <v>44379</v>
      </c>
      <c r="B1191" s="20" t="n">
        <v>15722.2</v>
      </c>
    </row>
    <row r="1192" customFormat="false" ht="15" hidden="false" customHeight="false" outlineLevel="0" collapsed="false">
      <c r="A1192" s="19" t="n">
        <v>44382</v>
      </c>
      <c r="B1192" s="20" t="n">
        <v>15834.35</v>
      </c>
    </row>
    <row r="1193" customFormat="false" ht="15" hidden="false" customHeight="false" outlineLevel="0" collapsed="false">
      <c r="A1193" s="19" t="n">
        <v>44383</v>
      </c>
      <c r="B1193" s="20" t="n">
        <v>15818.25</v>
      </c>
    </row>
    <row r="1194" customFormat="false" ht="15" hidden="false" customHeight="false" outlineLevel="0" collapsed="false">
      <c r="A1194" s="19" t="n">
        <v>44384</v>
      </c>
      <c r="B1194" s="20" t="n">
        <v>15879.65</v>
      </c>
    </row>
    <row r="1195" customFormat="false" ht="15" hidden="false" customHeight="false" outlineLevel="0" collapsed="false">
      <c r="A1195" s="19" t="n">
        <v>44385</v>
      </c>
      <c r="B1195" s="20" t="n">
        <v>15727.9</v>
      </c>
    </row>
    <row r="1196" customFormat="false" ht="15" hidden="false" customHeight="false" outlineLevel="0" collapsed="false">
      <c r="A1196" s="19" t="n">
        <v>44386</v>
      </c>
      <c r="B1196" s="20" t="n">
        <v>15689.8</v>
      </c>
    </row>
    <row r="1197" customFormat="false" ht="15" hidden="false" customHeight="false" outlineLevel="0" collapsed="false">
      <c r="A1197" s="19" t="n">
        <v>44389</v>
      </c>
      <c r="B1197" s="20" t="n">
        <v>15692.6</v>
      </c>
    </row>
    <row r="1198" customFormat="false" ht="15" hidden="false" customHeight="false" outlineLevel="0" collapsed="false">
      <c r="A1198" s="19" t="n">
        <v>44390</v>
      </c>
      <c r="B1198" s="20" t="n">
        <v>15812.35</v>
      </c>
    </row>
    <row r="1199" customFormat="false" ht="15" hidden="false" customHeight="false" outlineLevel="0" collapsed="false">
      <c r="A1199" s="19" t="n">
        <v>44391</v>
      </c>
      <c r="B1199" s="20" t="n">
        <v>15853.95</v>
      </c>
    </row>
    <row r="1200" customFormat="false" ht="15" hidden="false" customHeight="false" outlineLevel="0" collapsed="false">
      <c r="A1200" s="19" t="n">
        <v>44392</v>
      </c>
      <c r="B1200" s="20" t="n">
        <v>15924.2</v>
      </c>
    </row>
    <row r="1201" customFormat="false" ht="15" hidden="false" customHeight="false" outlineLevel="0" collapsed="false">
      <c r="A1201" s="19" t="n">
        <v>44393</v>
      </c>
      <c r="B1201" s="20" t="n">
        <v>15923.4</v>
      </c>
    </row>
    <row r="1202" customFormat="false" ht="15" hidden="false" customHeight="false" outlineLevel="0" collapsed="false">
      <c r="A1202" s="19" t="n">
        <v>44396</v>
      </c>
      <c r="B1202" s="20" t="n">
        <v>15752.4</v>
      </c>
    </row>
    <row r="1203" customFormat="false" ht="15" hidden="false" customHeight="false" outlineLevel="0" collapsed="false">
      <c r="A1203" s="19" t="n">
        <v>44397</v>
      </c>
      <c r="B1203" s="20" t="n">
        <v>15632.1</v>
      </c>
    </row>
    <row r="1204" customFormat="false" ht="15" hidden="false" customHeight="false" outlineLevel="0" collapsed="false">
      <c r="A1204" s="19" t="n">
        <v>44399</v>
      </c>
      <c r="B1204" s="20" t="n">
        <v>15824.05</v>
      </c>
    </row>
    <row r="1205" customFormat="false" ht="15" hidden="false" customHeight="false" outlineLevel="0" collapsed="false">
      <c r="A1205" s="19" t="n">
        <v>44400</v>
      </c>
      <c r="B1205" s="20" t="n">
        <v>15856.05</v>
      </c>
    </row>
    <row r="1206" customFormat="false" ht="15" hidden="false" customHeight="false" outlineLevel="0" collapsed="false">
      <c r="A1206" s="19" t="n">
        <v>44403</v>
      </c>
      <c r="B1206" s="20" t="n">
        <v>15824.45</v>
      </c>
    </row>
    <row r="1207" customFormat="false" ht="15" hidden="false" customHeight="false" outlineLevel="0" collapsed="false">
      <c r="A1207" s="19" t="n">
        <v>44404</v>
      </c>
      <c r="B1207" s="20" t="n">
        <v>15746.45</v>
      </c>
    </row>
    <row r="1208" customFormat="false" ht="15" hidden="false" customHeight="false" outlineLevel="0" collapsed="false">
      <c r="A1208" s="19" t="n">
        <v>44405</v>
      </c>
      <c r="B1208" s="20" t="n">
        <v>15709.4</v>
      </c>
    </row>
    <row r="1209" customFormat="false" ht="15" hidden="false" customHeight="false" outlineLevel="0" collapsed="false">
      <c r="A1209" s="19" t="n">
        <v>44406</v>
      </c>
      <c r="B1209" s="20" t="n">
        <v>15778.45</v>
      </c>
    </row>
    <row r="1210" customFormat="false" ht="15" hidden="false" customHeight="false" outlineLevel="0" collapsed="false">
      <c r="A1210" s="19" t="n">
        <v>44407</v>
      </c>
      <c r="B1210" s="20" t="n">
        <v>15763.05</v>
      </c>
    </row>
    <row r="1211" customFormat="false" ht="15" hidden="false" customHeight="false" outlineLevel="0" collapsed="false">
      <c r="A1211" s="19" t="n">
        <v>44410</v>
      </c>
      <c r="B1211" s="20" t="n">
        <v>15885.15</v>
      </c>
    </row>
    <row r="1212" customFormat="false" ht="15" hidden="false" customHeight="false" outlineLevel="0" collapsed="false">
      <c r="A1212" s="19" t="n">
        <v>44411</v>
      </c>
      <c r="B1212" s="20" t="n">
        <v>16130.75</v>
      </c>
    </row>
    <row r="1213" customFormat="false" ht="15" hidden="false" customHeight="false" outlineLevel="0" collapsed="false">
      <c r="A1213" s="19" t="n">
        <v>44412</v>
      </c>
      <c r="B1213" s="20" t="n">
        <v>16258.8</v>
      </c>
    </row>
    <row r="1214" customFormat="false" ht="15" hidden="false" customHeight="false" outlineLevel="0" collapsed="false">
      <c r="A1214" s="19" t="n">
        <v>44413</v>
      </c>
      <c r="B1214" s="20" t="n">
        <v>16294.6</v>
      </c>
    </row>
    <row r="1215" customFormat="false" ht="15" hidden="false" customHeight="false" outlineLevel="0" collapsed="false">
      <c r="A1215" s="19" t="n">
        <v>44414</v>
      </c>
      <c r="B1215" s="20" t="n">
        <v>16238.2</v>
      </c>
    </row>
    <row r="1216" customFormat="false" ht="15" hidden="false" customHeight="false" outlineLevel="0" collapsed="false">
      <c r="A1216" s="19" t="n">
        <v>44417</v>
      </c>
      <c r="B1216" s="20" t="n">
        <v>16258.25</v>
      </c>
    </row>
    <row r="1217" customFormat="false" ht="15" hidden="false" customHeight="false" outlineLevel="0" collapsed="false">
      <c r="A1217" s="19" t="n">
        <v>44418</v>
      </c>
      <c r="B1217" s="20" t="n">
        <v>16280.1</v>
      </c>
    </row>
    <row r="1218" customFormat="false" ht="15" hidden="false" customHeight="false" outlineLevel="0" collapsed="false">
      <c r="A1218" s="19" t="n">
        <v>44419</v>
      </c>
      <c r="B1218" s="20" t="n">
        <v>16282.25</v>
      </c>
    </row>
    <row r="1219" customFormat="false" ht="15" hidden="false" customHeight="false" outlineLevel="0" collapsed="false">
      <c r="A1219" s="19" t="n">
        <v>44420</v>
      </c>
      <c r="B1219" s="20" t="n">
        <v>16364.4</v>
      </c>
    </row>
    <row r="1220" customFormat="false" ht="15" hidden="false" customHeight="false" outlineLevel="0" collapsed="false">
      <c r="A1220" s="19" t="n">
        <v>44421</v>
      </c>
      <c r="B1220" s="20" t="n">
        <v>16529.1</v>
      </c>
    </row>
    <row r="1221" customFormat="false" ht="15" hidden="false" customHeight="false" outlineLevel="0" collapsed="false">
      <c r="A1221" s="19" t="n">
        <v>44424</v>
      </c>
      <c r="B1221" s="20" t="n">
        <v>16563.05</v>
      </c>
    </row>
    <row r="1222" customFormat="false" ht="15" hidden="false" customHeight="false" outlineLevel="0" collapsed="false">
      <c r="A1222" s="19" t="n">
        <v>44425</v>
      </c>
      <c r="B1222" s="20" t="n">
        <v>16614.6</v>
      </c>
    </row>
    <row r="1223" customFormat="false" ht="15" hidden="false" customHeight="false" outlineLevel="0" collapsed="false">
      <c r="A1223" s="19" t="n">
        <v>44426</v>
      </c>
      <c r="B1223" s="20" t="n">
        <v>16568.85</v>
      </c>
    </row>
    <row r="1224" customFormat="false" ht="15" hidden="false" customHeight="false" outlineLevel="0" collapsed="false">
      <c r="A1224" s="19" t="n">
        <v>44428</v>
      </c>
      <c r="B1224" s="20" t="n">
        <v>16450.5</v>
      </c>
    </row>
    <row r="1225" customFormat="false" ht="15" hidden="false" customHeight="false" outlineLevel="0" collapsed="false">
      <c r="A1225" s="19" t="n">
        <v>44431</v>
      </c>
      <c r="B1225" s="20" t="n">
        <v>16496.45</v>
      </c>
    </row>
    <row r="1226" customFormat="false" ht="15" hidden="false" customHeight="false" outlineLevel="0" collapsed="false">
      <c r="A1226" s="19" t="n">
        <v>44432</v>
      </c>
      <c r="B1226" s="20" t="n">
        <v>16624.6</v>
      </c>
    </row>
    <row r="1227" customFormat="false" ht="15" hidden="false" customHeight="false" outlineLevel="0" collapsed="false">
      <c r="A1227" s="19" t="n">
        <v>44433</v>
      </c>
      <c r="B1227" s="20" t="n">
        <v>16634.65</v>
      </c>
    </row>
    <row r="1228" customFormat="false" ht="15" hidden="false" customHeight="false" outlineLevel="0" collapsed="false">
      <c r="A1228" s="19" t="n">
        <v>44434</v>
      </c>
      <c r="B1228" s="20" t="n">
        <v>16636.9</v>
      </c>
    </row>
    <row r="1229" customFormat="false" ht="15" hidden="false" customHeight="false" outlineLevel="0" collapsed="false">
      <c r="A1229" s="19" t="n">
        <v>44435</v>
      </c>
      <c r="B1229" s="20" t="n">
        <v>16705.2</v>
      </c>
    </row>
    <row r="1230" customFormat="false" ht="15" hidden="false" customHeight="false" outlineLevel="0" collapsed="false">
      <c r="A1230" s="19" t="n">
        <v>44438</v>
      </c>
      <c r="B1230" s="20" t="n">
        <v>16931.05</v>
      </c>
    </row>
    <row r="1231" customFormat="false" ht="15" hidden="false" customHeight="false" outlineLevel="0" collapsed="false">
      <c r="A1231" s="19" t="n">
        <v>44439</v>
      </c>
      <c r="B1231" s="20" t="n">
        <v>17132.2</v>
      </c>
    </row>
    <row r="1232" customFormat="false" ht="15" hidden="false" customHeight="false" outlineLevel="0" collapsed="false">
      <c r="A1232" s="19" t="n">
        <v>44440</v>
      </c>
      <c r="B1232" s="20" t="n">
        <v>17076.25</v>
      </c>
    </row>
    <row r="1233" customFormat="false" ht="15" hidden="false" customHeight="false" outlineLevel="0" collapsed="false">
      <c r="A1233" s="19" t="n">
        <v>44441</v>
      </c>
      <c r="B1233" s="20" t="n">
        <v>17234.15</v>
      </c>
    </row>
    <row r="1234" customFormat="false" ht="15" hidden="false" customHeight="false" outlineLevel="0" collapsed="false">
      <c r="A1234" s="19" t="n">
        <v>44442</v>
      </c>
      <c r="B1234" s="20" t="n">
        <v>17323.6</v>
      </c>
    </row>
    <row r="1235" customFormat="false" ht="15" hidden="false" customHeight="false" outlineLevel="0" collapsed="false">
      <c r="A1235" s="19" t="n">
        <v>44445</v>
      </c>
      <c r="B1235" s="20" t="n">
        <v>17377.8</v>
      </c>
    </row>
    <row r="1236" customFormat="false" ht="15" hidden="false" customHeight="false" outlineLevel="0" collapsed="false">
      <c r="A1236" s="19" t="n">
        <v>44446</v>
      </c>
      <c r="B1236" s="20" t="n">
        <v>17362.1</v>
      </c>
    </row>
    <row r="1237" customFormat="false" ht="15" hidden="false" customHeight="false" outlineLevel="0" collapsed="false">
      <c r="A1237" s="19" t="n">
        <v>44447</v>
      </c>
      <c r="B1237" s="20" t="n">
        <v>17353.5</v>
      </c>
    </row>
    <row r="1238" customFormat="false" ht="15" hidden="false" customHeight="false" outlineLevel="0" collapsed="false">
      <c r="A1238" s="19" t="n">
        <v>44448</v>
      </c>
      <c r="B1238" s="20" t="n">
        <v>17369.25</v>
      </c>
    </row>
    <row r="1239" customFormat="false" ht="15" hidden="false" customHeight="false" outlineLevel="0" collapsed="false">
      <c r="A1239" s="19" t="n">
        <v>44452</v>
      </c>
      <c r="B1239" s="20" t="n">
        <v>17355.3</v>
      </c>
    </row>
    <row r="1240" customFormat="false" ht="15" hidden="false" customHeight="false" outlineLevel="0" collapsed="false">
      <c r="A1240" s="19" t="n">
        <v>44453</v>
      </c>
      <c r="B1240" s="20" t="n">
        <v>17380</v>
      </c>
    </row>
    <row r="1241" customFormat="false" ht="15" hidden="false" customHeight="false" outlineLevel="0" collapsed="false">
      <c r="A1241" s="19" t="n">
        <v>44454</v>
      </c>
      <c r="B1241" s="20" t="n">
        <v>17519.45</v>
      </c>
    </row>
    <row r="1242" customFormat="false" ht="15" hidden="false" customHeight="false" outlineLevel="0" collapsed="false">
      <c r="A1242" s="19" t="n">
        <v>44455</v>
      </c>
      <c r="B1242" s="20" t="n">
        <v>17629.5</v>
      </c>
    </row>
    <row r="1243" customFormat="false" ht="15" hidden="false" customHeight="false" outlineLevel="0" collapsed="false">
      <c r="A1243" s="19" t="n">
        <v>44456</v>
      </c>
      <c r="B1243" s="20" t="n">
        <v>17585.15</v>
      </c>
    </row>
    <row r="1244" customFormat="false" ht="15" hidden="false" customHeight="false" outlineLevel="0" collapsed="false">
      <c r="A1244" s="19" t="n">
        <v>44459</v>
      </c>
      <c r="B1244" s="20" t="n">
        <v>17396.9</v>
      </c>
    </row>
    <row r="1245" customFormat="false" ht="15" hidden="false" customHeight="false" outlineLevel="0" collapsed="false">
      <c r="A1245" s="19" t="n">
        <v>44460</v>
      </c>
      <c r="B1245" s="20" t="n">
        <v>17562</v>
      </c>
    </row>
    <row r="1246" customFormat="false" ht="15" hidden="false" customHeight="false" outlineLevel="0" collapsed="false">
      <c r="A1246" s="19" t="n">
        <v>44461</v>
      </c>
      <c r="B1246" s="20" t="n">
        <v>17546.65</v>
      </c>
    </row>
    <row r="1247" customFormat="false" ht="15" hidden="false" customHeight="false" outlineLevel="0" collapsed="false">
      <c r="A1247" s="19" t="n">
        <v>44462</v>
      </c>
      <c r="B1247" s="20" t="n">
        <v>17822.95</v>
      </c>
    </row>
    <row r="1248" customFormat="false" ht="15" hidden="false" customHeight="false" outlineLevel="0" collapsed="false">
      <c r="A1248" s="19" t="n">
        <v>44463</v>
      </c>
      <c r="B1248" s="20" t="n">
        <v>17853.2</v>
      </c>
    </row>
    <row r="1249" customFormat="false" ht="15" hidden="false" customHeight="false" outlineLevel="0" collapsed="false">
      <c r="A1249" s="19" t="n">
        <v>44466</v>
      </c>
      <c r="B1249" s="20" t="n">
        <v>17855.1</v>
      </c>
    </row>
    <row r="1250" customFormat="false" ht="15" hidden="false" customHeight="false" outlineLevel="0" collapsed="false">
      <c r="A1250" s="19" t="n">
        <v>44467</v>
      </c>
      <c r="B1250" s="20" t="n">
        <v>17748.6</v>
      </c>
    </row>
    <row r="1251" customFormat="false" ht="15" hidden="false" customHeight="false" outlineLevel="0" collapsed="false">
      <c r="A1251" s="19" t="n">
        <v>44468</v>
      </c>
      <c r="B1251" s="20" t="n">
        <v>17711.3</v>
      </c>
    </row>
    <row r="1252" customFormat="false" ht="15" hidden="false" customHeight="false" outlineLevel="0" collapsed="false">
      <c r="A1252" s="19" t="n">
        <v>44469</v>
      </c>
      <c r="B1252" s="20" t="n">
        <v>17618.15</v>
      </c>
    </row>
    <row r="1253" customFormat="false" ht="15" hidden="false" customHeight="false" outlineLevel="0" collapsed="false">
      <c r="A1253" s="19" t="n">
        <v>44470</v>
      </c>
      <c r="B1253" s="20" t="n">
        <v>17532.05</v>
      </c>
    </row>
    <row r="1254" customFormat="false" ht="15" hidden="false" customHeight="false" outlineLevel="0" collapsed="false">
      <c r="A1254" s="19" t="n">
        <v>44473</v>
      </c>
      <c r="B1254" s="20" t="n">
        <v>17691.25</v>
      </c>
    </row>
    <row r="1255" customFormat="false" ht="15" hidden="false" customHeight="false" outlineLevel="0" collapsed="false">
      <c r="A1255" s="19" t="n">
        <v>44474</v>
      </c>
      <c r="B1255" s="20" t="n">
        <v>17822.3</v>
      </c>
    </row>
    <row r="1256" customFormat="false" ht="15" hidden="false" customHeight="false" outlineLevel="0" collapsed="false">
      <c r="A1256" s="19" t="n">
        <v>44475</v>
      </c>
      <c r="B1256" s="20" t="n">
        <v>17646</v>
      </c>
    </row>
    <row r="1257" customFormat="false" ht="15" hidden="false" customHeight="false" outlineLevel="0" collapsed="false">
      <c r="A1257" s="19" t="n">
        <v>44476</v>
      </c>
      <c r="B1257" s="20" t="n">
        <v>17790.35</v>
      </c>
    </row>
    <row r="1258" customFormat="false" ht="15" hidden="false" customHeight="false" outlineLevel="0" collapsed="false">
      <c r="A1258" s="19" t="n">
        <v>44477</v>
      </c>
      <c r="B1258" s="20" t="n">
        <v>17895.2</v>
      </c>
    </row>
    <row r="1259" customFormat="false" ht="15" hidden="false" customHeight="false" outlineLevel="0" collapsed="false">
      <c r="A1259" s="19" t="n">
        <v>44480</v>
      </c>
      <c r="B1259" s="20" t="n">
        <v>17945.95</v>
      </c>
    </row>
    <row r="1260" customFormat="false" ht="15" hidden="false" customHeight="false" outlineLevel="0" collapsed="false">
      <c r="A1260" s="19" t="n">
        <v>44481</v>
      </c>
      <c r="B1260" s="20" t="n">
        <v>17991.95</v>
      </c>
    </row>
    <row r="1261" customFormat="false" ht="15" hidden="false" customHeight="false" outlineLevel="0" collapsed="false">
      <c r="A1261" s="19" t="n">
        <v>44482</v>
      </c>
      <c r="B1261" s="20" t="n">
        <v>18161.75</v>
      </c>
    </row>
    <row r="1262" customFormat="false" ht="15" hidden="false" customHeight="false" outlineLevel="0" collapsed="false">
      <c r="A1262" s="19" t="n">
        <v>44483</v>
      </c>
      <c r="B1262" s="20" t="n">
        <v>18338.55</v>
      </c>
    </row>
    <row r="1263" customFormat="false" ht="15" hidden="false" customHeight="false" outlineLevel="0" collapsed="false">
      <c r="A1263" s="19" t="n">
        <v>44487</v>
      </c>
      <c r="B1263" s="20" t="n">
        <v>18477.05</v>
      </c>
    </row>
    <row r="1264" customFormat="false" ht="15" hidden="false" customHeight="false" outlineLevel="0" collapsed="false">
      <c r="A1264" s="19" t="n">
        <v>44488</v>
      </c>
      <c r="B1264" s="20" t="n">
        <v>18418.75</v>
      </c>
    </row>
    <row r="1265" customFormat="false" ht="15" hidden="false" customHeight="false" outlineLevel="0" collapsed="false">
      <c r="A1265" s="19" t="n">
        <v>44489</v>
      </c>
      <c r="B1265" s="20" t="n">
        <v>18266.6</v>
      </c>
    </row>
    <row r="1266" customFormat="false" ht="15" hidden="false" customHeight="false" outlineLevel="0" collapsed="false">
      <c r="A1266" s="19" t="n">
        <v>44490</v>
      </c>
      <c r="B1266" s="20" t="n">
        <v>18178.1</v>
      </c>
    </row>
    <row r="1267" customFormat="false" ht="15" hidden="false" customHeight="false" outlineLevel="0" collapsed="false">
      <c r="A1267" s="19" t="n">
        <v>44491</v>
      </c>
      <c r="B1267" s="20" t="n">
        <v>18114.9</v>
      </c>
    </row>
    <row r="1268" customFormat="false" ht="15" hidden="false" customHeight="false" outlineLevel="0" collapsed="false">
      <c r="A1268" s="19" t="n">
        <v>44494</v>
      </c>
      <c r="B1268" s="20" t="n">
        <v>18125.4</v>
      </c>
    </row>
    <row r="1269" customFormat="false" ht="15" hidden="false" customHeight="false" outlineLevel="0" collapsed="false">
      <c r="A1269" s="19" t="n">
        <v>44495</v>
      </c>
      <c r="B1269" s="20" t="n">
        <v>18268.4</v>
      </c>
    </row>
    <row r="1270" customFormat="false" ht="15" hidden="false" customHeight="false" outlineLevel="0" collapsed="false">
      <c r="A1270" s="19" t="n">
        <v>44496</v>
      </c>
      <c r="B1270" s="20" t="n">
        <v>18210.95</v>
      </c>
    </row>
    <row r="1271" customFormat="false" ht="15" hidden="false" customHeight="false" outlineLevel="0" collapsed="false">
      <c r="A1271" s="19" t="n">
        <v>44497</v>
      </c>
      <c r="B1271" s="20" t="n">
        <v>17857.25</v>
      </c>
    </row>
    <row r="1272" customFormat="false" ht="15" hidden="false" customHeight="false" outlineLevel="0" collapsed="false">
      <c r="A1272" s="19" t="n">
        <v>44498</v>
      </c>
      <c r="B1272" s="20" t="n">
        <v>17671.65</v>
      </c>
    </row>
    <row r="1273" customFormat="false" ht="15" hidden="false" customHeight="false" outlineLevel="0" collapsed="false">
      <c r="A1273" s="19" t="n">
        <v>44501</v>
      </c>
      <c r="B1273" s="20" t="n">
        <v>17929.65</v>
      </c>
    </row>
    <row r="1274" customFormat="false" ht="15" hidden="false" customHeight="false" outlineLevel="0" collapsed="false">
      <c r="A1274" s="19" t="n">
        <v>44502</v>
      </c>
      <c r="B1274" s="20" t="n">
        <v>17888.95</v>
      </c>
    </row>
    <row r="1275" customFormat="false" ht="15" hidden="false" customHeight="false" outlineLevel="0" collapsed="false">
      <c r="A1275" s="19" t="n">
        <v>44503</v>
      </c>
      <c r="B1275" s="20" t="n">
        <v>17829.2</v>
      </c>
    </row>
    <row r="1276" customFormat="false" ht="15" hidden="false" customHeight="false" outlineLevel="0" collapsed="false">
      <c r="A1276" s="19" t="n">
        <v>44504</v>
      </c>
      <c r="B1276" s="20" t="n">
        <v>17916.8</v>
      </c>
    </row>
    <row r="1277" customFormat="false" ht="15" hidden="false" customHeight="false" outlineLevel="0" collapsed="false">
      <c r="A1277" s="19" t="n">
        <v>44508</v>
      </c>
      <c r="B1277" s="20" t="n">
        <v>18068.55</v>
      </c>
    </row>
    <row r="1278" customFormat="false" ht="15" hidden="false" customHeight="false" outlineLevel="0" collapsed="false">
      <c r="A1278" s="19" t="n">
        <v>44509</v>
      </c>
      <c r="B1278" s="20" t="n">
        <v>18044.25</v>
      </c>
    </row>
    <row r="1279" customFormat="false" ht="15" hidden="false" customHeight="false" outlineLevel="0" collapsed="false">
      <c r="A1279" s="19" t="n">
        <v>44510</v>
      </c>
      <c r="B1279" s="20" t="n">
        <v>18017.2</v>
      </c>
    </row>
    <row r="1280" customFormat="false" ht="15" hidden="false" customHeight="false" outlineLevel="0" collapsed="false">
      <c r="A1280" s="19" t="n">
        <v>44511</v>
      </c>
      <c r="B1280" s="20" t="n">
        <v>17873.6</v>
      </c>
    </row>
    <row r="1281" customFormat="false" ht="15" hidden="false" customHeight="false" outlineLevel="0" collapsed="false">
      <c r="A1281" s="19" t="n">
        <v>44512</v>
      </c>
      <c r="B1281" s="20" t="n">
        <v>18102.75</v>
      </c>
    </row>
    <row r="1282" customFormat="false" ht="15" hidden="false" customHeight="false" outlineLevel="0" collapsed="false">
      <c r="A1282" s="19" t="n">
        <v>44515</v>
      </c>
      <c r="B1282" s="20" t="n">
        <v>18109.45</v>
      </c>
    </row>
    <row r="1283" customFormat="false" ht="15" hidden="false" customHeight="false" outlineLevel="0" collapsed="false">
      <c r="A1283" s="19" t="n">
        <v>44516</v>
      </c>
      <c r="B1283" s="20" t="n">
        <v>17999.2</v>
      </c>
    </row>
    <row r="1284" customFormat="false" ht="15" hidden="false" customHeight="false" outlineLevel="0" collapsed="false">
      <c r="A1284" s="19" t="n">
        <v>44517</v>
      </c>
      <c r="B1284" s="20" t="n">
        <v>17898.65</v>
      </c>
    </row>
    <row r="1285" customFormat="false" ht="15" hidden="false" customHeight="false" outlineLevel="0" collapsed="false">
      <c r="A1285" s="19" t="n">
        <v>44518</v>
      </c>
      <c r="B1285" s="20" t="n">
        <v>17764.8</v>
      </c>
    </row>
    <row r="1286" customFormat="false" ht="15" hidden="false" customHeight="false" outlineLevel="0" collapsed="false">
      <c r="A1286" s="19" t="n">
        <v>44522</v>
      </c>
      <c r="B1286" s="20" t="n">
        <v>17416.55</v>
      </c>
    </row>
    <row r="1287" customFormat="false" ht="15" hidden="false" customHeight="false" outlineLevel="0" collapsed="false">
      <c r="A1287" s="19" t="n">
        <v>44523</v>
      </c>
      <c r="B1287" s="20" t="n">
        <v>17503.35</v>
      </c>
    </row>
    <row r="1288" customFormat="false" ht="15" hidden="false" customHeight="false" outlineLevel="0" collapsed="false">
      <c r="A1288" s="19" t="n">
        <v>44524</v>
      </c>
      <c r="B1288" s="20" t="n">
        <v>17415.05</v>
      </c>
    </row>
    <row r="1289" customFormat="false" ht="15" hidden="false" customHeight="false" outlineLevel="0" collapsed="false">
      <c r="A1289" s="19" t="n">
        <v>44525</v>
      </c>
      <c r="B1289" s="20" t="n">
        <v>17536.25</v>
      </c>
    </row>
    <row r="1290" customFormat="false" ht="15" hidden="false" customHeight="false" outlineLevel="0" collapsed="false">
      <c r="A1290" s="19" t="n">
        <v>44526</v>
      </c>
      <c r="B1290" s="20" t="n">
        <v>17026.45</v>
      </c>
    </row>
    <row r="1291" customFormat="false" ht="15" hidden="false" customHeight="false" outlineLevel="0" collapsed="false">
      <c r="A1291" s="19" t="n">
        <v>44529</v>
      </c>
      <c r="B1291" s="20" t="n">
        <v>17053.95</v>
      </c>
    </row>
    <row r="1292" customFormat="false" ht="15" hidden="false" customHeight="false" outlineLevel="0" collapsed="false">
      <c r="A1292" s="19" t="n">
        <v>44530</v>
      </c>
      <c r="B1292" s="20" t="n">
        <v>16983.2</v>
      </c>
    </row>
    <row r="1293" customFormat="false" ht="15" hidden="false" customHeight="false" outlineLevel="0" collapsed="false">
      <c r="A1293" s="19" t="n">
        <v>44531</v>
      </c>
      <c r="B1293" s="20" t="n">
        <v>17166.9</v>
      </c>
    </row>
    <row r="1294" customFormat="false" ht="15" hidden="false" customHeight="false" outlineLevel="0" collapsed="false">
      <c r="A1294" s="19" t="n">
        <v>44532</v>
      </c>
      <c r="B1294" s="20" t="n">
        <v>17401.65</v>
      </c>
    </row>
    <row r="1295" customFormat="false" ht="15" hidden="false" customHeight="false" outlineLevel="0" collapsed="false">
      <c r="A1295" s="19" t="n">
        <v>44533</v>
      </c>
      <c r="B1295" s="20" t="n">
        <v>17196.7</v>
      </c>
    </row>
    <row r="1296" customFormat="false" ht="15" hidden="false" customHeight="false" outlineLevel="0" collapsed="false">
      <c r="A1296" s="19" t="n">
        <v>44536</v>
      </c>
      <c r="B1296" s="20" t="n">
        <v>16912.25</v>
      </c>
    </row>
    <row r="1297" customFormat="false" ht="15" hidden="false" customHeight="false" outlineLevel="0" collapsed="false">
      <c r="A1297" s="19" t="n">
        <v>44537</v>
      </c>
      <c r="B1297" s="20" t="n">
        <v>17176.7</v>
      </c>
    </row>
    <row r="1298" customFormat="false" ht="15" hidden="false" customHeight="false" outlineLevel="0" collapsed="false">
      <c r="A1298" s="19" t="n">
        <v>44538</v>
      </c>
      <c r="B1298" s="20" t="n">
        <v>17469.75</v>
      </c>
    </row>
    <row r="1299" customFormat="false" ht="15" hidden="false" customHeight="false" outlineLevel="0" collapsed="false">
      <c r="A1299" s="19" t="n">
        <v>44539</v>
      </c>
      <c r="B1299" s="20" t="n">
        <v>17516.85</v>
      </c>
    </row>
    <row r="1300" customFormat="false" ht="15" hidden="false" customHeight="false" outlineLevel="0" collapsed="false">
      <c r="A1300" s="19" t="n">
        <v>44540</v>
      </c>
      <c r="B1300" s="20" t="n">
        <v>17511.3</v>
      </c>
    </row>
    <row r="1301" customFormat="false" ht="15" hidden="false" customHeight="false" outlineLevel="0" collapsed="false">
      <c r="A1301" s="19" t="n">
        <v>44543</v>
      </c>
      <c r="B1301" s="20" t="n">
        <v>17368.25</v>
      </c>
    </row>
    <row r="1302" customFormat="false" ht="15" hidden="false" customHeight="false" outlineLevel="0" collapsed="false">
      <c r="A1302" s="19" t="n">
        <v>44544</v>
      </c>
      <c r="B1302" s="20" t="n">
        <v>17324.9</v>
      </c>
    </row>
    <row r="1303" customFormat="false" ht="15" hidden="false" customHeight="false" outlineLevel="0" collapsed="false">
      <c r="A1303" s="19" t="n">
        <v>44545</v>
      </c>
      <c r="B1303" s="20" t="n">
        <v>17221.4</v>
      </c>
    </row>
    <row r="1304" customFormat="false" ht="15" hidden="false" customHeight="false" outlineLevel="0" collapsed="false">
      <c r="A1304" s="19" t="n">
        <v>44546</v>
      </c>
      <c r="B1304" s="20" t="n">
        <v>17248.4</v>
      </c>
    </row>
    <row r="1305" customFormat="false" ht="15" hidden="false" customHeight="false" outlineLevel="0" collapsed="false">
      <c r="A1305" s="19" t="n">
        <v>44547</v>
      </c>
      <c r="B1305" s="20" t="n">
        <v>16985.2</v>
      </c>
    </row>
    <row r="1306" customFormat="false" ht="15" hidden="false" customHeight="false" outlineLevel="0" collapsed="false">
      <c r="A1306" s="19" t="n">
        <v>44550</v>
      </c>
      <c r="B1306" s="20" t="n">
        <v>16614.2</v>
      </c>
    </row>
    <row r="1307" customFormat="false" ht="15" hidden="false" customHeight="false" outlineLevel="0" collapsed="false">
      <c r="A1307" s="19" t="n">
        <v>44551</v>
      </c>
      <c r="B1307" s="20" t="n">
        <v>16770.85</v>
      </c>
    </row>
    <row r="1308" customFormat="false" ht="15" hidden="false" customHeight="false" outlineLevel="0" collapsed="false">
      <c r="A1308" s="19" t="n">
        <v>44552</v>
      </c>
      <c r="B1308" s="20" t="n">
        <v>16955.45</v>
      </c>
    </row>
    <row r="1309" customFormat="false" ht="15" hidden="false" customHeight="false" outlineLevel="0" collapsed="false">
      <c r="A1309" s="19" t="n">
        <v>44553</v>
      </c>
      <c r="B1309" s="20" t="n">
        <v>17072.6</v>
      </c>
    </row>
    <row r="1310" customFormat="false" ht="15" hidden="false" customHeight="false" outlineLevel="0" collapsed="false">
      <c r="A1310" s="19" t="n">
        <v>44554</v>
      </c>
      <c r="B1310" s="20" t="n">
        <v>17003.75</v>
      </c>
    </row>
    <row r="1311" customFormat="false" ht="15" hidden="false" customHeight="false" outlineLevel="0" collapsed="false">
      <c r="A1311" s="19" t="n">
        <v>44557</v>
      </c>
      <c r="B1311" s="20" t="n">
        <v>17086.25</v>
      </c>
    </row>
    <row r="1312" customFormat="false" ht="15" hidden="false" customHeight="false" outlineLevel="0" collapsed="false">
      <c r="A1312" s="19" t="n">
        <v>44558</v>
      </c>
      <c r="B1312" s="20" t="n">
        <v>17233.25</v>
      </c>
    </row>
    <row r="1313" customFormat="false" ht="15" hidden="false" customHeight="false" outlineLevel="0" collapsed="false">
      <c r="A1313" s="19" t="n">
        <v>44559</v>
      </c>
      <c r="B1313" s="20" t="n">
        <v>17213.6</v>
      </c>
    </row>
    <row r="1314" customFormat="false" ht="15" hidden="false" customHeight="false" outlineLevel="0" collapsed="false">
      <c r="A1314" s="19" t="n">
        <v>44560</v>
      </c>
      <c r="B1314" s="20" t="n">
        <v>17203.95</v>
      </c>
    </row>
    <row r="1315" customFormat="false" ht="15" hidden="false" customHeight="false" outlineLevel="0" collapsed="false">
      <c r="A1315" s="19" t="n">
        <v>44561</v>
      </c>
      <c r="B1315" s="20" t="n">
        <v>17354.05</v>
      </c>
    </row>
    <row r="1316" customFormat="false" ht="15" hidden="false" customHeight="false" outlineLevel="0" collapsed="false">
      <c r="A1316" s="19" t="n">
        <v>44564</v>
      </c>
      <c r="B1316" s="20" t="n">
        <v>17625.7</v>
      </c>
    </row>
    <row r="1317" customFormat="false" ht="15" hidden="false" customHeight="false" outlineLevel="0" collapsed="false">
      <c r="A1317" s="19" t="n">
        <v>44565</v>
      </c>
      <c r="B1317" s="20" t="n">
        <v>17805.25</v>
      </c>
    </row>
    <row r="1318" customFormat="false" ht="15" hidden="false" customHeight="false" outlineLevel="0" collapsed="false">
      <c r="A1318" s="19" t="n">
        <v>44566</v>
      </c>
      <c r="B1318" s="20" t="n">
        <v>17925.25</v>
      </c>
    </row>
    <row r="1319" customFormat="false" ht="15" hidden="false" customHeight="false" outlineLevel="0" collapsed="false">
      <c r="A1319" s="19" t="n">
        <v>44567</v>
      </c>
      <c r="B1319" s="20" t="n">
        <v>17745.9</v>
      </c>
    </row>
    <row r="1320" customFormat="false" ht="15" hidden="false" customHeight="false" outlineLevel="0" collapsed="false">
      <c r="A1320" s="19" t="n">
        <v>44568</v>
      </c>
      <c r="B1320" s="20" t="n">
        <v>17812.7</v>
      </c>
    </row>
    <row r="1321" customFormat="false" ht="15" hidden="false" customHeight="false" outlineLevel="0" collapsed="false">
      <c r="A1321" s="19" t="n">
        <v>44571</v>
      </c>
      <c r="B1321" s="20" t="n">
        <v>18003.3</v>
      </c>
    </row>
    <row r="1322" customFormat="false" ht="15" hidden="false" customHeight="false" outlineLevel="0" collapsed="false">
      <c r="A1322" s="19" t="n">
        <v>44572</v>
      </c>
      <c r="B1322" s="20" t="n">
        <v>18055.75</v>
      </c>
    </row>
    <row r="1323" customFormat="false" ht="15" hidden="false" customHeight="false" outlineLevel="0" collapsed="false">
      <c r="A1323" s="19" t="n">
        <v>44573</v>
      </c>
      <c r="B1323" s="20" t="n">
        <v>18212.35</v>
      </c>
    </row>
    <row r="1324" customFormat="false" ht="15" hidden="false" customHeight="false" outlineLevel="0" collapsed="false">
      <c r="A1324" s="19" t="n">
        <v>44574</v>
      </c>
      <c r="B1324" s="20" t="n">
        <v>18257.8</v>
      </c>
    </row>
    <row r="1325" customFormat="false" ht="15" hidden="false" customHeight="false" outlineLevel="0" collapsed="false">
      <c r="A1325" s="19" t="n">
        <v>44575</v>
      </c>
      <c r="B1325" s="20" t="n">
        <v>18255.75</v>
      </c>
    </row>
    <row r="1326" customFormat="false" ht="15" hidden="false" customHeight="false" outlineLevel="0" collapsed="false">
      <c r="A1326" s="19" t="n">
        <v>44578</v>
      </c>
      <c r="B1326" s="20" t="n">
        <v>18308.1</v>
      </c>
    </row>
    <row r="1327" customFormat="false" ht="15" hidden="false" customHeight="false" outlineLevel="0" collapsed="false">
      <c r="A1327" s="19" t="n">
        <v>44579</v>
      </c>
      <c r="B1327" s="20" t="n">
        <v>18113.05</v>
      </c>
    </row>
    <row r="1328" customFormat="false" ht="15" hidden="false" customHeight="false" outlineLevel="0" collapsed="false">
      <c r="A1328" s="19" t="n">
        <v>44580</v>
      </c>
      <c r="B1328" s="20" t="n">
        <v>17938.4</v>
      </c>
    </row>
    <row r="1329" customFormat="false" ht="15" hidden="false" customHeight="false" outlineLevel="0" collapsed="false">
      <c r="A1329" s="19" t="n">
        <v>44581</v>
      </c>
      <c r="B1329" s="20" t="n">
        <v>17757</v>
      </c>
    </row>
    <row r="1330" customFormat="false" ht="15" hidden="false" customHeight="false" outlineLevel="0" collapsed="false">
      <c r="A1330" s="19" t="n">
        <v>44582</v>
      </c>
      <c r="B1330" s="20" t="n">
        <v>17617.15</v>
      </c>
    </row>
    <row r="1331" customFormat="false" ht="15" hidden="false" customHeight="false" outlineLevel="0" collapsed="false">
      <c r="A1331" s="19" t="n">
        <v>44585</v>
      </c>
      <c r="B1331" s="20" t="n">
        <v>17149.1</v>
      </c>
    </row>
    <row r="1332" customFormat="false" ht="15" hidden="false" customHeight="false" outlineLevel="0" collapsed="false">
      <c r="A1332" s="19" t="n">
        <v>44586</v>
      </c>
      <c r="B1332" s="20" t="n">
        <v>17277.95</v>
      </c>
    </row>
    <row r="1333" customFormat="false" ht="15" hidden="false" customHeight="false" outlineLevel="0" collapsed="false">
      <c r="A1333" s="19" t="n">
        <v>44588</v>
      </c>
      <c r="B1333" s="20" t="n">
        <v>17110.15</v>
      </c>
    </row>
    <row r="1334" customFormat="false" ht="15" hidden="false" customHeight="false" outlineLevel="0" collapsed="false">
      <c r="A1334" s="19" t="n">
        <v>44589</v>
      </c>
      <c r="B1334" s="20" t="n">
        <v>17101.95</v>
      </c>
    </row>
    <row r="1335" customFormat="false" ht="15" hidden="false" customHeight="false" outlineLevel="0" collapsed="false">
      <c r="A1335" s="19" t="n">
        <v>44592</v>
      </c>
      <c r="B1335" s="20" t="n">
        <v>17339.85</v>
      </c>
    </row>
    <row r="1336" customFormat="false" ht="15" hidden="false" customHeight="false" outlineLevel="0" collapsed="false">
      <c r="A1336" s="19" t="n">
        <v>44593</v>
      </c>
      <c r="B1336" s="20" t="n">
        <v>17576.85</v>
      </c>
    </row>
    <row r="1337" customFormat="false" ht="15" hidden="false" customHeight="false" outlineLevel="0" collapsed="false">
      <c r="A1337" s="19" t="n">
        <v>44594</v>
      </c>
      <c r="B1337" s="20" t="n">
        <v>17780</v>
      </c>
    </row>
    <row r="1338" customFormat="false" ht="15" hidden="false" customHeight="false" outlineLevel="0" collapsed="false">
      <c r="A1338" s="19" t="n">
        <v>44595</v>
      </c>
      <c r="B1338" s="20" t="n">
        <v>17560.2</v>
      </c>
    </row>
    <row r="1339" customFormat="false" ht="15" hidden="false" customHeight="false" outlineLevel="0" collapsed="false">
      <c r="A1339" s="19" t="n">
        <v>44596</v>
      </c>
      <c r="B1339" s="20" t="n">
        <v>17516.3</v>
      </c>
    </row>
    <row r="1340" customFormat="false" ht="15" hidden="false" customHeight="false" outlineLevel="0" collapsed="false">
      <c r="A1340" s="19" t="n">
        <v>44599</v>
      </c>
      <c r="B1340" s="20" t="n">
        <v>17213.6</v>
      </c>
    </row>
    <row r="1341" customFormat="false" ht="15" hidden="false" customHeight="false" outlineLevel="0" collapsed="false">
      <c r="A1341" s="19" t="n">
        <v>44600</v>
      </c>
      <c r="B1341" s="20" t="n">
        <v>17266.75</v>
      </c>
    </row>
    <row r="1342" customFormat="false" ht="15" hidden="false" customHeight="false" outlineLevel="0" collapsed="false">
      <c r="A1342" s="19" t="n">
        <v>44601</v>
      </c>
      <c r="B1342" s="20" t="n">
        <v>17463.8</v>
      </c>
    </row>
    <row r="1343" customFormat="false" ht="15" hidden="false" customHeight="false" outlineLevel="0" collapsed="false">
      <c r="A1343" s="19" t="n">
        <v>44602</v>
      </c>
      <c r="B1343" s="20" t="n">
        <v>17605.85</v>
      </c>
    </row>
    <row r="1344" customFormat="false" ht="15" hidden="false" customHeight="false" outlineLevel="0" collapsed="false">
      <c r="A1344" s="19" t="n">
        <v>44603</v>
      </c>
      <c r="B1344" s="20" t="n">
        <v>17374.75</v>
      </c>
    </row>
    <row r="1345" customFormat="false" ht="15" hidden="false" customHeight="false" outlineLevel="0" collapsed="false">
      <c r="A1345" s="19" t="n">
        <v>44606</v>
      </c>
      <c r="B1345" s="20" t="n">
        <v>16842.8</v>
      </c>
    </row>
    <row r="1346" customFormat="false" ht="15" hidden="false" customHeight="false" outlineLevel="0" collapsed="false">
      <c r="A1346" s="19" t="n">
        <v>44607</v>
      </c>
      <c r="B1346" s="20" t="n">
        <v>17352.45</v>
      </c>
    </row>
    <row r="1347" customFormat="false" ht="15" hidden="false" customHeight="false" outlineLevel="0" collapsed="false">
      <c r="A1347" s="19" t="n">
        <v>44608</v>
      </c>
      <c r="B1347" s="20" t="n">
        <v>17322.2</v>
      </c>
    </row>
    <row r="1348" customFormat="false" ht="15" hidden="false" customHeight="false" outlineLevel="0" collapsed="false">
      <c r="A1348" s="19" t="n">
        <v>44609</v>
      </c>
      <c r="B1348" s="20" t="n">
        <v>17304.6</v>
      </c>
    </row>
    <row r="1349" customFormat="false" ht="15" hidden="false" customHeight="false" outlineLevel="0" collapsed="false">
      <c r="A1349" s="19" t="n">
        <v>44610</v>
      </c>
      <c r="B1349" s="20" t="n">
        <v>17276.3</v>
      </c>
    </row>
    <row r="1350" customFormat="false" ht="15" hidden="false" customHeight="false" outlineLevel="0" collapsed="false">
      <c r="A1350" s="19" t="n">
        <v>44613</v>
      </c>
      <c r="B1350" s="20" t="n">
        <v>17206.65</v>
      </c>
    </row>
    <row r="1351" customFormat="false" ht="15" hidden="false" customHeight="false" outlineLevel="0" collapsed="false">
      <c r="A1351" s="19" t="n">
        <v>44614</v>
      </c>
      <c r="B1351" s="20" t="n">
        <v>17092.2</v>
      </c>
    </row>
    <row r="1352" customFormat="false" ht="15" hidden="false" customHeight="false" outlineLevel="0" collapsed="false">
      <c r="A1352" s="19" t="n">
        <v>44615</v>
      </c>
      <c r="B1352" s="20" t="n">
        <v>17063.25</v>
      </c>
    </row>
    <row r="1353" customFormat="false" ht="15" hidden="false" customHeight="false" outlineLevel="0" collapsed="false">
      <c r="A1353" s="19" t="n">
        <v>44616</v>
      </c>
      <c r="B1353" s="20" t="n">
        <v>16247.95</v>
      </c>
    </row>
    <row r="1354" customFormat="false" ht="15" hidden="false" customHeight="false" outlineLevel="0" collapsed="false">
      <c r="A1354" s="19" t="n">
        <v>44617</v>
      </c>
      <c r="B1354" s="20" t="n">
        <v>16658.4</v>
      </c>
    </row>
    <row r="1355" customFormat="false" ht="15" hidden="false" customHeight="false" outlineLevel="0" collapsed="false">
      <c r="A1355" s="19" t="n">
        <v>44620</v>
      </c>
      <c r="B1355" s="20" t="n">
        <v>16793.9</v>
      </c>
    </row>
    <row r="1356" customFormat="false" ht="15" hidden="false" customHeight="false" outlineLevel="0" collapsed="false">
      <c r="A1356" s="19" t="n">
        <v>44622</v>
      </c>
      <c r="B1356" s="20" t="n">
        <v>16605.95</v>
      </c>
    </row>
    <row r="1357" customFormat="false" ht="15" hidden="false" customHeight="false" outlineLevel="0" collapsed="false">
      <c r="A1357" s="19" t="n">
        <v>44623</v>
      </c>
      <c r="B1357" s="20" t="n">
        <v>16498.05</v>
      </c>
    </row>
    <row r="1358" customFormat="false" ht="15" hidden="false" customHeight="false" outlineLevel="0" collapsed="false">
      <c r="A1358" s="19" t="n">
        <v>44624</v>
      </c>
      <c r="B1358" s="20" t="n">
        <v>16245.35</v>
      </c>
    </row>
    <row r="1359" customFormat="false" ht="15" hidden="false" customHeight="false" outlineLevel="0" collapsed="false">
      <c r="A1359" s="19" t="n">
        <v>44627</v>
      </c>
      <c r="B1359" s="20" t="n">
        <v>15863.15</v>
      </c>
    </row>
    <row r="1360" customFormat="false" ht="15" hidden="false" customHeight="false" outlineLevel="0" collapsed="false">
      <c r="A1360" s="19" t="n">
        <v>44628</v>
      </c>
      <c r="B1360" s="20" t="n">
        <v>16013.45</v>
      </c>
    </row>
    <row r="1361" customFormat="false" ht="15" hidden="false" customHeight="false" outlineLevel="0" collapsed="false">
      <c r="A1361" s="19" t="n">
        <v>44629</v>
      </c>
      <c r="B1361" s="20" t="n">
        <v>16345.35</v>
      </c>
    </row>
    <row r="1362" customFormat="false" ht="15" hidden="false" customHeight="false" outlineLevel="0" collapsed="false">
      <c r="A1362" s="19" t="n">
        <v>44630</v>
      </c>
      <c r="B1362" s="20" t="n">
        <v>16594.9</v>
      </c>
    </row>
    <row r="1363" customFormat="false" ht="15" hidden="false" customHeight="false" outlineLevel="0" collapsed="false">
      <c r="A1363" s="19" t="n">
        <v>44631</v>
      </c>
      <c r="B1363" s="20" t="n">
        <v>16630.45</v>
      </c>
    </row>
    <row r="1364" customFormat="false" ht="15" hidden="false" customHeight="false" outlineLevel="0" collapsed="false">
      <c r="A1364" s="19" t="n">
        <v>44634</v>
      </c>
      <c r="B1364" s="20" t="n">
        <v>16871.3</v>
      </c>
    </row>
    <row r="1365" customFormat="false" ht="15" hidden="false" customHeight="false" outlineLevel="0" collapsed="false">
      <c r="A1365" s="19" t="n">
        <v>44635</v>
      </c>
      <c r="B1365" s="20" t="n">
        <v>16663</v>
      </c>
    </row>
    <row r="1366" customFormat="false" ht="15" hidden="false" customHeight="false" outlineLevel="0" collapsed="false">
      <c r="A1366" s="19" t="n">
        <v>44636</v>
      </c>
      <c r="B1366" s="20" t="n">
        <v>16975.35</v>
      </c>
    </row>
    <row r="1367" customFormat="false" ht="15" hidden="false" customHeight="false" outlineLevel="0" collapsed="false">
      <c r="A1367" s="19" t="n">
        <v>44637</v>
      </c>
      <c r="B1367" s="20" t="n">
        <v>17287.05</v>
      </c>
    </row>
    <row r="1368" customFormat="false" ht="15" hidden="false" customHeight="false" outlineLevel="0" collapsed="false">
      <c r="A1368" s="19" t="n">
        <v>44641</v>
      </c>
      <c r="B1368" s="20" t="n">
        <v>17117.6</v>
      </c>
    </row>
    <row r="1369" customFormat="false" ht="15" hidden="false" customHeight="false" outlineLevel="0" collapsed="false">
      <c r="A1369" s="19" t="n">
        <v>44642</v>
      </c>
      <c r="B1369" s="20" t="n">
        <v>17315.5</v>
      </c>
    </row>
    <row r="1370" customFormat="false" ht="15" hidden="false" customHeight="false" outlineLevel="0" collapsed="false">
      <c r="A1370" s="19" t="n">
        <v>44643</v>
      </c>
      <c r="B1370" s="20" t="n">
        <v>17245.65</v>
      </c>
    </row>
    <row r="1371" customFormat="false" ht="15" hidden="false" customHeight="false" outlineLevel="0" collapsed="false">
      <c r="A1371" s="19" t="n">
        <v>44644</v>
      </c>
      <c r="B1371" s="20" t="n">
        <v>17222.75</v>
      </c>
    </row>
    <row r="1372" customFormat="false" ht="15" hidden="false" customHeight="false" outlineLevel="0" collapsed="false">
      <c r="A1372" s="19" t="n">
        <v>44645</v>
      </c>
      <c r="B1372" s="20" t="n">
        <v>17153</v>
      </c>
    </row>
    <row r="1373" customFormat="false" ht="15" hidden="false" customHeight="false" outlineLevel="0" collapsed="false">
      <c r="A1373" s="19" t="n">
        <v>44648</v>
      </c>
      <c r="B1373" s="20" t="n">
        <v>17222</v>
      </c>
    </row>
    <row r="1374" customFormat="false" ht="15" hidden="false" customHeight="false" outlineLevel="0" collapsed="false">
      <c r="A1374" s="19" t="n">
        <v>44649</v>
      </c>
      <c r="B1374" s="20" t="n">
        <v>17325.3</v>
      </c>
    </row>
    <row r="1375" customFormat="false" ht="15" hidden="false" customHeight="false" outlineLevel="0" collapsed="false">
      <c r="A1375" s="19" t="n">
        <v>44650</v>
      </c>
      <c r="B1375" s="20" t="n">
        <v>17498.25</v>
      </c>
    </row>
    <row r="1376" customFormat="false" ht="15" hidden="false" customHeight="false" outlineLevel="0" collapsed="false">
      <c r="A1376" s="19" t="n">
        <v>44651</v>
      </c>
      <c r="B1376" s="20" t="n">
        <v>17464.75</v>
      </c>
    </row>
    <row r="1377" customFormat="false" ht="15" hidden="false" customHeight="false" outlineLevel="0" collapsed="false">
      <c r="A1377" s="19" t="n">
        <v>44652</v>
      </c>
      <c r="B1377" s="20" t="n">
        <v>17670.45</v>
      </c>
    </row>
    <row r="1378" customFormat="false" ht="15" hidden="false" customHeight="false" outlineLevel="0" collapsed="false">
      <c r="A1378" s="19" t="n">
        <v>44655</v>
      </c>
      <c r="B1378" s="20" t="n">
        <v>18053.4</v>
      </c>
    </row>
    <row r="1379" customFormat="false" ht="15" hidden="false" customHeight="false" outlineLevel="0" collapsed="false">
      <c r="A1379" s="19" t="n">
        <v>44656</v>
      </c>
      <c r="B1379" s="20" t="n">
        <v>17957.4</v>
      </c>
    </row>
    <row r="1380" customFormat="false" ht="15" hidden="false" customHeight="false" outlineLevel="0" collapsed="false">
      <c r="A1380" s="19" t="n">
        <v>44657</v>
      </c>
      <c r="B1380" s="20" t="n">
        <v>17807.65</v>
      </c>
    </row>
    <row r="1381" customFormat="false" ht="15" hidden="false" customHeight="false" outlineLevel="0" collapsed="false">
      <c r="A1381" s="19" t="n">
        <v>44658</v>
      </c>
      <c r="B1381" s="20" t="n">
        <v>17639.55</v>
      </c>
    </row>
    <row r="1382" customFormat="false" ht="15" hidden="false" customHeight="false" outlineLevel="0" collapsed="false">
      <c r="A1382" s="19" t="n">
        <v>44659</v>
      </c>
      <c r="B1382" s="20" t="n">
        <v>17784.35</v>
      </c>
    </row>
    <row r="1383" customFormat="false" ht="15" hidden="false" customHeight="false" outlineLevel="0" collapsed="false">
      <c r="A1383" s="19" t="n">
        <v>44662</v>
      </c>
      <c r="B1383" s="20" t="n">
        <v>17674.95</v>
      </c>
    </row>
    <row r="1384" customFormat="false" ht="15" hidden="false" customHeight="false" outlineLevel="0" collapsed="false">
      <c r="A1384" s="19" t="n">
        <v>44663</v>
      </c>
      <c r="B1384" s="20" t="n">
        <v>17530.3</v>
      </c>
    </row>
    <row r="1385" customFormat="false" ht="15" hidden="false" customHeight="false" outlineLevel="0" collapsed="false">
      <c r="A1385" s="19" t="n">
        <v>44664</v>
      </c>
      <c r="B1385" s="20" t="n">
        <v>17475.65</v>
      </c>
    </row>
    <row r="1386" customFormat="false" ht="15" hidden="false" customHeight="false" outlineLevel="0" collapsed="false">
      <c r="A1386" s="19" t="n">
        <v>44669</v>
      </c>
      <c r="B1386" s="20" t="n">
        <v>17173.65</v>
      </c>
    </row>
    <row r="1387" customFormat="false" ht="15" hidden="false" customHeight="false" outlineLevel="0" collapsed="false">
      <c r="A1387" s="19" t="n">
        <v>44670</v>
      </c>
      <c r="B1387" s="20" t="n">
        <v>16958.65</v>
      </c>
    </row>
    <row r="1388" customFormat="false" ht="15" hidden="false" customHeight="false" outlineLevel="0" collapsed="false">
      <c r="A1388" s="19" t="n">
        <v>44671</v>
      </c>
      <c r="B1388" s="20" t="n">
        <v>17136.55</v>
      </c>
    </row>
    <row r="1389" customFormat="false" ht="15" hidden="false" customHeight="false" outlineLevel="0" collapsed="false">
      <c r="A1389" s="19" t="n">
        <v>44672</v>
      </c>
      <c r="B1389" s="20" t="n">
        <v>17392.6</v>
      </c>
    </row>
    <row r="1390" customFormat="false" ht="15" hidden="false" customHeight="false" outlineLevel="0" collapsed="false">
      <c r="A1390" s="19" t="n">
        <v>44673</v>
      </c>
      <c r="B1390" s="20" t="n">
        <v>17171.95</v>
      </c>
    </row>
    <row r="1391" customFormat="false" ht="15" hidden="false" customHeight="false" outlineLevel="0" collapsed="false">
      <c r="A1391" s="19" t="n">
        <v>44676</v>
      </c>
      <c r="B1391" s="20" t="n">
        <v>16953.95</v>
      </c>
    </row>
    <row r="1392" customFormat="false" ht="15" hidden="false" customHeight="false" outlineLevel="0" collapsed="false">
      <c r="A1392" s="19" t="n">
        <v>44677</v>
      </c>
      <c r="B1392" s="20" t="n">
        <v>17200.8</v>
      </c>
    </row>
    <row r="1393" customFormat="false" ht="15" hidden="false" customHeight="false" outlineLevel="0" collapsed="false">
      <c r="A1393" s="19" t="n">
        <v>44678</v>
      </c>
      <c r="B1393" s="20" t="n">
        <v>17038.4</v>
      </c>
    </row>
    <row r="1394" customFormat="false" ht="15" hidden="false" customHeight="false" outlineLevel="0" collapsed="false">
      <c r="A1394" s="19" t="n">
        <v>44679</v>
      </c>
      <c r="B1394" s="20" t="n">
        <v>17245.05</v>
      </c>
    </row>
    <row r="1395" customFormat="false" ht="15" hidden="false" customHeight="false" outlineLevel="0" collapsed="false">
      <c r="A1395" s="19" t="n">
        <v>44680</v>
      </c>
      <c r="B1395" s="20" t="n">
        <v>17102.55</v>
      </c>
    </row>
    <row r="1396" customFormat="false" ht="15" hidden="false" customHeight="false" outlineLevel="0" collapsed="false">
      <c r="A1396" s="19" t="n">
        <v>44683</v>
      </c>
      <c r="B1396" s="20" t="n">
        <v>17069.1</v>
      </c>
    </row>
    <row r="1397" customFormat="false" ht="15" hidden="false" customHeight="false" outlineLevel="0" collapsed="false">
      <c r="A1397" s="19" t="n">
        <v>44685</v>
      </c>
      <c r="B1397" s="20" t="n">
        <v>16677.6</v>
      </c>
    </row>
    <row r="1398" customFormat="false" ht="15" hidden="false" customHeight="false" outlineLevel="0" collapsed="false">
      <c r="A1398" s="19" t="n">
        <v>44686</v>
      </c>
      <c r="B1398" s="20" t="n">
        <v>16682.65</v>
      </c>
    </row>
    <row r="1399" customFormat="false" ht="15" hidden="false" customHeight="false" outlineLevel="0" collapsed="false">
      <c r="A1399" s="19" t="n">
        <v>44687</v>
      </c>
      <c r="B1399" s="20" t="n">
        <v>16411.25</v>
      </c>
    </row>
    <row r="1400" customFormat="false" ht="15" hidden="false" customHeight="false" outlineLevel="0" collapsed="false">
      <c r="A1400" s="19" t="n">
        <v>44690</v>
      </c>
      <c r="B1400" s="20" t="n">
        <v>16301.85</v>
      </c>
    </row>
    <row r="1401" customFormat="false" ht="15" hidden="false" customHeight="false" outlineLevel="0" collapsed="false">
      <c r="A1401" s="19" t="n">
        <v>44691</v>
      </c>
      <c r="B1401" s="20" t="n">
        <v>16240.05</v>
      </c>
    </row>
    <row r="1402" customFormat="false" ht="15" hidden="false" customHeight="false" outlineLevel="0" collapsed="false">
      <c r="A1402" s="19" t="n">
        <v>44692</v>
      </c>
      <c r="B1402" s="20" t="n">
        <v>16167.1</v>
      </c>
    </row>
    <row r="1403" customFormat="false" ht="15" hidden="false" customHeight="false" outlineLevel="0" collapsed="false">
      <c r="A1403" s="19" t="n">
        <v>44693</v>
      </c>
      <c r="B1403" s="20" t="n">
        <v>15808</v>
      </c>
    </row>
    <row r="1404" customFormat="false" ht="15" hidden="false" customHeight="false" outlineLevel="0" collapsed="false">
      <c r="A1404" s="19" t="n">
        <v>44694</v>
      </c>
      <c r="B1404" s="20" t="n">
        <v>15782.15</v>
      </c>
    </row>
    <row r="1405" customFormat="false" ht="15" hidden="false" customHeight="false" outlineLevel="0" collapsed="false">
      <c r="A1405" s="19" t="n">
        <v>44697</v>
      </c>
      <c r="B1405" s="20" t="n">
        <v>15842.3</v>
      </c>
    </row>
    <row r="1406" customFormat="false" ht="15" hidden="false" customHeight="false" outlineLevel="0" collapsed="false">
      <c r="A1406" s="19" t="n">
        <v>44698</v>
      </c>
      <c r="B1406" s="20" t="n">
        <v>16259.3</v>
      </c>
    </row>
    <row r="1407" customFormat="false" ht="15" hidden="false" customHeight="false" outlineLevel="0" collapsed="false">
      <c r="A1407" s="19" t="n">
        <v>44699</v>
      </c>
      <c r="B1407" s="20" t="n">
        <v>16240.3</v>
      </c>
    </row>
    <row r="1408" customFormat="false" ht="15" hidden="false" customHeight="false" outlineLevel="0" collapsed="false">
      <c r="A1408" s="19" t="n">
        <v>44700</v>
      </c>
      <c r="B1408" s="20" t="n">
        <v>15809.4</v>
      </c>
    </row>
    <row r="1409" customFormat="false" ht="15" hidden="false" customHeight="false" outlineLevel="0" collapsed="false">
      <c r="A1409" s="19" t="n">
        <v>44701</v>
      </c>
      <c r="B1409" s="20" t="n">
        <v>16266.15</v>
      </c>
    </row>
    <row r="1410" customFormat="false" ht="15" hidden="false" customHeight="false" outlineLevel="0" collapsed="false">
      <c r="A1410" s="19" t="n">
        <v>44704</v>
      </c>
      <c r="B1410" s="20" t="n">
        <v>16214.7</v>
      </c>
    </row>
    <row r="1411" customFormat="false" ht="15" hidden="false" customHeight="false" outlineLevel="0" collapsed="false">
      <c r="A1411" s="19" t="n">
        <v>44705</v>
      </c>
      <c r="B1411" s="20" t="n">
        <v>16125.15</v>
      </c>
    </row>
    <row r="1412" customFormat="false" ht="15" hidden="false" customHeight="false" outlineLevel="0" collapsed="false">
      <c r="A1412" s="19" t="n">
        <v>44706</v>
      </c>
      <c r="B1412" s="20" t="n">
        <v>16025.8</v>
      </c>
    </row>
    <row r="1413" customFormat="false" ht="15" hidden="false" customHeight="false" outlineLevel="0" collapsed="false">
      <c r="A1413" s="19" t="n">
        <v>44707</v>
      </c>
      <c r="B1413" s="20" t="n">
        <v>16170.15</v>
      </c>
    </row>
    <row r="1414" customFormat="false" ht="15" hidden="false" customHeight="false" outlineLevel="0" collapsed="false">
      <c r="A1414" s="19" t="n">
        <v>44708</v>
      </c>
      <c r="B1414" s="20" t="n">
        <v>16352.45</v>
      </c>
    </row>
    <row r="1415" customFormat="false" ht="15" hidden="false" customHeight="false" outlineLevel="0" collapsed="false">
      <c r="A1415" s="19" t="n">
        <v>44711</v>
      </c>
      <c r="B1415" s="20" t="n">
        <v>16661.4</v>
      </c>
    </row>
    <row r="1416" customFormat="false" ht="15" hidden="false" customHeight="false" outlineLevel="0" collapsed="false">
      <c r="A1416" s="19" t="n">
        <v>44712</v>
      </c>
      <c r="B1416" s="20" t="n">
        <v>16584.55</v>
      </c>
    </row>
    <row r="1417" customFormat="false" ht="15" hidden="false" customHeight="false" outlineLevel="0" collapsed="false">
      <c r="A1417" s="19" t="n">
        <v>44713</v>
      </c>
      <c r="B1417" s="20" t="n">
        <v>16522.75</v>
      </c>
    </row>
    <row r="1418" customFormat="false" ht="15" hidden="false" customHeight="false" outlineLevel="0" collapsed="false">
      <c r="A1418" s="19" t="n">
        <v>44714</v>
      </c>
      <c r="B1418" s="20" t="n">
        <v>16628</v>
      </c>
    </row>
    <row r="1419" customFormat="false" ht="15" hidden="false" customHeight="false" outlineLevel="0" collapsed="false">
      <c r="A1419" s="19" t="n">
        <v>44715</v>
      </c>
      <c r="B1419" s="20" t="n">
        <v>16584.3</v>
      </c>
    </row>
    <row r="1420" customFormat="false" ht="15" hidden="false" customHeight="false" outlineLevel="0" collapsed="false">
      <c r="A1420" s="19" t="n">
        <v>44718</v>
      </c>
      <c r="B1420" s="20" t="n">
        <v>16569.55</v>
      </c>
    </row>
    <row r="1421" customFormat="false" ht="15" hidden="false" customHeight="false" outlineLevel="0" collapsed="false">
      <c r="A1421" s="19" t="n">
        <v>44719</v>
      </c>
      <c r="B1421" s="20" t="n">
        <v>16416.35</v>
      </c>
    </row>
    <row r="1422" customFormat="false" ht="15" hidden="false" customHeight="false" outlineLevel="0" collapsed="false">
      <c r="A1422" s="19" t="n">
        <v>44720</v>
      </c>
      <c r="B1422" s="20" t="n">
        <v>16356.25</v>
      </c>
    </row>
    <row r="1423" customFormat="false" ht="15" hidden="false" customHeight="false" outlineLevel="0" collapsed="false">
      <c r="A1423" s="19" t="n">
        <v>44721</v>
      </c>
      <c r="B1423" s="20" t="n">
        <v>16478.1</v>
      </c>
    </row>
    <row r="1424" customFormat="false" ht="15" hidden="false" customHeight="false" outlineLevel="0" collapsed="false">
      <c r="A1424" s="19" t="n">
        <v>44722</v>
      </c>
      <c r="B1424" s="20" t="n">
        <v>16201.8</v>
      </c>
    </row>
    <row r="1425" customFormat="false" ht="15" hidden="false" customHeight="false" outlineLevel="0" collapsed="false">
      <c r="A1425" s="19" t="n">
        <v>44725</v>
      </c>
      <c r="B1425" s="20" t="n">
        <v>15774.4</v>
      </c>
    </row>
    <row r="1426" customFormat="false" ht="15" hidden="false" customHeight="false" outlineLevel="0" collapsed="false">
      <c r="A1426" s="19" t="n">
        <v>44726</v>
      </c>
      <c r="B1426" s="20" t="n">
        <v>15732.1</v>
      </c>
    </row>
    <row r="1427" customFormat="false" ht="15" hidden="false" customHeight="false" outlineLevel="0" collapsed="false">
      <c r="A1427" s="19" t="n">
        <v>44727</v>
      </c>
      <c r="B1427" s="20" t="n">
        <v>15692.15</v>
      </c>
    </row>
    <row r="1428" customFormat="false" ht="15" hidden="false" customHeight="false" outlineLevel="0" collapsed="false">
      <c r="A1428" s="19" t="n">
        <v>44728</v>
      </c>
      <c r="B1428" s="20" t="n">
        <v>15360.6</v>
      </c>
    </row>
    <row r="1429" customFormat="false" ht="15" hidden="false" customHeight="false" outlineLevel="0" collapsed="false">
      <c r="A1429" s="19" t="n">
        <v>44729</v>
      </c>
      <c r="B1429" s="20" t="n">
        <v>15293.5</v>
      </c>
    </row>
    <row r="1430" customFormat="false" ht="15" hidden="false" customHeight="false" outlineLevel="0" collapsed="false">
      <c r="A1430" s="19" t="n">
        <v>44732</v>
      </c>
      <c r="B1430" s="20" t="n">
        <v>15350.15</v>
      </c>
    </row>
    <row r="1431" customFormat="false" ht="15" hidden="false" customHeight="false" outlineLevel="0" collapsed="false">
      <c r="A1431" s="19" t="n">
        <v>44733</v>
      </c>
      <c r="B1431" s="20" t="n">
        <v>15638.8</v>
      </c>
    </row>
    <row r="1432" customFormat="false" ht="15" hidden="false" customHeight="false" outlineLevel="0" collapsed="false">
      <c r="A1432" s="19" t="n">
        <v>44734</v>
      </c>
      <c r="B1432" s="20" t="n">
        <v>15413.3</v>
      </c>
    </row>
    <row r="1433" customFormat="false" ht="15" hidden="false" customHeight="false" outlineLevel="0" collapsed="false">
      <c r="A1433" s="19" t="n">
        <v>44735</v>
      </c>
      <c r="B1433" s="20" t="n">
        <v>15556.65</v>
      </c>
    </row>
    <row r="1434" customFormat="false" ht="15" hidden="false" customHeight="false" outlineLevel="0" collapsed="false">
      <c r="A1434" s="19" t="n">
        <v>44736</v>
      </c>
      <c r="B1434" s="20" t="n">
        <v>15699.25</v>
      </c>
    </row>
    <row r="1435" customFormat="false" ht="15" hidden="false" customHeight="false" outlineLevel="0" collapsed="false">
      <c r="A1435" s="19" t="n">
        <v>44739</v>
      </c>
      <c r="B1435" s="20" t="n">
        <v>15832.05</v>
      </c>
    </row>
    <row r="1436" customFormat="false" ht="15" hidden="false" customHeight="false" outlineLevel="0" collapsed="false">
      <c r="A1436" s="19" t="n">
        <v>44740</v>
      </c>
      <c r="B1436" s="20" t="n">
        <v>15850.2</v>
      </c>
    </row>
    <row r="1437" customFormat="false" ht="15" hidden="false" customHeight="false" outlineLevel="0" collapsed="false">
      <c r="A1437" s="19" t="n">
        <v>44741</v>
      </c>
      <c r="B1437" s="20" t="n">
        <v>15799.1</v>
      </c>
    </row>
    <row r="1438" customFormat="false" ht="15" hidden="false" customHeight="false" outlineLevel="0" collapsed="false">
      <c r="A1438" s="19" t="n">
        <v>44742</v>
      </c>
      <c r="B1438" s="20" t="n">
        <v>15780.25</v>
      </c>
    </row>
    <row r="1439" customFormat="false" ht="15" hidden="false" customHeight="false" outlineLevel="0" collapsed="false">
      <c r="A1439" s="19" t="n">
        <v>44743</v>
      </c>
      <c r="B1439" s="20" t="n">
        <v>15752.05</v>
      </c>
    </row>
    <row r="1440" customFormat="false" ht="15" hidden="false" customHeight="false" outlineLevel="0" collapsed="false">
      <c r="A1440" s="19" t="n">
        <v>44746</v>
      </c>
      <c r="B1440" s="20" t="n">
        <v>15835.35</v>
      </c>
    </row>
    <row r="1441" customFormat="false" ht="15" hidden="false" customHeight="false" outlineLevel="0" collapsed="false">
      <c r="A1441" s="19" t="n">
        <v>44747</v>
      </c>
      <c r="B1441" s="20" t="n">
        <v>15810.85</v>
      </c>
    </row>
    <row r="1442" customFormat="false" ht="15" hidden="false" customHeight="false" outlineLevel="0" collapsed="false">
      <c r="A1442" s="19" t="n">
        <v>44748</v>
      </c>
      <c r="B1442" s="20" t="n">
        <v>15989.8</v>
      </c>
    </row>
    <row r="1443" customFormat="false" ht="15" hidden="false" customHeight="false" outlineLevel="0" collapsed="false">
      <c r="A1443" s="19" t="n">
        <v>44749</v>
      </c>
      <c r="B1443" s="20" t="n">
        <v>16132.9</v>
      </c>
    </row>
    <row r="1444" customFormat="false" ht="15" hidden="false" customHeight="false" outlineLevel="0" collapsed="false">
      <c r="A1444" s="19" t="n">
        <v>44750</v>
      </c>
      <c r="B1444" s="20" t="n">
        <v>16220.6</v>
      </c>
    </row>
    <row r="1445" customFormat="false" ht="15" hidden="false" customHeight="false" outlineLevel="0" collapsed="false">
      <c r="A1445" s="19" t="n">
        <v>44753</v>
      </c>
      <c r="B1445" s="20" t="n">
        <v>16216</v>
      </c>
    </row>
    <row r="1446" customFormat="false" ht="15" hidden="false" customHeight="false" outlineLevel="0" collapsed="false">
      <c r="A1446" s="19" t="n">
        <v>44754</v>
      </c>
      <c r="B1446" s="20" t="n">
        <v>16058.3</v>
      </c>
    </row>
    <row r="1447" customFormat="false" ht="15" hidden="false" customHeight="false" outlineLevel="0" collapsed="false">
      <c r="A1447" s="19" t="n">
        <v>44755</v>
      </c>
      <c r="B1447" s="20" t="n">
        <v>15966.65</v>
      </c>
    </row>
    <row r="1448" customFormat="false" ht="15" hidden="false" customHeight="false" outlineLevel="0" collapsed="false">
      <c r="A1448" s="19" t="n">
        <v>44756</v>
      </c>
      <c r="B1448" s="20" t="n">
        <v>15938.65</v>
      </c>
    </row>
    <row r="1449" customFormat="false" ht="15" hidden="false" customHeight="false" outlineLevel="0" collapsed="false">
      <c r="A1449" s="19" t="n">
        <v>44757</v>
      </c>
      <c r="B1449" s="20" t="n">
        <v>16049.2</v>
      </c>
    </row>
    <row r="1450" customFormat="false" ht="15" hidden="false" customHeight="false" outlineLevel="0" collapsed="false">
      <c r="A1450" s="19" t="n">
        <v>44760</v>
      </c>
      <c r="B1450" s="20" t="n">
        <v>16278.5</v>
      </c>
    </row>
    <row r="1451" customFormat="false" ht="15" hidden="false" customHeight="false" outlineLevel="0" collapsed="false">
      <c r="A1451" s="19" t="n">
        <v>44761</v>
      </c>
      <c r="B1451" s="20" t="n">
        <v>16340.55</v>
      </c>
    </row>
    <row r="1452" customFormat="false" ht="15" hidden="false" customHeight="false" outlineLevel="0" collapsed="false">
      <c r="A1452" s="19" t="n">
        <v>44762</v>
      </c>
      <c r="B1452" s="20" t="n">
        <v>16520.85</v>
      </c>
    </row>
    <row r="1453" customFormat="false" ht="15" hidden="false" customHeight="false" outlineLevel="0" collapsed="false">
      <c r="A1453" s="19" t="n">
        <v>44763</v>
      </c>
      <c r="B1453" s="20" t="n">
        <v>16605.25</v>
      </c>
    </row>
    <row r="1454" customFormat="false" ht="15" hidden="false" customHeight="false" outlineLevel="0" collapsed="false">
      <c r="A1454" s="19" t="n">
        <v>44764</v>
      </c>
      <c r="B1454" s="20" t="n">
        <v>16719.45</v>
      </c>
    </row>
    <row r="1455" customFormat="false" ht="15" hidden="false" customHeight="false" outlineLevel="0" collapsed="false">
      <c r="A1455" s="19" t="n">
        <v>44767</v>
      </c>
      <c r="B1455" s="20" t="n">
        <v>16631</v>
      </c>
    </row>
    <row r="1456" customFormat="false" ht="15" hidden="false" customHeight="false" outlineLevel="0" collapsed="false">
      <c r="A1456" s="19" t="n">
        <v>44768</v>
      </c>
      <c r="B1456" s="20" t="n">
        <v>16483.85</v>
      </c>
    </row>
    <row r="1457" customFormat="false" ht="15" hidden="false" customHeight="false" outlineLevel="0" collapsed="false">
      <c r="A1457" s="19" t="n">
        <v>44769</v>
      </c>
      <c r="B1457" s="20" t="n">
        <v>16641.8</v>
      </c>
    </row>
    <row r="1458" customFormat="false" ht="15" hidden="false" customHeight="false" outlineLevel="0" collapsed="false">
      <c r="A1458" s="19" t="n">
        <v>44770</v>
      </c>
      <c r="B1458" s="20" t="n">
        <v>16929.6</v>
      </c>
    </row>
    <row r="1459" customFormat="false" ht="15" hidden="false" customHeight="false" outlineLevel="0" collapsed="false">
      <c r="A1459" s="19" t="n">
        <v>44771</v>
      </c>
      <c r="B1459" s="20" t="n">
        <v>17158.25</v>
      </c>
    </row>
    <row r="1460" customFormat="false" ht="15" hidden="false" customHeight="false" outlineLevel="0" collapsed="false">
      <c r="A1460" s="19" t="n">
        <v>44774</v>
      </c>
      <c r="B1460" s="20" t="n">
        <v>17340.05</v>
      </c>
    </row>
    <row r="1461" customFormat="false" ht="15" hidden="false" customHeight="false" outlineLevel="0" collapsed="false">
      <c r="A1461" s="19" t="n">
        <v>44775</v>
      </c>
      <c r="B1461" s="20" t="n">
        <v>17345.45</v>
      </c>
    </row>
    <row r="1462" customFormat="false" ht="15" hidden="false" customHeight="false" outlineLevel="0" collapsed="false">
      <c r="A1462" s="19" t="n">
        <v>44776</v>
      </c>
      <c r="B1462" s="20" t="n">
        <v>17388.15</v>
      </c>
    </row>
    <row r="1463" customFormat="false" ht="15" hidden="false" customHeight="false" outlineLevel="0" collapsed="false">
      <c r="A1463" s="19" t="n">
        <v>44777</v>
      </c>
      <c r="B1463" s="20" t="n">
        <v>17382</v>
      </c>
    </row>
    <row r="1464" customFormat="false" ht="15" hidden="false" customHeight="false" outlineLevel="0" collapsed="false">
      <c r="A1464" s="19" t="n">
        <v>44778</v>
      </c>
      <c r="B1464" s="20" t="n">
        <v>17397.5</v>
      </c>
    </row>
    <row r="1465" customFormat="false" ht="15" hidden="false" customHeight="false" outlineLevel="0" collapsed="false">
      <c r="A1465" s="19" t="n">
        <v>44781</v>
      </c>
      <c r="B1465" s="20" t="n">
        <v>17525.1</v>
      </c>
    </row>
    <row r="1466" customFormat="false" ht="15" hidden="false" customHeight="false" outlineLevel="0" collapsed="false">
      <c r="A1466" s="19" t="n">
        <v>44783</v>
      </c>
      <c r="B1466" s="20" t="n">
        <v>17534.75</v>
      </c>
    </row>
    <row r="1467" customFormat="false" ht="15" hidden="false" customHeight="false" outlineLevel="0" collapsed="false">
      <c r="A1467" s="19" t="n">
        <v>44784</v>
      </c>
      <c r="B1467" s="20" t="n">
        <v>17659</v>
      </c>
    </row>
    <row r="1468" customFormat="false" ht="15" hidden="false" customHeight="false" outlineLevel="0" collapsed="false">
      <c r="A1468" s="19" t="n">
        <v>44785</v>
      </c>
      <c r="B1468" s="20" t="n">
        <v>17698.15</v>
      </c>
    </row>
    <row r="1469" customFormat="false" ht="15" hidden="false" customHeight="false" outlineLevel="0" collapsed="false">
      <c r="A1469" s="19" t="n">
        <v>44789</v>
      </c>
      <c r="B1469" s="20" t="n">
        <v>17825.25</v>
      </c>
    </row>
    <row r="1470" customFormat="false" ht="15" hidden="false" customHeight="false" outlineLevel="0" collapsed="false">
      <c r="A1470" s="19" t="n">
        <v>44790</v>
      </c>
      <c r="B1470" s="20" t="n">
        <v>17944.25</v>
      </c>
    </row>
    <row r="1471" customFormat="false" ht="15" hidden="false" customHeight="false" outlineLevel="0" collapsed="false">
      <c r="A1471" s="19" t="n">
        <v>44791</v>
      </c>
      <c r="B1471" s="20" t="n">
        <v>17956.5</v>
      </c>
    </row>
    <row r="1472" customFormat="false" ht="15" hidden="false" customHeight="false" outlineLevel="0" collapsed="false">
      <c r="A1472" s="19" t="n">
        <v>44792</v>
      </c>
      <c r="B1472" s="20" t="n">
        <v>17758.45</v>
      </c>
    </row>
    <row r="1473" customFormat="false" ht="15" hidden="false" customHeight="false" outlineLevel="0" collapsed="false">
      <c r="A1473" s="19" t="n">
        <v>44795</v>
      </c>
      <c r="B1473" s="20" t="n">
        <v>17490.7</v>
      </c>
    </row>
    <row r="1474" customFormat="false" ht="15" hidden="false" customHeight="false" outlineLevel="0" collapsed="false">
      <c r="A1474" s="19" t="n">
        <v>44796</v>
      </c>
      <c r="B1474" s="20" t="n">
        <v>17577.5</v>
      </c>
    </row>
    <row r="1475" customFormat="false" ht="15" hidden="false" customHeight="false" outlineLevel="0" collapsed="false">
      <c r="A1475" s="19" t="n">
        <v>44797</v>
      </c>
      <c r="B1475" s="20" t="n">
        <v>17604.95</v>
      </c>
    </row>
    <row r="1476" customFormat="false" ht="15" hidden="false" customHeight="false" outlineLevel="0" collapsed="false">
      <c r="A1476" s="19" t="n">
        <v>44798</v>
      </c>
      <c r="B1476" s="20" t="n">
        <v>17522.45</v>
      </c>
    </row>
    <row r="1477" customFormat="false" ht="15" hidden="false" customHeight="false" outlineLevel="0" collapsed="false">
      <c r="A1477" s="19" t="n">
        <v>44799</v>
      </c>
      <c r="B1477" s="20" t="n">
        <v>17558.9</v>
      </c>
    </row>
    <row r="1478" customFormat="false" ht="15" hidden="false" customHeight="false" outlineLevel="0" collapsed="false">
      <c r="A1478" s="19" t="n">
        <v>44802</v>
      </c>
      <c r="B1478" s="20" t="n">
        <v>17312.9</v>
      </c>
    </row>
    <row r="1479" customFormat="false" ht="15" hidden="false" customHeight="false" outlineLevel="0" collapsed="false">
      <c r="A1479" s="19" t="n">
        <v>44803</v>
      </c>
      <c r="B1479" s="20" t="n">
        <v>17759.3</v>
      </c>
    </row>
    <row r="1480" customFormat="false" ht="15" hidden="false" customHeight="false" outlineLevel="0" collapsed="false">
      <c r="A1480" s="19" t="n">
        <v>44805</v>
      </c>
      <c r="B1480" s="20" t="n">
        <v>17542.8</v>
      </c>
    </row>
    <row r="1481" customFormat="false" ht="15" hidden="false" customHeight="false" outlineLevel="0" collapsed="false">
      <c r="A1481" s="19" t="n">
        <v>44806</v>
      </c>
      <c r="B1481" s="20" t="n">
        <v>17539.45</v>
      </c>
    </row>
    <row r="1482" customFormat="false" ht="15" hidden="false" customHeight="false" outlineLevel="0" collapsed="false">
      <c r="A1482" s="19" t="n">
        <v>44809</v>
      </c>
      <c r="B1482" s="20" t="n">
        <v>17665.8</v>
      </c>
    </row>
    <row r="1483" customFormat="false" ht="15" hidden="false" customHeight="false" outlineLevel="0" collapsed="false">
      <c r="A1483" s="19" t="n">
        <v>44810</v>
      </c>
      <c r="B1483" s="20" t="n">
        <v>17655.6</v>
      </c>
    </row>
    <row r="1484" customFormat="false" ht="15" hidden="false" customHeight="false" outlineLevel="0" collapsed="false">
      <c r="A1484" s="19" t="n">
        <v>44811</v>
      </c>
      <c r="B1484" s="20" t="n">
        <v>17624.4</v>
      </c>
    </row>
    <row r="1485" customFormat="false" ht="15" hidden="false" customHeight="false" outlineLevel="0" collapsed="false">
      <c r="A1485" s="19" t="n">
        <v>44812</v>
      </c>
      <c r="B1485" s="20" t="n">
        <v>17798.75</v>
      </c>
    </row>
    <row r="1486" customFormat="false" ht="15" hidden="false" customHeight="false" outlineLevel="0" collapsed="false">
      <c r="A1486" s="19" t="n">
        <v>44813</v>
      </c>
      <c r="B1486" s="20" t="n">
        <v>17833.35</v>
      </c>
    </row>
    <row r="1487" customFormat="false" ht="15" hidden="false" customHeight="false" outlineLevel="0" collapsed="false">
      <c r="A1487" s="19" t="n">
        <v>44816</v>
      </c>
      <c r="B1487" s="20" t="n">
        <v>17936.35</v>
      </c>
    </row>
    <row r="1488" customFormat="false" ht="15" hidden="false" customHeight="false" outlineLevel="0" collapsed="false">
      <c r="A1488" s="19" t="n">
        <v>44817</v>
      </c>
      <c r="B1488" s="20" t="n">
        <v>18070.05</v>
      </c>
    </row>
    <row r="1489" customFormat="false" ht="15" hidden="false" customHeight="false" outlineLevel="0" collapsed="false">
      <c r="A1489" s="19" t="n">
        <v>44818</v>
      </c>
      <c r="B1489" s="20" t="n">
        <v>18003.75</v>
      </c>
    </row>
    <row r="1490" customFormat="false" ht="15" hidden="false" customHeight="false" outlineLevel="0" collapsed="false">
      <c r="A1490" s="19" t="n">
        <v>44819</v>
      </c>
      <c r="B1490" s="20" t="n">
        <v>17877.4</v>
      </c>
    </row>
    <row r="1491" customFormat="false" ht="15" hidden="false" customHeight="false" outlineLevel="0" collapsed="false">
      <c r="A1491" s="19" t="n">
        <v>44820</v>
      </c>
      <c r="B1491" s="20" t="n">
        <v>17530.85</v>
      </c>
    </row>
    <row r="1492" customFormat="false" ht="15" hidden="false" customHeight="false" outlineLevel="0" collapsed="false">
      <c r="A1492" s="19" t="n">
        <v>44823</v>
      </c>
      <c r="B1492" s="20" t="n">
        <v>17622.25</v>
      </c>
    </row>
    <row r="1493" customFormat="false" ht="15" hidden="false" customHeight="false" outlineLevel="0" collapsed="false">
      <c r="A1493" s="19" t="n">
        <v>44824</v>
      </c>
      <c r="B1493" s="20" t="n">
        <v>17816.25</v>
      </c>
    </row>
    <row r="1494" customFormat="false" ht="15" hidden="false" customHeight="false" outlineLevel="0" collapsed="false">
      <c r="A1494" s="19" t="n">
        <v>44825</v>
      </c>
      <c r="B1494" s="20" t="n">
        <v>17718.35</v>
      </c>
    </row>
    <row r="1495" customFormat="false" ht="15" hidden="false" customHeight="false" outlineLevel="0" collapsed="false">
      <c r="A1495" s="19" t="n">
        <v>44826</v>
      </c>
      <c r="B1495" s="20" t="n">
        <v>17629.8</v>
      </c>
    </row>
    <row r="1496" customFormat="false" ht="15" hidden="false" customHeight="false" outlineLevel="0" collapsed="false">
      <c r="A1496" s="19" t="n">
        <v>44827</v>
      </c>
      <c r="B1496" s="20" t="n">
        <v>17327.35</v>
      </c>
    </row>
    <row r="1497" customFormat="false" ht="15" hidden="false" customHeight="false" outlineLevel="0" collapsed="false">
      <c r="A1497" s="19" t="n">
        <v>44830</v>
      </c>
      <c r="B1497" s="20" t="n">
        <v>17016.3</v>
      </c>
    </row>
    <row r="1498" customFormat="false" ht="15" hidden="false" customHeight="false" outlineLevel="0" collapsed="false">
      <c r="A1498" s="19" t="n">
        <v>44831</v>
      </c>
      <c r="B1498" s="20" t="n">
        <v>17007.4</v>
      </c>
    </row>
    <row r="1499" customFormat="false" ht="15" hidden="false" customHeight="false" outlineLevel="0" collapsed="false">
      <c r="A1499" s="19" t="n">
        <v>44832</v>
      </c>
      <c r="B1499" s="20" t="n">
        <v>16858.6</v>
      </c>
    </row>
    <row r="1500" customFormat="false" ht="15" hidden="false" customHeight="false" outlineLevel="0" collapsed="false">
      <c r="A1500" s="19" t="n">
        <v>44833</v>
      </c>
      <c r="B1500" s="20" t="n">
        <v>16818.1</v>
      </c>
    </row>
    <row r="1501" customFormat="false" ht="15" hidden="false" customHeight="false" outlineLevel="0" collapsed="false">
      <c r="A1501" s="19" t="n">
        <v>44834</v>
      </c>
      <c r="B1501" s="20" t="n">
        <v>17094.35</v>
      </c>
    </row>
    <row r="1502" customFormat="false" ht="15" hidden="false" customHeight="false" outlineLevel="0" collapsed="false">
      <c r="A1502" s="19" t="n">
        <v>44837</v>
      </c>
      <c r="B1502" s="20" t="n">
        <v>16887.35</v>
      </c>
    </row>
    <row r="1503" customFormat="false" ht="15" hidden="false" customHeight="false" outlineLevel="0" collapsed="false">
      <c r="A1503" s="19" t="n">
        <v>44838</v>
      </c>
      <c r="B1503" s="20" t="n">
        <v>17274.3</v>
      </c>
    </row>
    <row r="1504" customFormat="false" ht="15" hidden="false" customHeight="false" outlineLevel="0" collapsed="false">
      <c r="A1504" s="19" t="n">
        <v>44840</v>
      </c>
      <c r="B1504" s="20" t="n">
        <v>17331.8</v>
      </c>
    </row>
    <row r="1505" customFormat="false" ht="15" hidden="false" customHeight="false" outlineLevel="0" collapsed="false">
      <c r="A1505" s="19" t="n">
        <v>44841</v>
      </c>
      <c r="B1505" s="20" t="n">
        <v>17314.65</v>
      </c>
    </row>
    <row r="1506" customFormat="false" ht="15" hidden="false" customHeight="false" outlineLevel="0" collapsed="false">
      <c r="A1506" s="19" t="n">
        <v>44844</v>
      </c>
      <c r="B1506" s="20" t="n">
        <v>17241</v>
      </c>
    </row>
    <row r="1507" customFormat="false" ht="15" hidden="false" customHeight="false" outlineLevel="0" collapsed="false">
      <c r="A1507" s="19" t="n">
        <v>44845</v>
      </c>
      <c r="B1507" s="20" t="n">
        <v>16983.55</v>
      </c>
    </row>
    <row r="1508" customFormat="false" ht="15" hidden="false" customHeight="false" outlineLevel="0" collapsed="false">
      <c r="A1508" s="19" t="n">
        <v>44846</v>
      </c>
      <c r="B1508" s="20" t="n">
        <v>17123.6</v>
      </c>
    </row>
    <row r="1509" customFormat="false" ht="15" hidden="false" customHeight="false" outlineLevel="0" collapsed="false">
      <c r="A1509" s="19" t="n">
        <v>44847</v>
      </c>
      <c r="B1509" s="20" t="n">
        <v>17014.35</v>
      </c>
    </row>
    <row r="1510" customFormat="false" ht="15" hidden="false" customHeight="false" outlineLevel="0" collapsed="false">
      <c r="A1510" s="19" t="n">
        <v>44848</v>
      </c>
      <c r="B1510" s="20" t="n">
        <v>17185.7</v>
      </c>
    </row>
    <row r="1511" customFormat="false" ht="15" hidden="false" customHeight="false" outlineLevel="0" collapsed="false">
      <c r="A1511" s="19" t="n">
        <v>44851</v>
      </c>
      <c r="B1511" s="20" t="n">
        <v>17311.8</v>
      </c>
    </row>
    <row r="1512" customFormat="false" ht="15" hidden="false" customHeight="false" outlineLevel="0" collapsed="false">
      <c r="A1512" s="19" t="n">
        <v>44852</v>
      </c>
      <c r="B1512" s="20" t="n">
        <v>17486.95</v>
      </c>
    </row>
    <row r="1513" customFormat="false" ht="15" hidden="false" customHeight="false" outlineLevel="0" collapsed="false">
      <c r="A1513" s="19" t="n">
        <v>44853</v>
      </c>
      <c r="B1513" s="20" t="n">
        <v>17512.25</v>
      </c>
    </row>
    <row r="1514" customFormat="false" ht="15" hidden="false" customHeight="false" outlineLevel="0" collapsed="false">
      <c r="A1514" s="19" t="n">
        <v>44854</v>
      </c>
      <c r="B1514" s="20" t="n">
        <v>17563.95</v>
      </c>
    </row>
    <row r="1515" customFormat="false" ht="15" hidden="false" customHeight="false" outlineLevel="0" collapsed="false">
      <c r="A1515" s="19" t="n">
        <v>44855</v>
      </c>
      <c r="B1515" s="20" t="n">
        <v>17576.3</v>
      </c>
    </row>
    <row r="1516" customFormat="false" ht="15" hidden="false" customHeight="false" outlineLevel="0" collapsed="false">
      <c r="A1516" s="19" t="n">
        <v>44858</v>
      </c>
      <c r="B1516" s="20" t="n">
        <v>17730.75</v>
      </c>
    </row>
    <row r="1517" customFormat="false" ht="15" hidden="false" customHeight="false" outlineLevel="0" collapsed="false">
      <c r="A1517" s="19" t="n">
        <v>44859</v>
      </c>
      <c r="B1517" s="20" t="n">
        <v>17656.35</v>
      </c>
    </row>
    <row r="1518" customFormat="false" ht="15" hidden="false" customHeight="false" outlineLevel="0" collapsed="false">
      <c r="A1518" s="19" t="n">
        <v>44861</v>
      </c>
      <c r="B1518" s="20" t="n">
        <v>17736.95</v>
      </c>
    </row>
    <row r="1519" customFormat="false" ht="15" hidden="false" customHeight="false" outlineLevel="0" collapsed="false">
      <c r="A1519" s="19" t="n">
        <v>44862</v>
      </c>
      <c r="B1519" s="20" t="n">
        <v>17786.8</v>
      </c>
    </row>
    <row r="1520" customFormat="false" ht="15" hidden="false" customHeight="false" outlineLevel="0" collapsed="false">
      <c r="A1520" s="19" t="n">
        <v>44865</v>
      </c>
      <c r="B1520" s="20" t="n">
        <v>18012.2</v>
      </c>
    </row>
    <row r="1521" customFormat="false" ht="15" hidden="false" customHeight="false" outlineLevel="0" collapsed="false">
      <c r="A1521" s="19" t="n">
        <v>44866</v>
      </c>
      <c r="B1521" s="20" t="n">
        <v>18145.4</v>
      </c>
    </row>
    <row r="1522" customFormat="false" ht="15" hidden="false" customHeight="false" outlineLevel="0" collapsed="false">
      <c r="A1522" s="19" t="n">
        <v>44867</v>
      </c>
      <c r="B1522" s="20" t="n">
        <v>18082.85</v>
      </c>
    </row>
    <row r="1523" customFormat="false" ht="15" hidden="false" customHeight="false" outlineLevel="0" collapsed="false">
      <c r="A1523" s="19" t="n">
        <v>44868</v>
      </c>
      <c r="B1523" s="20" t="n">
        <v>18052.7</v>
      </c>
    </row>
    <row r="1524" customFormat="false" ht="15" hidden="false" customHeight="false" outlineLevel="0" collapsed="false">
      <c r="A1524" s="19" t="n">
        <v>44869</v>
      </c>
      <c r="B1524" s="20" t="n">
        <v>18117.15</v>
      </c>
    </row>
    <row r="1525" customFormat="false" ht="15" hidden="false" customHeight="false" outlineLevel="0" collapsed="false">
      <c r="A1525" s="19" t="n">
        <v>44872</v>
      </c>
      <c r="B1525" s="20" t="n">
        <v>18202.8</v>
      </c>
    </row>
    <row r="1526" customFormat="false" ht="15" hidden="false" customHeight="false" outlineLevel="0" collapsed="false">
      <c r="A1526" s="19" t="n">
        <v>44874</v>
      </c>
      <c r="B1526" s="20" t="n">
        <v>18157</v>
      </c>
    </row>
    <row r="1527" customFormat="false" ht="15" hidden="false" customHeight="false" outlineLevel="0" collapsed="false">
      <c r="A1527" s="19" t="n">
        <v>44875</v>
      </c>
      <c r="B1527" s="20" t="n">
        <v>18028.2</v>
      </c>
    </row>
    <row r="1528" customFormat="false" ht="15" hidden="false" customHeight="false" outlineLevel="0" collapsed="false">
      <c r="A1528" s="19" t="n">
        <v>44876</v>
      </c>
      <c r="B1528" s="20" t="n">
        <v>18349.7</v>
      </c>
    </row>
    <row r="1529" customFormat="false" ht="15" hidden="false" customHeight="false" outlineLevel="0" collapsed="false">
      <c r="A1529" s="19" t="n">
        <v>44879</v>
      </c>
      <c r="B1529" s="20" t="n">
        <v>18329.15</v>
      </c>
    </row>
    <row r="1530" customFormat="false" ht="15" hidden="false" customHeight="false" outlineLevel="0" collapsed="false">
      <c r="A1530" s="19" t="n">
        <v>44880</v>
      </c>
      <c r="B1530" s="20" t="n">
        <v>18403.4</v>
      </c>
    </row>
    <row r="1531" customFormat="false" ht="15" hidden="false" customHeight="false" outlineLevel="0" collapsed="false">
      <c r="A1531" s="19" t="n">
        <v>44881</v>
      </c>
      <c r="B1531" s="20" t="n">
        <v>18409.65</v>
      </c>
    </row>
    <row r="1532" customFormat="false" ht="15" hidden="false" customHeight="false" outlineLevel="0" collapsed="false">
      <c r="A1532" s="19" t="n">
        <v>44882</v>
      </c>
      <c r="B1532" s="20" t="n">
        <v>18343.9</v>
      </c>
    </row>
    <row r="1533" customFormat="false" ht="15" hidden="false" customHeight="false" outlineLevel="0" collapsed="false">
      <c r="A1533" s="19" t="n">
        <v>44883</v>
      </c>
      <c r="B1533" s="20" t="n">
        <v>18307.65</v>
      </c>
    </row>
    <row r="1534" customFormat="false" ht="15" hidden="false" customHeight="false" outlineLevel="0" collapsed="false">
      <c r="A1534" s="19" t="n">
        <v>44886</v>
      </c>
      <c r="B1534" s="20" t="n">
        <v>18159.95</v>
      </c>
    </row>
    <row r="1535" customFormat="false" ht="15" hidden="false" customHeight="false" outlineLevel="0" collapsed="false">
      <c r="A1535" s="19" t="n">
        <v>44887</v>
      </c>
      <c r="B1535" s="20" t="n">
        <v>18244.2</v>
      </c>
    </row>
    <row r="1536" customFormat="false" ht="15" hidden="false" customHeight="false" outlineLevel="0" collapsed="false">
      <c r="A1536" s="19" t="n">
        <v>44888</v>
      </c>
      <c r="B1536" s="20" t="n">
        <v>18267.25</v>
      </c>
    </row>
    <row r="1537" customFormat="false" ht="15" hidden="false" customHeight="false" outlineLevel="0" collapsed="false">
      <c r="A1537" s="19" t="n">
        <v>44889</v>
      </c>
      <c r="B1537" s="20" t="n">
        <v>18484.1</v>
      </c>
    </row>
    <row r="1538" customFormat="false" ht="15" hidden="false" customHeight="false" outlineLevel="0" collapsed="false">
      <c r="A1538" s="19" t="n">
        <v>44890</v>
      </c>
      <c r="B1538" s="20" t="n">
        <v>18512.75</v>
      </c>
    </row>
    <row r="1539" customFormat="false" ht="15" hidden="false" customHeight="false" outlineLevel="0" collapsed="false">
      <c r="A1539" s="19" t="n">
        <v>44893</v>
      </c>
      <c r="B1539" s="20" t="n">
        <v>18562.75</v>
      </c>
    </row>
    <row r="1540" customFormat="false" ht="15" hidden="false" customHeight="false" outlineLevel="0" collapsed="false">
      <c r="A1540" s="19" t="n">
        <v>44894</v>
      </c>
      <c r="B1540" s="20" t="n">
        <v>18618.05</v>
      </c>
    </row>
    <row r="1541" customFormat="false" ht="15" hidden="false" customHeight="false" outlineLevel="0" collapsed="false">
      <c r="A1541" s="19" t="n">
        <v>44895</v>
      </c>
      <c r="B1541" s="20" t="n">
        <v>18758.35</v>
      </c>
    </row>
    <row r="1542" customFormat="false" ht="15" hidden="false" customHeight="false" outlineLevel="0" collapsed="false">
      <c r="A1542" s="19" t="n">
        <v>44896</v>
      </c>
      <c r="B1542" s="20" t="n">
        <v>18812.5</v>
      </c>
    </row>
    <row r="1543" customFormat="false" ht="15" hidden="false" customHeight="false" outlineLevel="0" collapsed="false">
      <c r="A1543" s="19" t="n">
        <v>44897</v>
      </c>
      <c r="B1543" s="20" t="n">
        <v>18696.1</v>
      </c>
    </row>
    <row r="1544" customFormat="false" ht="15" hidden="false" customHeight="false" outlineLevel="0" collapsed="false">
      <c r="A1544" s="19" t="n">
        <v>44900</v>
      </c>
      <c r="B1544" s="20" t="n">
        <v>18701.05</v>
      </c>
    </row>
    <row r="1545" customFormat="false" ht="15" hidden="false" customHeight="false" outlineLevel="0" collapsed="false">
      <c r="A1545" s="19" t="n">
        <v>44901</v>
      </c>
      <c r="B1545" s="20" t="n">
        <v>18642.75</v>
      </c>
    </row>
    <row r="1546" customFormat="false" ht="15" hidden="false" customHeight="false" outlineLevel="0" collapsed="false">
      <c r="A1546" s="19" t="n">
        <v>44902</v>
      </c>
      <c r="B1546" s="20" t="n">
        <v>18560.5</v>
      </c>
    </row>
    <row r="1547" customFormat="false" ht="15" hidden="false" customHeight="false" outlineLevel="0" collapsed="false">
      <c r="A1547" s="19" t="n">
        <v>44903</v>
      </c>
      <c r="B1547" s="20" t="n">
        <v>18609.35</v>
      </c>
    </row>
    <row r="1548" customFormat="false" ht="15" hidden="false" customHeight="false" outlineLevel="0" collapsed="false">
      <c r="A1548" s="19" t="n">
        <v>44904</v>
      </c>
      <c r="B1548" s="20" t="n">
        <v>18496.6</v>
      </c>
    </row>
    <row r="1549" customFormat="false" ht="15" hidden="false" customHeight="false" outlineLevel="0" collapsed="false">
      <c r="A1549" s="19" t="n">
        <v>44907</v>
      </c>
      <c r="B1549" s="20" t="n">
        <v>18497.15</v>
      </c>
    </row>
    <row r="1550" customFormat="false" ht="15" hidden="false" customHeight="false" outlineLevel="0" collapsed="false">
      <c r="A1550" s="19" t="n">
        <v>44908</v>
      </c>
      <c r="B1550" s="20" t="n">
        <v>18608</v>
      </c>
    </row>
    <row r="1551" customFormat="false" ht="15" hidden="false" customHeight="false" outlineLevel="0" collapsed="false">
      <c r="A1551" s="19" t="n">
        <v>44909</v>
      </c>
      <c r="B1551" s="20" t="n">
        <v>18660.3</v>
      </c>
    </row>
    <row r="1552" customFormat="false" ht="15" hidden="false" customHeight="false" outlineLevel="0" collapsed="false">
      <c r="A1552" s="19" t="n">
        <v>44910</v>
      </c>
      <c r="B1552" s="20" t="n">
        <v>18414.9</v>
      </c>
    </row>
    <row r="1553" customFormat="false" ht="15" hidden="false" customHeight="false" outlineLevel="0" collapsed="false">
      <c r="A1553" s="19" t="n">
        <v>44911</v>
      </c>
      <c r="B1553" s="20" t="n">
        <v>18269</v>
      </c>
    </row>
    <row r="1554" customFormat="false" ht="15" hidden="false" customHeight="false" outlineLevel="0" collapsed="false">
      <c r="A1554" s="19" t="n">
        <v>44914</v>
      </c>
      <c r="B1554" s="20" t="n">
        <v>18420.45</v>
      </c>
    </row>
    <row r="1555" customFormat="false" ht="15" hidden="false" customHeight="false" outlineLevel="0" collapsed="false">
      <c r="A1555" s="19" t="n">
        <v>44915</v>
      </c>
      <c r="B1555" s="20" t="n">
        <v>18385.3</v>
      </c>
    </row>
    <row r="1556" customFormat="false" ht="15" hidden="false" customHeight="false" outlineLevel="0" collapsed="false">
      <c r="A1556" s="19" t="n">
        <v>44916</v>
      </c>
      <c r="B1556" s="20" t="n">
        <v>18199.1</v>
      </c>
    </row>
    <row r="1557" customFormat="false" ht="15" hidden="false" customHeight="false" outlineLevel="0" collapsed="false">
      <c r="A1557" s="19" t="n">
        <v>44917</v>
      </c>
      <c r="B1557" s="20" t="n">
        <v>18127.35</v>
      </c>
    </row>
    <row r="1558" customFormat="false" ht="15" hidden="false" customHeight="false" outlineLevel="0" collapsed="false">
      <c r="A1558" s="19" t="n">
        <v>44918</v>
      </c>
      <c r="B1558" s="20" t="n">
        <v>17806.8</v>
      </c>
    </row>
    <row r="1559" customFormat="false" ht="15" hidden="false" customHeight="false" outlineLevel="0" collapsed="false">
      <c r="A1559" s="19" t="n">
        <v>44921</v>
      </c>
      <c r="B1559" s="20" t="n">
        <v>18014.6</v>
      </c>
    </row>
    <row r="1560" customFormat="false" ht="15" hidden="false" customHeight="false" outlineLevel="0" collapsed="false">
      <c r="A1560" s="19" t="n">
        <v>44922</v>
      </c>
      <c r="B1560" s="20" t="n">
        <v>18132.3</v>
      </c>
    </row>
    <row r="1561" customFormat="false" ht="15" hidden="false" customHeight="false" outlineLevel="0" collapsed="false">
      <c r="A1561" s="19" t="n">
        <v>44923</v>
      </c>
      <c r="B1561" s="20" t="n">
        <v>18122.5</v>
      </c>
    </row>
    <row r="1562" customFormat="false" ht="15" hidden="false" customHeight="false" outlineLevel="0" collapsed="false">
      <c r="A1562" s="19" t="n">
        <v>44924</v>
      </c>
      <c r="B1562" s="20" t="n">
        <v>18191</v>
      </c>
    </row>
    <row r="1563" customFormat="false" ht="15" hidden="false" customHeight="false" outlineLevel="0" collapsed="false">
      <c r="A1563" s="19" t="n">
        <v>44925</v>
      </c>
      <c r="B1563" s="20" t="n">
        <v>18105.3</v>
      </c>
    </row>
    <row r="1564" customFormat="false" ht="15" hidden="false" customHeight="false" outlineLevel="0" collapsed="false">
      <c r="A1564" s="19" t="n">
        <v>44928</v>
      </c>
      <c r="B1564" s="20" t="n">
        <v>18197.45</v>
      </c>
    </row>
    <row r="1565" customFormat="false" ht="15" hidden="false" customHeight="false" outlineLevel="0" collapsed="false">
      <c r="A1565" s="19" t="n">
        <v>44929</v>
      </c>
      <c r="B1565" s="20" t="n">
        <v>18232.55</v>
      </c>
    </row>
    <row r="1566" customFormat="false" ht="15" hidden="false" customHeight="false" outlineLevel="0" collapsed="false">
      <c r="A1566" s="19" t="n">
        <v>44930</v>
      </c>
      <c r="B1566" s="20" t="n">
        <v>18042.95</v>
      </c>
    </row>
    <row r="1567" customFormat="false" ht="15" hidden="false" customHeight="false" outlineLevel="0" collapsed="false">
      <c r="A1567" s="19" t="n">
        <v>44931</v>
      </c>
      <c r="B1567" s="20" t="n">
        <v>17992.15</v>
      </c>
    </row>
    <row r="1568" customFormat="false" ht="15" hidden="false" customHeight="false" outlineLevel="0" collapsed="false">
      <c r="A1568" s="19" t="n">
        <v>44932</v>
      </c>
      <c r="B1568" s="20" t="n">
        <v>17859.45</v>
      </c>
    </row>
    <row r="1569" customFormat="false" ht="15" hidden="false" customHeight="false" outlineLevel="0" collapsed="false">
      <c r="A1569" s="19" t="n">
        <v>44935</v>
      </c>
      <c r="B1569" s="20" t="n">
        <v>18101.2</v>
      </c>
    </row>
    <row r="1570" customFormat="false" ht="15" hidden="false" customHeight="false" outlineLevel="0" collapsed="false">
      <c r="A1570" s="19" t="n">
        <v>44936</v>
      </c>
      <c r="B1570" s="20" t="n">
        <v>17914.15</v>
      </c>
    </row>
    <row r="1571" customFormat="false" ht="15" hidden="false" customHeight="false" outlineLevel="0" collapsed="false">
      <c r="A1571" s="19" t="n">
        <v>44937</v>
      </c>
      <c r="B1571" s="20" t="n">
        <v>17895.7</v>
      </c>
    </row>
    <row r="1572" customFormat="false" ht="15" hidden="false" customHeight="false" outlineLevel="0" collapsed="false">
      <c r="A1572" s="19" t="n">
        <v>44938</v>
      </c>
      <c r="B1572" s="20" t="n">
        <v>17858.2</v>
      </c>
    </row>
    <row r="1573" customFormat="false" ht="15" hidden="false" customHeight="false" outlineLevel="0" collapsed="false">
      <c r="A1573" s="19" t="n">
        <v>44939</v>
      </c>
      <c r="B1573" s="20" t="n">
        <v>17956.6</v>
      </c>
    </row>
    <row r="1574" customFormat="false" ht="15" hidden="false" customHeight="false" outlineLevel="0" collapsed="false">
      <c r="A1574" s="19" t="n">
        <v>44942</v>
      </c>
      <c r="B1574" s="20" t="n">
        <v>17894.85</v>
      </c>
    </row>
    <row r="1575" customFormat="false" ht="15" hidden="false" customHeight="false" outlineLevel="0" collapsed="false">
      <c r="A1575" s="19" t="n">
        <v>44943</v>
      </c>
      <c r="B1575" s="20" t="n">
        <v>18053.3</v>
      </c>
    </row>
    <row r="1576" customFormat="false" ht="15" hidden="false" customHeight="false" outlineLevel="0" collapsed="false">
      <c r="A1576" s="19" t="n">
        <v>44944</v>
      </c>
      <c r="B1576" s="20" t="n">
        <v>18165.35</v>
      </c>
    </row>
    <row r="1577" customFormat="false" ht="15" hidden="false" customHeight="false" outlineLevel="0" collapsed="false">
      <c r="A1577" s="19" t="n">
        <v>44945</v>
      </c>
      <c r="B1577" s="20" t="n">
        <v>18107.85</v>
      </c>
    </row>
    <row r="1578" customFormat="false" ht="15" hidden="false" customHeight="false" outlineLevel="0" collapsed="false">
      <c r="A1578" s="19" t="n">
        <v>44946</v>
      </c>
      <c r="B1578" s="20" t="n">
        <v>18027.65</v>
      </c>
    </row>
    <row r="1579" customFormat="false" ht="15" hidden="false" customHeight="false" outlineLevel="0" collapsed="false">
      <c r="A1579" s="19" t="n">
        <v>44949</v>
      </c>
      <c r="B1579" s="20" t="n">
        <v>18118.55</v>
      </c>
    </row>
    <row r="1580" customFormat="false" ht="15" hidden="false" customHeight="false" outlineLevel="0" collapsed="false">
      <c r="A1580" s="19" t="n">
        <v>44950</v>
      </c>
      <c r="B1580" s="20" t="n">
        <v>18118.3</v>
      </c>
    </row>
    <row r="1581" customFormat="false" ht="15" hidden="false" customHeight="false" outlineLevel="0" collapsed="false">
      <c r="A1581" s="19" t="n">
        <v>44951</v>
      </c>
      <c r="B1581" s="20" t="n">
        <v>17891.95</v>
      </c>
    </row>
    <row r="1582" customFormat="false" ht="15" hidden="false" customHeight="false" outlineLevel="0" collapsed="false">
      <c r="A1582" s="19" t="n">
        <v>44953</v>
      </c>
      <c r="B1582" s="20" t="n">
        <v>17604.35</v>
      </c>
    </row>
    <row r="1583" customFormat="false" ht="15" hidden="false" customHeight="false" outlineLevel="0" collapsed="false">
      <c r="A1583" s="19" t="n">
        <v>44956</v>
      </c>
      <c r="B1583" s="20" t="n">
        <v>17648.95</v>
      </c>
    </row>
    <row r="1584" customFormat="false" ht="15" hidden="false" customHeight="false" outlineLevel="0" collapsed="false">
      <c r="A1584" s="19" t="n">
        <v>44957</v>
      </c>
      <c r="B1584" s="20" t="n">
        <v>17662.15</v>
      </c>
    </row>
    <row r="1585" customFormat="false" ht="15" hidden="false" customHeight="false" outlineLevel="0" collapsed="false">
      <c r="A1585" s="19" t="n">
        <v>44958</v>
      </c>
      <c r="B1585" s="20" t="n">
        <v>17616.3</v>
      </c>
    </row>
    <row r="1586" customFormat="false" ht="15" hidden="false" customHeight="false" outlineLevel="0" collapsed="false">
      <c r="A1586" s="19" t="n">
        <v>44959</v>
      </c>
      <c r="B1586" s="20" t="n">
        <v>17610.4</v>
      </c>
    </row>
    <row r="1587" customFormat="false" ht="15" hidden="false" customHeight="false" outlineLevel="0" collapsed="false">
      <c r="A1587" s="19" t="n">
        <v>44960</v>
      </c>
      <c r="B1587" s="20" t="n">
        <v>17854.05</v>
      </c>
    </row>
    <row r="1588" customFormat="false" ht="15" hidden="false" customHeight="false" outlineLevel="0" collapsed="false">
      <c r="A1588" s="19" t="n">
        <v>44963</v>
      </c>
      <c r="B1588" s="20" t="n">
        <v>17764.6</v>
      </c>
    </row>
    <row r="1589" customFormat="false" ht="15" hidden="false" customHeight="false" outlineLevel="0" collapsed="false">
      <c r="A1589" s="19" t="n">
        <v>44964</v>
      </c>
      <c r="B1589" s="20" t="n">
        <v>17721.5</v>
      </c>
    </row>
    <row r="1590" customFormat="false" ht="15" hidden="false" customHeight="false" outlineLevel="0" collapsed="false">
      <c r="A1590" s="19" t="n">
        <v>44965</v>
      </c>
      <c r="B1590" s="20" t="n">
        <v>17871.7</v>
      </c>
    </row>
    <row r="1591" customFormat="false" ht="15" hidden="false" customHeight="false" outlineLevel="0" collapsed="false">
      <c r="A1591" s="19" t="n">
        <v>44966</v>
      </c>
      <c r="B1591" s="20" t="n">
        <v>17893.45</v>
      </c>
    </row>
    <row r="1592" customFormat="false" ht="15" hidden="false" customHeight="false" outlineLevel="0" collapsed="false">
      <c r="A1592" s="19" t="n">
        <v>44967</v>
      </c>
      <c r="B1592" s="20" t="n">
        <v>17856.5</v>
      </c>
    </row>
    <row r="1593" customFormat="false" ht="15" hidden="false" customHeight="false" outlineLevel="0" collapsed="false">
      <c r="A1593" s="19" t="n">
        <v>44970</v>
      </c>
      <c r="B1593" s="20" t="n">
        <v>17770.9</v>
      </c>
    </row>
    <row r="1594" customFormat="false" ht="15" hidden="false" customHeight="false" outlineLevel="0" collapsed="false">
      <c r="A1594" s="19" t="n">
        <v>44971</v>
      </c>
      <c r="B1594" s="20" t="n">
        <v>17929.85</v>
      </c>
    </row>
    <row r="1595" customFormat="false" ht="15" hidden="false" customHeight="false" outlineLevel="0" collapsed="false">
      <c r="A1595" s="19" t="n">
        <v>44972</v>
      </c>
      <c r="B1595" s="20" t="n">
        <v>18015.85</v>
      </c>
    </row>
    <row r="1596" customFormat="false" ht="15" hidden="false" customHeight="false" outlineLevel="0" collapsed="false">
      <c r="A1596" s="19" t="n">
        <v>44973</v>
      </c>
      <c r="B1596" s="20" t="n">
        <v>18035.85</v>
      </c>
    </row>
    <row r="1597" customFormat="false" ht="15" hidden="false" customHeight="false" outlineLevel="0" collapsed="false">
      <c r="A1597" s="19" t="n">
        <v>44974</v>
      </c>
      <c r="B1597" s="20" t="n">
        <v>17944.2</v>
      </c>
    </row>
    <row r="1598" customFormat="false" ht="15" hidden="false" customHeight="false" outlineLevel="0" collapsed="false">
      <c r="A1598" s="19" t="n">
        <v>44977</v>
      </c>
      <c r="B1598" s="20" t="n">
        <v>17844.6</v>
      </c>
    </row>
    <row r="1599" customFormat="false" ht="15" hidden="false" customHeight="false" outlineLevel="0" collapsed="false">
      <c r="A1599" s="19" t="n">
        <v>44978</v>
      </c>
      <c r="B1599" s="20" t="n">
        <v>17826.7</v>
      </c>
    </row>
    <row r="1600" customFormat="false" ht="15" hidden="false" customHeight="false" outlineLevel="0" collapsed="false">
      <c r="A1600" s="19" t="n">
        <v>44979</v>
      </c>
      <c r="B1600" s="20" t="n">
        <v>17554.3</v>
      </c>
    </row>
    <row r="1601" customFormat="false" ht="15" hidden="false" customHeight="false" outlineLevel="0" collapsed="false">
      <c r="A1601" s="19" t="n">
        <v>44980</v>
      </c>
      <c r="B1601" s="20" t="n">
        <v>17511.25</v>
      </c>
    </row>
    <row r="1602" customFormat="false" ht="15" hidden="false" customHeight="false" outlineLevel="0" collapsed="false">
      <c r="A1602" s="19" t="n">
        <v>44981</v>
      </c>
      <c r="B1602" s="20" t="n">
        <v>17465.8</v>
      </c>
    </row>
    <row r="1603" customFormat="false" ht="15" hidden="false" customHeight="false" outlineLevel="0" collapsed="false">
      <c r="A1603" s="19" t="n">
        <v>44984</v>
      </c>
      <c r="B1603" s="20" t="n">
        <v>17392.7</v>
      </c>
    </row>
    <row r="1604" customFormat="false" ht="15" hidden="false" customHeight="false" outlineLevel="0" collapsed="false">
      <c r="A1604" s="19" t="n">
        <v>44985</v>
      </c>
      <c r="B1604" s="20" t="n">
        <v>17303.95</v>
      </c>
    </row>
    <row r="1605" customFormat="false" ht="15" hidden="false" customHeight="false" outlineLevel="0" collapsed="false">
      <c r="A1605" s="19" t="n">
        <v>44986</v>
      </c>
      <c r="B1605" s="20" t="n">
        <v>17450.9</v>
      </c>
    </row>
    <row r="1606" customFormat="false" ht="15" hidden="false" customHeight="false" outlineLevel="0" collapsed="false">
      <c r="A1606" s="19" t="n">
        <v>44987</v>
      </c>
      <c r="B1606" s="20" t="n">
        <v>17321.9</v>
      </c>
    </row>
    <row r="1607" customFormat="false" ht="15" hidden="false" customHeight="false" outlineLevel="0" collapsed="false">
      <c r="A1607" s="19" t="n">
        <v>44988</v>
      </c>
      <c r="B1607" s="20" t="n">
        <v>17594.35</v>
      </c>
    </row>
    <row r="1608" customFormat="false" ht="15" hidden="false" customHeight="false" outlineLevel="0" collapsed="false">
      <c r="A1608" s="19" t="n">
        <v>44991</v>
      </c>
      <c r="B1608" s="20" t="n">
        <v>17711.45</v>
      </c>
    </row>
    <row r="1609" customFormat="false" ht="15" hidden="false" customHeight="false" outlineLevel="0" collapsed="false">
      <c r="A1609" s="19" t="n">
        <v>44993</v>
      </c>
      <c r="B1609" s="20" t="n">
        <v>17754.4</v>
      </c>
    </row>
    <row r="1610" customFormat="false" ht="15" hidden="false" customHeight="false" outlineLevel="0" collapsed="false">
      <c r="A1610" s="19" t="n">
        <v>44994</v>
      </c>
      <c r="B1610" s="20" t="n">
        <v>17589.6</v>
      </c>
    </row>
    <row r="1611" customFormat="false" ht="15" hidden="false" customHeight="false" outlineLevel="0" collapsed="false">
      <c r="A1611" s="19" t="n">
        <v>44995</v>
      </c>
      <c r="B1611" s="20" t="n">
        <v>17412.9</v>
      </c>
    </row>
    <row r="1612" customFormat="false" ht="15" hidden="false" customHeight="false" outlineLevel="0" collapsed="false">
      <c r="A1612" s="19" t="n">
        <v>44998</v>
      </c>
      <c r="B1612" s="20" t="n">
        <v>17154.3</v>
      </c>
    </row>
    <row r="1613" customFormat="false" ht="15" hidden="false" customHeight="false" outlineLevel="0" collapsed="false">
      <c r="A1613" s="19" t="n">
        <v>44999</v>
      </c>
      <c r="B1613" s="20" t="n">
        <v>17043.3</v>
      </c>
    </row>
    <row r="1614" customFormat="false" ht="15" hidden="false" customHeight="false" outlineLevel="0" collapsed="false">
      <c r="A1614" s="19" t="n">
        <v>45000</v>
      </c>
      <c r="B1614" s="20" t="n">
        <v>16972.15</v>
      </c>
    </row>
    <row r="1615" customFormat="false" ht="15" hidden="false" customHeight="false" outlineLevel="0" collapsed="false">
      <c r="A1615" s="19" t="n">
        <v>45001</v>
      </c>
      <c r="B1615" s="20" t="n">
        <v>16985.6</v>
      </c>
    </row>
    <row r="1616" customFormat="false" ht="15" hidden="false" customHeight="false" outlineLevel="0" collapsed="false">
      <c r="A1616" s="19" t="n">
        <v>45002</v>
      </c>
      <c r="B1616" s="20" t="n">
        <v>17100.05</v>
      </c>
    </row>
    <row r="1617" customFormat="false" ht="15" hidden="false" customHeight="false" outlineLevel="0" collapsed="false">
      <c r="A1617" s="19" t="n">
        <v>45005</v>
      </c>
      <c r="B1617" s="20" t="n">
        <v>16988.4</v>
      </c>
    </row>
    <row r="1618" customFormat="false" ht="15" hidden="false" customHeight="false" outlineLevel="0" collapsed="false">
      <c r="A1618" s="19" t="n">
        <v>45006</v>
      </c>
      <c r="B1618" s="20" t="n">
        <v>17107.5</v>
      </c>
    </row>
    <row r="1619" customFormat="false" ht="15" hidden="false" customHeight="false" outlineLevel="0" collapsed="false">
      <c r="A1619" s="19" t="n">
        <v>45007</v>
      </c>
      <c r="B1619" s="20" t="n">
        <v>17151.9</v>
      </c>
    </row>
    <row r="1620" customFormat="false" ht="15" hidden="false" customHeight="false" outlineLevel="0" collapsed="false">
      <c r="A1620" s="19" t="n">
        <v>45008</v>
      </c>
      <c r="B1620" s="20" t="n">
        <v>17076.9</v>
      </c>
    </row>
    <row r="1621" customFormat="false" ht="15" hidden="false" customHeight="false" outlineLevel="0" collapsed="false">
      <c r="A1621" s="19" t="n">
        <v>45009</v>
      </c>
      <c r="B1621" s="20" t="n">
        <v>16945.05</v>
      </c>
    </row>
    <row r="1622" customFormat="false" ht="15" hidden="false" customHeight="false" outlineLevel="0" collapsed="false">
      <c r="A1622" s="19" t="n">
        <v>45012</v>
      </c>
      <c r="B1622" s="20" t="n">
        <v>16985.7</v>
      </c>
    </row>
    <row r="1623" customFormat="false" ht="15" hidden="false" customHeight="false" outlineLevel="0" collapsed="false">
      <c r="A1623" s="19" t="n">
        <v>45013</v>
      </c>
      <c r="B1623" s="20" t="n">
        <v>16951.7</v>
      </c>
    </row>
    <row r="1624" customFormat="false" ht="15" hidden="false" customHeight="false" outlineLevel="0" collapsed="false">
      <c r="A1624" s="19" t="n">
        <v>45014</v>
      </c>
      <c r="B1624" s="20" t="n">
        <v>17080.7</v>
      </c>
    </row>
    <row r="1625" customFormat="false" ht="15" hidden="false" customHeight="false" outlineLevel="0" collapsed="false">
      <c r="A1625" s="19" t="n">
        <v>45016</v>
      </c>
      <c r="B1625" s="20" t="n">
        <v>17359.75</v>
      </c>
    </row>
    <row r="1626" customFormat="false" ht="15" hidden="false" customHeight="false" outlineLevel="0" collapsed="false">
      <c r="A1626" s="19" t="n">
        <v>45019</v>
      </c>
      <c r="B1626" s="20" t="n">
        <v>17398.05</v>
      </c>
    </row>
    <row r="1627" customFormat="false" ht="15" hidden="false" customHeight="false" outlineLevel="0" collapsed="false">
      <c r="A1627" s="19" t="n">
        <v>45021</v>
      </c>
      <c r="B1627" s="20" t="n">
        <v>17557.05</v>
      </c>
    </row>
    <row r="1628" customFormat="false" ht="15" hidden="false" customHeight="false" outlineLevel="0" collapsed="false">
      <c r="A1628" s="19" t="n">
        <v>45022</v>
      </c>
      <c r="B1628" s="20" t="n">
        <v>17599.15</v>
      </c>
    </row>
    <row r="1629" customFormat="false" ht="15" hidden="false" customHeight="false" outlineLevel="0" collapsed="false">
      <c r="A1629" s="19" t="n">
        <v>45026</v>
      </c>
      <c r="B1629" s="20" t="n">
        <v>17624.05</v>
      </c>
    </row>
    <row r="1630" customFormat="false" ht="15" hidden="false" customHeight="false" outlineLevel="0" collapsed="false">
      <c r="A1630" s="19" t="n">
        <v>45027</v>
      </c>
      <c r="B1630" s="20" t="n">
        <v>17722.3</v>
      </c>
    </row>
    <row r="1631" customFormat="false" ht="15" hidden="false" customHeight="false" outlineLevel="0" collapsed="false">
      <c r="A1631" s="19" t="n">
        <v>45028</v>
      </c>
      <c r="B1631" s="20" t="n">
        <v>17812.4</v>
      </c>
    </row>
    <row r="1632" customFormat="false" ht="15" hidden="false" customHeight="false" outlineLevel="0" collapsed="false">
      <c r="A1632" s="19" t="n">
        <v>45029</v>
      </c>
      <c r="B1632" s="20" t="n">
        <v>17828</v>
      </c>
    </row>
    <row r="1633" customFormat="false" ht="15" hidden="false" customHeight="false" outlineLevel="0" collapsed="false">
      <c r="A1633" s="19" t="n">
        <v>45033</v>
      </c>
      <c r="B1633" s="20" t="n">
        <v>17706.85</v>
      </c>
    </row>
    <row r="1634" customFormat="false" ht="15" hidden="false" customHeight="false" outlineLevel="0" collapsed="false">
      <c r="A1634" s="19" t="n">
        <v>45034</v>
      </c>
      <c r="B1634" s="20" t="n">
        <v>17660.15</v>
      </c>
    </row>
    <row r="1635" customFormat="false" ht="15" hidden="false" customHeight="false" outlineLevel="0" collapsed="false">
      <c r="A1635" s="19" t="n">
        <v>45035</v>
      </c>
      <c r="B1635" s="20" t="n">
        <v>17618.75</v>
      </c>
    </row>
    <row r="1636" customFormat="false" ht="15" hidden="false" customHeight="false" outlineLevel="0" collapsed="false">
      <c r="A1636" s="19" t="n">
        <v>45036</v>
      </c>
      <c r="B1636" s="20" t="n">
        <v>17624.45</v>
      </c>
    </row>
    <row r="1637" customFormat="false" ht="15" hidden="false" customHeight="false" outlineLevel="0" collapsed="false">
      <c r="A1637" s="19" t="n">
        <v>45037</v>
      </c>
      <c r="B1637" s="20" t="n">
        <v>17624.05</v>
      </c>
    </row>
    <row r="1638" customFormat="false" ht="15" hidden="false" customHeight="false" outlineLevel="0" collapsed="false">
      <c r="A1638" s="19" t="n">
        <v>45040</v>
      </c>
      <c r="B1638" s="20" t="n">
        <v>17743.4</v>
      </c>
    </row>
    <row r="1639" customFormat="false" ht="15" hidden="false" customHeight="false" outlineLevel="0" collapsed="false">
      <c r="A1639" s="19" t="n">
        <v>45041</v>
      </c>
      <c r="B1639" s="20" t="n">
        <v>17769.25</v>
      </c>
    </row>
    <row r="1640" customFormat="false" ht="15" hidden="false" customHeight="false" outlineLevel="0" collapsed="false">
      <c r="A1640" s="19" t="n">
        <v>45042</v>
      </c>
      <c r="B1640" s="20" t="n">
        <v>17813.6</v>
      </c>
    </row>
    <row r="1641" customFormat="false" ht="15" hidden="false" customHeight="false" outlineLevel="0" collapsed="false">
      <c r="A1641" s="19" t="n">
        <v>45043</v>
      </c>
      <c r="B1641" s="20" t="n">
        <v>17915.05</v>
      </c>
    </row>
    <row r="1642" customFormat="false" ht="15" hidden="false" customHeight="false" outlineLevel="0" collapsed="false">
      <c r="A1642" s="19" t="n">
        <v>45044</v>
      </c>
      <c r="B1642" s="20" t="n">
        <v>18065</v>
      </c>
    </row>
    <row r="1643" customFormat="false" ht="15" hidden="false" customHeight="false" outlineLevel="0" collapsed="false">
      <c r="A1643" s="19" t="n">
        <v>45048</v>
      </c>
      <c r="B1643" s="20" t="n">
        <v>18147.65</v>
      </c>
    </row>
    <row r="1644" customFormat="false" ht="15" hidden="false" customHeight="false" outlineLevel="0" collapsed="false">
      <c r="A1644" s="19" t="n">
        <v>45049</v>
      </c>
      <c r="B1644" s="20" t="n">
        <v>18089.85</v>
      </c>
    </row>
    <row r="1645" customFormat="false" ht="15" hidden="false" customHeight="false" outlineLevel="0" collapsed="false">
      <c r="A1645" s="19" t="n">
        <v>45050</v>
      </c>
      <c r="B1645" s="20" t="n">
        <v>18255.8</v>
      </c>
    </row>
    <row r="1646" customFormat="false" ht="15" hidden="false" customHeight="false" outlineLevel="0" collapsed="false">
      <c r="A1646" s="19" t="n">
        <v>45051</v>
      </c>
      <c r="B1646" s="20" t="n">
        <v>18069</v>
      </c>
    </row>
    <row r="1647" customFormat="false" ht="15" hidden="false" customHeight="false" outlineLevel="0" collapsed="false">
      <c r="A1647" s="19" t="n">
        <v>45054</v>
      </c>
      <c r="B1647" s="20" t="n">
        <v>18264.4</v>
      </c>
    </row>
    <row r="1648" customFormat="false" ht="15" hidden="false" customHeight="false" outlineLevel="0" collapsed="false">
      <c r="A1648" s="19" t="n">
        <v>45055</v>
      </c>
      <c r="B1648" s="20" t="n">
        <v>18265.95</v>
      </c>
    </row>
    <row r="1649" customFormat="false" ht="15" hidden="false" customHeight="false" outlineLevel="0" collapsed="false">
      <c r="A1649" s="19" t="n">
        <v>45056</v>
      </c>
      <c r="B1649" s="20" t="n">
        <v>18315.1</v>
      </c>
    </row>
    <row r="1650" customFormat="false" ht="15" hidden="false" customHeight="false" outlineLevel="0" collapsed="false">
      <c r="A1650" s="19" t="n">
        <v>45057</v>
      </c>
      <c r="B1650" s="20" t="n">
        <v>18297</v>
      </c>
    </row>
    <row r="1651" customFormat="false" ht="15" hidden="false" customHeight="false" outlineLevel="0" collapsed="false">
      <c r="A1651" s="19" t="n">
        <v>45058</v>
      </c>
      <c r="B1651" s="20" t="n">
        <v>18314.8</v>
      </c>
    </row>
    <row r="1652" customFormat="false" ht="15" hidden="false" customHeight="false" outlineLevel="0" collapsed="false">
      <c r="A1652" s="19" t="n">
        <v>45061</v>
      </c>
      <c r="B1652" s="20" t="n">
        <v>18398.85</v>
      </c>
    </row>
    <row r="1653" customFormat="false" ht="15" hidden="false" customHeight="false" outlineLevel="0" collapsed="false">
      <c r="A1653" s="19" t="n">
        <v>45062</v>
      </c>
      <c r="B1653" s="20" t="n">
        <v>18286.5</v>
      </c>
    </row>
    <row r="1654" customFormat="false" ht="15" hidden="false" customHeight="false" outlineLevel="0" collapsed="false">
      <c r="A1654" s="19" t="n">
        <v>45063</v>
      </c>
      <c r="B1654" s="20" t="n">
        <v>18181.75</v>
      </c>
    </row>
    <row r="1655" customFormat="false" ht="15" hidden="false" customHeight="false" outlineLevel="0" collapsed="false">
      <c r="A1655" s="19" t="n">
        <v>45064</v>
      </c>
      <c r="B1655" s="20" t="n">
        <v>18129.95</v>
      </c>
    </row>
    <row r="1656" customFormat="false" ht="15" hidden="false" customHeight="false" outlineLevel="0" collapsed="false">
      <c r="A1656" s="19" t="n">
        <v>45065</v>
      </c>
      <c r="B1656" s="20" t="n">
        <v>18203.4</v>
      </c>
    </row>
    <row r="1657" customFormat="false" ht="15" hidden="false" customHeight="false" outlineLevel="0" collapsed="false">
      <c r="A1657" s="19" t="n">
        <v>45068</v>
      </c>
      <c r="B1657" s="20" t="n">
        <v>18314.4</v>
      </c>
    </row>
    <row r="1658" customFormat="false" ht="15" hidden="false" customHeight="false" outlineLevel="0" collapsed="false">
      <c r="A1658" s="19" t="n">
        <v>45069</v>
      </c>
      <c r="B1658" s="20" t="n">
        <v>18348</v>
      </c>
    </row>
    <row r="1659" customFormat="false" ht="15" hidden="false" customHeight="false" outlineLevel="0" collapsed="false">
      <c r="A1659" s="19" t="n">
        <v>45070</v>
      </c>
      <c r="B1659" s="20" t="n">
        <v>18285.4</v>
      </c>
    </row>
    <row r="1660" customFormat="false" ht="15" hidden="false" customHeight="false" outlineLevel="0" collapsed="false">
      <c r="A1660" s="19" t="n">
        <v>45071</v>
      </c>
      <c r="B1660" s="20" t="n">
        <v>18321.15</v>
      </c>
    </row>
    <row r="1661" customFormat="false" ht="15" hidden="false" customHeight="false" outlineLevel="0" collapsed="false">
      <c r="A1661" s="19" t="n">
        <v>45072</v>
      </c>
      <c r="B1661" s="20" t="n">
        <v>18499.35</v>
      </c>
    </row>
    <row r="1662" customFormat="false" ht="15" hidden="false" customHeight="false" outlineLevel="0" collapsed="false">
      <c r="A1662" s="19" t="n">
        <v>45075</v>
      </c>
      <c r="B1662" s="20" t="n">
        <v>18598.65</v>
      </c>
    </row>
    <row r="1663" customFormat="false" ht="15" hidden="false" customHeight="false" outlineLevel="0" collapsed="false">
      <c r="A1663" s="19" t="n">
        <v>45076</v>
      </c>
      <c r="B1663" s="20" t="n">
        <v>18633.85</v>
      </c>
    </row>
    <row r="1664" customFormat="false" ht="15" hidden="false" customHeight="false" outlineLevel="0" collapsed="false">
      <c r="A1664" s="19" t="n">
        <v>45077</v>
      </c>
      <c r="B1664" s="20" t="n">
        <v>18534.4</v>
      </c>
    </row>
    <row r="1665" customFormat="false" ht="15" hidden="false" customHeight="false" outlineLevel="0" collapsed="false">
      <c r="A1665" s="19" t="n">
        <v>45078</v>
      </c>
      <c r="B1665" s="20" t="n">
        <v>18487.75</v>
      </c>
    </row>
    <row r="1666" customFormat="false" ht="15" hidden="false" customHeight="false" outlineLevel="0" collapsed="false">
      <c r="A1666" s="19" t="n">
        <v>45079</v>
      </c>
      <c r="B1666" s="20" t="n">
        <v>18534.1</v>
      </c>
    </row>
    <row r="1667" customFormat="false" ht="15" hidden="false" customHeight="false" outlineLevel="0" collapsed="false">
      <c r="A1667" s="19" t="n">
        <v>45082</v>
      </c>
      <c r="B1667" s="20" t="n">
        <v>18593.85</v>
      </c>
    </row>
    <row r="1668" customFormat="false" ht="15" hidden="false" customHeight="false" outlineLevel="0" collapsed="false">
      <c r="A1668" s="19" t="n">
        <v>45083</v>
      </c>
      <c r="B1668" s="20" t="n">
        <v>18599</v>
      </c>
    </row>
    <row r="1669" customFormat="false" ht="15" hidden="false" customHeight="false" outlineLevel="0" collapsed="false">
      <c r="A1669" s="19" t="n">
        <v>45084</v>
      </c>
      <c r="B1669" s="20" t="n">
        <v>18726.4</v>
      </c>
    </row>
    <row r="1670" customFormat="false" ht="15" hidden="false" customHeight="false" outlineLevel="0" collapsed="false">
      <c r="A1670" s="19" t="n">
        <v>45085</v>
      </c>
      <c r="B1670" s="20" t="n">
        <v>18634.55</v>
      </c>
    </row>
    <row r="1671" customFormat="false" ht="15" hidden="false" customHeight="false" outlineLevel="0" collapsed="false">
      <c r="A1671" s="19" t="n">
        <v>45086</v>
      </c>
      <c r="B1671" s="20" t="n">
        <v>18563.4</v>
      </c>
    </row>
    <row r="1672" customFormat="false" ht="15" hidden="false" customHeight="false" outlineLevel="0" collapsed="false">
      <c r="A1672" s="19" t="n">
        <v>45089</v>
      </c>
      <c r="B1672" s="20" t="n">
        <v>18601.5</v>
      </c>
    </row>
    <row r="1673" customFormat="false" ht="15" hidden="false" customHeight="false" outlineLevel="0" collapsed="false">
      <c r="A1673" s="19" t="n">
        <v>45090</v>
      </c>
      <c r="B1673" s="20" t="n">
        <v>18716.15</v>
      </c>
    </row>
    <row r="1674" customFormat="false" ht="15" hidden="false" customHeight="false" outlineLevel="0" collapsed="false">
      <c r="A1674" s="19" t="n">
        <v>45091</v>
      </c>
      <c r="B1674" s="20" t="n">
        <v>18755.9</v>
      </c>
    </row>
    <row r="1675" customFormat="false" ht="15" hidden="false" customHeight="false" outlineLevel="0" collapsed="false">
      <c r="A1675" s="19" t="n">
        <v>45092</v>
      </c>
      <c r="B1675" s="20" t="n">
        <v>18688.1</v>
      </c>
    </row>
    <row r="1676" customFormat="false" ht="15" hidden="false" customHeight="false" outlineLevel="0" collapsed="false">
      <c r="A1676" s="19" t="n">
        <v>45093</v>
      </c>
      <c r="B1676" s="20" t="n">
        <v>18826</v>
      </c>
    </row>
    <row r="1677" customFormat="false" ht="15" hidden="false" customHeight="false" outlineLevel="0" collapsed="false">
      <c r="A1677" s="19" t="n">
        <v>45096</v>
      </c>
      <c r="B1677" s="20" t="n">
        <v>18755.45</v>
      </c>
    </row>
    <row r="1678" customFormat="false" ht="15" hidden="false" customHeight="false" outlineLevel="0" collapsed="false">
      <c r="A1678" s="19" t="n">
        <v>45097</v>
      </c>
      <c r="B1678" s="20" t="n">
        <v>18816.7</v>
      </c>
    </row>
    <row r="1679" customFormat="false" ht="15" hidden="false" customHeight="false" outlineLevel="0" collapsed="false">
      <c r="A1679" s="19" t="n">
        <v>45098</v>
      </c>
      <c r="B1679" s="20" t="n">
        <v>18856.85</v>
      </c>
    </row>
    <row r="1680" customFormat="false" ht="15" hidden="false" customHeight="false" outlineLevel="0" collapsed="false">
      <c r="A1680" s="19" t="n">
        <v>45099</v>
      </c>
      <c r="B1680" s="20" t="n">
        <v>18771.25</v>
      </c>
    </row>
    <row r="1681" customFormat="false" ht="15" hidden="false" customHeight="false" outlineLevel="0" collapsed="false">
      <c r="A1681" s="19" t="n">
        <v>45100</v>
      </c>
      <c r="B1681" s="20" t="n">
        <v>18665.5</v>
      </c>
    </row>
    <row r="1682" customFormat="false" ht="15" hidden="false" customHeight="false" outlineLevel="0" collapsed="false">
      <c r="A1682" s="19" t="n">
        <v>45103</v>
      </c>
      <c r="B1682" s="20" t="n">
        <v>18691.2</v>
      </c>
    </row>
    <row r="1683" customFormat="false" ht="15" hidden="false" customHeight="false" outlineLevel="0" collapsed="false">
      <c r="A1683" s="19" t="n">
        <v>45104</v>
      </c>
      <c r="B1683" s="20" t="n">
        <v>18817.4</v>
      </c>
    </row>
    <row r="1684" customFormat="false" ht="15" hidden="false" customHeight="false" outlineLevel="0" collapsed="false">
      <c r="A1684" s="19" t="n">
        <v>45105</v>
      </c>
      <c r="B1684" s="20" t="n">
        <v>18972.1</v>
      </c>
    </row>
    <row r="1685" customFormat="false" ht="15" hidden="false" customHeight="false" outlineLevel="0" collapsed="false">
      <c r="A1685" s="19" t="n">
        <v>45107</v>
      </c>
      <c r="B1685" s="20" t="n">
        <v>19189.05</v>
      </c>
    </row>
    <row r="1686" customFormat="false" ht="15" hidden="false" customHeight="false" outlineLevel="0" collapsed="false">
      <c r="A1686" s="19" t="n">
        <v>45110</v>
      </c>
      <c r="B1686" s="20" t="n">
        <v>19322.55</v>
      </c>
    </row>
    <row r="1687" customFormat="false" ht="15" hidden="false" customHeight="false" outlineLevel="0" collapsed="false">
      <c r="A1687" s="19" t="n">
        <v>45111</v>
      </c>
      <c r="B1687" s="20" t="n">
        <v>19389</v>
      </c>
    </row>
    <row r="1688" customFormat="false" ht="15" hidden="false" customHeight="false" outlineLevel="0" collapsed="false">
      <c r="A1688" s="19" t="n">
        <v>45112</v>
      </c>
      <c r="B1688" s="20" t="n">
        <v>19398.5</v>
      </c>
    </row>
    <row r="1689" customFormat="false" ht="15" hidden="false" customHeight="false" outlineLevel="0" collapsed="false">
      <c r="A1689" s="19" t="n">
        <v>45113</v>
      </c>
      <c r="B1689" s="20" t="n">
        <v>19497.3</v>
      </c>
    </row>
    <row r="1690" customFormat="false" ht="15" hidden="false" customHeight="false" outlineLevel="0" collapsed="false">
      <c r="A1690" s="19" t="n">
        <v>45114</v>
      </c>
      <c r="B1690" s="20" t="n">
        <v>19331.8</v>
      </c>
    </row>
    <row r="1691" customFormat="false" ht="15" hidden="false" customHeight="false" outlineLevel="0" collapsed="false">
      <c r="A1691" s="19" t="n">
        <v>45117</v>
      </c>
      <c r="B1691" s="20" t="n">
        <v>19355.9</v>
      </c>
    </row>
    <row r="1692" customFormat="false" ht="15" hidden="false" customHeight="false" outlineLevel="0" collapsed="false">
      <c r="A1692" s="19" t="n">
        <v>45118</v>
      </c>
      <c r="B1692" s="20" t="n">
        <v>19439.4</v>
      </c>
    </row>
    <row r="1693" customFormat="false" ht="15" hidden="false" customHeight="false" outlineLevel="0" collapsed="false">
      <c r="A1693" s="19" t="n">
        <v>45119</v>
      </c>
      <c r="B1693" s="20" t="n">
        <v>19384.3</v>
      </c>
    </row>
    <row r="1694" customFormat="false" ht="15" hidden="false" customHeight="false" outlineLevel="0" collapsed="false">
      <c r="A1694" s="19" t="n">
        <v>45120</v>
      </c>
      <c r="B1694" s="20" t="n">
        <v>19413.75</v>
      </c>
    </row>
    <row r="1695" customFormat="false" ht="15" hidden="false" customHeight="false" outlineLevel="0" collapsed="false">
      <c r="A1695" s="19" t="n">
        <v>45121</v>
      </c>
      <c r="B1695" s="20" t="n">
        <v>19564.5</v>
      </c>
    </row>
    <row r="1696" customFormat="false" ht="15" hidden="false" customHeight="false" outlineLevel="0" collapsed="false">
      <c r="A1696" s="19" t="n">
        <v>45124</v>
      </c>
      <c r="B1696" s="20" t="n">
        <v>19711.45</v>
      </c>
    </row>
    <row r="1697" customFormat="false" ht="15" hidden="false" customHeight="false" outlineLevel="0" collapsed="false">
      <c r="A1697" s="19" t="n">
        <v>45125</v>
      </c>
      <c r="B1697" s="20" t="n">
        <v>19749.25</v>
      </c>
    </row>
    <row r="1698" customFormat="false" ht="15" hidden="false" customHeight="false" outlineLevel="0" collapsed="false">
      <c r="A1698" s="19" t="n">
        <v>45126</v>
      </c>
      <c r="B1698" s="20" t="n">
        <v>19833.15</v>
      </c>
    </row>
    <row r="1699" customFormat="false" ht="15" hidden="false" customHeight="false" outlineLevel="0" collapsed="false">
      <c r="A1699" s="19" t="n">
        <v>45127</v>
      </c>
      <c r="B1699" s="20" t="n">
        <v>19979.15</v>
      </c>
    </row>
    <row r="1700" customFormat="false" ht="15" hidden="false" customHeight="false" outlineLevel="0" collapsed="false">
      <c r="A1700" s="19" t="n">
        <v>45128</v>
      </c>
      <c r="B1700" s="20" t="n">
        <v>19745</v>
      </c>
    </row>
    <row r="1701" customFormat="false" ht="15" hidden="false" customHeight="false" outlineLevel="0" collapsed="false">
      <c r="A1701" s="19" t="n">
        <v>45131</v>
      </c>
      <c r="B1701" s="20" t="n">
        <v>19672.35</v>
      </c>
    </row>
    <row r="1702" customFormat="false" ht="15" hidden="false" customHeight="false" outlineLevel="0" collapsed="false">
      <c r="A1702" s="19" t="n">
        <v>45132</v>
      </c>
      <c r="B1702" s="20" t="n">
        <v>19680.6</v>
      </c>
    </row>
    <row r="1703" customFormat="false" ht="15" hidden="false" customHeight="false" outlineLevel="0" collapsed="false">
      <c r="A1703" s="19" t="n">
        <v>45133</v>
      </c>
      <c r="B1703" s="20" t="n">
        <v>19778.3</v>
      </c>
    </row>
    <row r="1704" customFormat="false" ht="15" hidden="false" customHeight="false" outlineLevel="0" collapsed="false">
      <c r="A1704" s="19" t="n">
        <v>45134</v>
      </c>
      <c r="B1704" s="20" t="n">
        <v>19659.9</v>
      </c>
    </row>
    <row r="1705" customFormat="false" ht="15" hidden="false" customHeight="false" outlineLevel="0" collapsed="false">
      <c r="A1705" s="19" t="n">
        <v>45135</v>
      </c>
      <c r="B1705" s="20" t="n">
        <v>19646.05</v>
      </c>
    </row>
    <row r="1706" customFormat="false" ht="15" hidden="false" customHeight="false" outlineLevel="0" collapsed="false">
      <c r="A1706" s="19" t="n">
        <v>45138</v>
      </c>
      <c r="B1706" s="20" t="n">
        <v>19753.8</v>
      </c>
    </row>
    <row r="1707" customFormat="false" ht="15" hidden="false" customHeight="false" outlineLevel="0" collapsed="false">
      <c r="A1707" s="19" t="n">
        <v>45139</v>
      </c>
      <c r="B1707" s="20" t="n">
        <v>19733.55</v>
      </c>
    </row>
    <row r="1708" customFormat="false" ht="15" hidden="false" customHeight="false" outlineLevel="0" collapsed="false">
      <c r="A1708" s="19" t="n">
        <v>45140</v>
      </c>
      <c r="B1708" s="20" t="n">
        <v>19526.55</v>
      </c>
    </row>
    <row r="1709" customFormat="false" ht="15" hidden="false" customHeight="false" outlineLevel="0" collapsed="false">
      <c r="A1709" s="19" t="n">
        <v>45141</v>
      </c>
      <c r="B1709" s="20" t="n">
        <v>19381.65</v>
      </c>
    </row>
    <row r="1710" customFormat="false" ht="15" hidden="false" customHeight="false" outlineLevel="0" collapsed="false">
      <c r="A1710" s="19" t="n">
        <v>45142</v>
      </c>
      <c r="B1710" s="20" t="n">
        <v>19517</v>
      </c>
    </row>
    <row r="1711" customFormat="false" ht="15" hidden="false" customHeight="false" outlineLevel="0" collapsed="false">
      <c r="A1711" s="19" t="n">
        <v>45145</v>
      </c>
      <c r="B1711" s="20" t="n">
        <v>19597.3</v>
      </c>
    </row>
    <row r="1712" customFormat="false" ht="15" hidden="false" customHeight="false" outlineLevel="0" collapsed="false">
      <c r="A1712" s="19" t="n">
        <v>45146</v>
      </c>
      <c r="B1712" s="20" t="n">
        <v>19570.85</v>
      </c>
    </row>
    <row r="1713" customFormat="false" ht="15" hidden="false" customHeight="false" outlineLevel="0" collapsed="false">
      <c r="A1713" s="19" t="n">
        <v>45147</v>
      </c>
      <c r="B1713" s="20" t="n">
        <v>19632.55</v>
      </c>
    </row>
    <row r="1714" customFormat="false" ht="15" hidden="false" customHeight="false" outlineLevel="0" collapsed="false">
      <c r="A1714" s="19" t="n">
        <v>45148</v>
      </c>
      <c r="B1714" s="20" t="n">
        <v>19543.1</v>
      </c>
    </row>
    <row r="1715" customFormat="false" ht="15" hidden="false" customHeight="false" outlineLevel="0" collapsed="false">
      <c r="A1715" s="19" t="n">
        <v>45149</v>
      </c>
      <c r="B1715" s="20" t="n">
        <v>19428.3</v>
      </c>
    </row>
    <row r="1716" customFormat="false" ht="15" hidden="false" customHeight="false" outlineLevel="0" collapsed="false">
      <c r="A1716" s="19" t="n">
        <v>45152</v>
      </c>
      <c r="B1716" s="20" t="n">
        <v>19434.55</v>
      </c>
    </row>
    <row r="1717" customFormat="false" ht="15" hidden="false" customHeight="false" outlineLevel="0" collapsed="false">
      <c r="A1717" s="19" t="n">
        <v>45154</v>
      </c>
      <c r="B1717" s="20" t="n">
        <v>19465</v>
      </c>
    </row>
    <row r="1718" customFormat="false" ht="15" hidden="false" customHeight="false" outlineLevel="0" collapsed="false">
      <c r="A1718" s="19" t="n">
        <v>45155</v>
      </c>
      <c r="B1718" s="20" t="n">
        <v>19365.25</v>
      </c>
    </row>
    <row r="1719" customFormat="false" ht="15" hidden="false" customHeight="false" outlineLevel="0" collapsed="false">
      <c r="A1719" s="19" t="n">
        <v>45156</v>
      </c>
      <c r="B1719" s="20" t="n">
        <v>19310.15</v>
      </c>
    </row>
    <row r="1720" customFormat="false" ht="15" hidden="false" customHeight="false" outlineLevel="0" collapsed="false">
      <c r="A1720" s="19" t="n">
        <v>45159</v>
      </c>
      <c r="B1720" s="20" t="n">
        <v>19393.6</v>
      </c>
    </row>
    <row r="1721" customFormat="false" ht="15" hidden="false" customHeight="false" outlineLevel="0" collapsed="false">
      <c r="A1721" s="19" t="n">
        <v>45160</v>
      </c>
      <c r="B1721" s="20" t="n">
        <v>19396.45</v>
      </c>
    </row>
    <row r="1722" customFormat="false" ht="15" hidden="false" customHeight="false" outlineLevel="0" collapsed="false">
      <c r="A1722" s="19" t="n">
        <v>45161</v>
      </c>
      <c r="B1722" s="20" t="n">
        <v>19444</v>
      </c>
    </row>
    <row r="1723" customFormat="false" ht="15" hidden="false" customHeight="false" outlineLevel="0" collapsed="false">
      <c r="A1723" s="19" t="n">
        <v>45162</v>
      </c>
      <c r="B1723" s="20" t="n">
        <v>19386.7</v>
      </c>
    </row>
    <row r="1724" customFormat="false" ht="15" hidden="false" customHeight="false" outlineLevel="0" collapsed="false">
      <c r="A1724" s="19" t="n">
        <v>45163</v>
      </c>
      <c r="B1724" s="20" t="n">
        <v>19265.8</v>
      </c>
    </row>
    <row r="1725" customFormat="false" ht="15" hidden="false" customHeight="false" outlineLevel="0" collapsed="false">
      <c r="A1725" s="19" t="n">
        <v>45166</v>
      </c>
      <c r="B1725" s="20" t="n">
        <v>19306.05</v>
      </c>
    </row>
    <row r="1726" customFormat="false" ht="15" hidden="false" customHeight="false" outlineLevel="0" collapsed="false">
      <c r="A1726" s="19" t="n">
        <v>45167</v>
      </c>
      <c r="B1726" s="20" t="n">
        <v>19342.65</v>
      </c>
    </row>
    <row r="1727" customFormat="false" ht="15" hidden="false" customHeight="false" outlineLevel="0" collapsed="false">
      <c r="A1727" s="19" t="n">
        <v>45168</v>
      </c>
      <c r="B1727" s="20" t="n">
        <v>19347.45</v>
      </c>
    </row>
    <row r="1728" customFormat="false" ht="15" hidden="false" customHeight="false" outlineLevel="0" collapsed="false">
      <c r="A1728" s="19" t="n">
        <v>45169</v>
      </c>
      <c r="B1728" s="20" t="n">
        <v>19253.8</v>
      </c>
    </row>
    <row r="1729" customFormat="false" ht="15" hidden="false" customHeight="false" outlineLevel="0" collapsed="false">
      <c r="A1729" s="19" t="n">
        <v>45170</v>
      </c>
      <c r="B1729" s="20" t="n">
        <v>19435.3</v>
      </c>
    </row>
    <row r="1730" customFormat="false" ht="15" hidden="false" customHeight="false" outlineLevel="0" collapsed="false">
      <c r="A1730" s="19" t="n">
        <v>45173</v>
      </c>
      <c r="B1730" s="20" t="n">
        <v>19528.8</v>
      </c>
    </row>
    <row r="1731" customFormat="false" ht="15" hidden="false" customHeight="false" outlineLevel="0" collapsed="false">
      <c r="A1731" s="19" t="n">
        <v>45174</v>
      </c>
      <c r="B1731" s="20" t="n">
        <v>19574.9</v>
      </c>
    </row>
    <row r="1732" customFormat="false" ht="15" hidden="false" customHeight="false" outlineLevel="0" collapsed="false">
      <c r="A1732" s="19" t="n">
        <v>45175</v>
      </c>
      <c r="B1732" s="20" t="n">
        <v>19611.05</v>
      </c>
    </row>
    <row r="1733" customFormat="false" ht="15" hidden="false" customHeight="false" outlineLevel="0" collapsed="false">
      <c r="A1733" s="19" t="n">
        <v>45176</v>
      </c>
      <c r="B1733" s="20" t="n">
        <v>19727.05</v>
      </c>
    </row>
    <row r="1734" customFormat="false" ht="15" hidden="false" customHeight="false" outlineLevel="0" collapsed="false">
      <c r="A1734" s="19" t="n">
        <v>45177</v>
      </c>
      <c r="B1734" s="20" t="n">
        <v>19819.95</v>
      </c>
    </row>
    <row r="1735" customFormat="false" ht="15" hidden="false" customHeight="false" outlineLevel="0" collapsed="false">
      <c r="A1735" s="19" t="n">
        <v>45180</v>
      </c>
      <c r="B1735" s="20" t="n">
        <v>19996.35</v>
      </c>
    </row>
    <row r="1736" customFormat="false" ht="15" hidden="false" customHeight="false" outlineLevel="0" collapsed="false">
      <c r="A1736" s="19" t="n">
        <v>45181</v>
      </c>
      <c r="B1736" s="20" t="n">
        <v>19993.2</v>
      </c>
    </row>
    <row r="1737" customFormat="false" ht="15" hidden="false" customHeight="false" outlineLevel="0" collapsed="false">
      <c r="A1737" s="19" t="n">
        <v>45182</v>
      </c>
      <c r="B1737" s="20" t="n">
        <v>20070</v>
      </c>
    </row>
    <row r="1738" customFormat="false" ht="15" hidden="false" customHeight="false" outlineLevel="0" collapsed="false">
      <c r="A1738" s="19" t="n">
        <v>45183</v>
      </c>
      <c r="B1738" s="20" t="n">
        <v>20103.1</v>
      </c>
    </row>
    <row r="1739" customFormat="false" ht="15" hidden="false" customHeight="false" outlineLevel="0" collapsed="false">
      <c r="A1739" s="19" t="n">
        <v>45184</v>
      </c>
      <c r="B1739" s="20" t="n">
        <v>20192.35</v>
      </c>
    </row>
    <row r="1740" customFormat="false" ht="15" hidden="false" customHeight="false" outlineLevel="0" collapsed="false">
      <c r="A1740" s="19" t="n">
        <v>45187</v>
      </c>
      <c r="B1740" s="20" t="n">
        <v>20133.3</v>
      </c>
    </row>
    <row r="1741" customFormat="false" ht="15" hidden="false" customHeight="false" outlineLevel="0" collapsed="false">
      <c r="A1741" s="19" t="n">
        <v>45189</v>
      </c>
      <c r="B1741" s="20" t="n">
        <v>19901.4</v>
      </c>
    </row>
    <row r="1742" customFormat="false" ht="15" hidden="false" customHeight="false" outlineLevel="0" collapsed="false">
      <c r="A1742" s="19" t="n">
        <v>45190</v>
      </c>
      <c r="B1742" s="20" t="n">
        <v>19742.35</v>
      </c>
    </row>
    <row r="1743" customFormat="false" ht="15" hidden="false" customHeight="false" outlineLevel="0" collapsed="false">
      <c r="A1743" s="19" t="n">
        <v>45191</v>
      </c>
      <c r="B1743" s="20" t="n">
        <v>19674.25</v>
      </c>
    </row>
    <row r="1744" customFormat="false" ht="15" hidden="false" customHeight="false" outlineLevel="0" collapsed="false">
      <c r="A1744" s="19" t="n">
        <v>45194</v>
      </c>
      <c r="B1744" s="20" t="n">
        <v>19674.55</v>
      </c>
    </row>
    <row r="1745" customFormat="false" ht="15" hidden="false" customHeight="false" outlineLevel="0" collapsed="false">
      <c r="A1745" s="19" t="n">
        <v>45195</v>
      </c>
      <c r="B1745" s="20" t="n">
        <v>19664.7</v>
      </c>
    </row>
    <row r="1746" customFormat="false" ht="15" hidden="false" customHeight="false" outlineLevel="0" collapsed="false">
      <c r="A1746" s="19" t="n">
        <v>45196</v>
      </c>
      <c r="B1746" s="20" t="n">
        <v>19716.45</v>
      </c>
    </row>
    <row r="1747" customFormat="false" ht="15" hidden="false" customHeight="false" outlineLevel="0" collapsed="false">
      <c r="A1747" s="19" t="n">
        <v>45197</v>
      </c>
      <c r="B1747" s="20" t="n">
        <v>19523.55</v>
      </c>
    </row>
    <row r="1748" customFormat="false" ht="15" hidden="false" customHeight="false" outlineLevel="0" collapsed="false">
      <c r="A1748" s="19" t="n">
        <v>45198</v>
      </c>
      <c r="B1748" s="20" t="n">
        <v>19638.3</v>
      </c>
    </row>
    <row r="1749" customFormat="false" ht="15" hidden="false" customHeight="false" outlineLevel="0" collapsed="false">
      <c r="A1749" s="19" t="n">
        <v>45202</v>
      </c>
      <c r="B1749" s="20" t="n">
        <v>19528.75</v>
      </c>
    </row>
    <row r="1750" customFormat="false" ht="15" hidden="false" customHeight="false" outlineLevel="0" collapsed="false">
      <c r="A1750" s="19" t="n">
        <v>45203</v>
      </c>
      <c r="B1750" s="20" t="n">
        <v>19436.1</v>
      </c>
    </row>
    <row r="1751" customFormat="false" ht="15" hidden="false" customHeight="false" outlineLevel="0" collapsed="false">
      <c r="A1751" s="19" t="n">
        <v>45204</v>
      </c>
      <c r="B1751" s="20" t="n">
        <v>19545.75</v>
      </c>
    </row>
    <row r="1752" customFormat="false" ht="15" hidden="false" customHeight="false" outlineLevel="0" collapsed="false">
      <c r="A1752" s="19" t="n">
        <v>45205</v>
      </c>
      <c r="B1752" s="20" t="n">
        <v>19653.5</v>
      </c>
    </row>
    <row r="1753" customFormat="false" ht="15" hidden="false" customHeight="false" outlineLevel="0" collapsed="false">
      <c r="A1753" s="19" t="n">
        <v>45208</v>
      </c>
      <c r="B1753" s="20" t="n">
        <v>19512.35</v>
      </c>
    </row>
    <row r="1754" customFormat="false" ht="15" hidden="false" customHeight="false" outlineLevel="0" collapsed="false">
      <c r="A1754" s="19" t="n">
        <v>45209</v>
      </c>
      <c r="B1754" s="20" t="n">
        <v>19689.85</v>
      </c>
    </row>
    <row r="1755" customFormat="false" ht="15" hidden="false" customHeight="false" outlineLevel="0" collapsed="false">
      <c r="A1755" s="19" t="n">
        <v>45210</v>
      </c>
      <c r="B1755" s="20" t="n">
        <v>19811.35</v>
      </c>
    </row>
    <row r="1756" customFormat="false" ht="15" hidden="false" customHeight="false" outlineLevel="0" collapsed="false">
      <c r="A1756" s="19" t="n">
        <v>45211</v>
      </c>
      <c r="B1756" s="20" t="n">
        <v>19794</v>
      </c>
    </row>
    <row r="1757" customFormat="false" ht="15" hidden="false" customHeight="false" outlineLevel="0" collapsed="false">
      <c r="A1757" s="19" t="n">
        <v>45212</v>
      </c>
      <c r="B1757" s="20" t="n">
        <v>19751.05</v>
      </c>
    </row>
    <row r="1758" customFormat="false" ht="15" hidden="false" customHeight="false" outlineLevel="0" collapsed="false">
      <c r="A1758" s="19" t="n">
        <v>45215</v>
      </c>
      <c r="B1758" s="20" t="n">
        <v>19731.75</v>
      </c>
    </row>
    <row r="1759" customFormat="false" ht="15" hidden="false" customHeight="false" outlineLevel="0" collapsed="false">
      <c r="A1759" s="19" t="n">
        <v>45216</v>
      </c>
      <c r="B1759" s="20" t="n">
        <v>19811.5</v>
      </c>
    </row>
    <row r="1760" customFormat="false" ht="15" hidden="false" customHeight="false" outlineLevel="0" collapsed="false">
      <c r="A1760" s="19" t="n">
        <v>45217</v>
      </c>
      <c r="B1760" s="20" t="n">
        <v>19671.1</v>
      </c>
    </row>
    <row r="1761" customFormat="false" ht="15" hidden="false" customHeight="false" outlineLevel="0" collapsed="false">
      <c r="A1761" s="19" t="n">
        <v>45218</v>
      </c>
      <c r="B1761" s="20" t="n">
        <v>19624.7</v>
      </c>
    </row>
    <row r="1762" customFormat="false" ht="15" hidden="false" customHeight="false" outlineLevel="0" collapsed="false">
      <c r="A1762" s="19" t="n">
        <v>45219</v>
      </c>
      <c r="B1762" s="20" t="n">
        <v>19542.65</v>
      </c>
    </row>
    <row r="1763" customFormat="false" ht="15" hidden="false" customHeight="false" outlineLevel="0" collapsed="false">
      <c r="A1763" s="19" t="n">
        <v>45222</v>
      </c>
      <c r="B1763" s="20" t="n">
        <v>19281.75</v>
      </c>
    </row>
    <row r="1764" customFormat="false" ht="15" hidden="false" customHeight="false" outlineLevel="0" collapsed="false">
      <c r="A1764" s="19" t="n">
        <v>45224</v>
      </c>
      <c r="B1764" s="20" t="n">
        <v>19122.15</v>
      </c>
    </row>
    <row r="1765" customFormat="false" ht="15" hidden="false" customHeight="false" outlineLevel="0" collapsed="false">
      <c r="A1765" s="19" t="n">
        <v>45225</v>
      </c>
      <c r="B1765" s="20" t="n">
        <v>18857.25</v>
      </c>
    </row>
    <row r="1766" customFormat="false" ht="15" hidden="false" customHeight="false" outlineLevel="0" collapsed="false">
      <c r="A1766" s="19" t="n">
        <v>45226</v>
      </c>
      <c r="B1766" s="20" t="n">
        <v>19047.25</v>
      </c>
    </row>
    <row r="1767" customFormat="false" ht="15" hidden="false" customHeight="false" outlineLevel="0" collapsed="false">
      <c r="A1767" s="19" t="n">
        <v>45229</v>
      </c>
      <c r="B1767" s="20" t="n">
        <v>19140.9</v>
      </c>
    </row>
    <row r="1768" customFormat="false" ht="15" hidden="false" customHeight="false" outlineLevel="0" collapsed="false">
      <c r="A1768" s="19" t="n">
        <v>45230</v>
      </c>
      <c r="B1768" s="20" t="n">
        <v>19079.6</v>
      </c>
    </row>
    <row r="1769" customFormat="false" ht="15" hidden="false" customHeight="false" outlineLevel="0" collapsed="false">
      <c r="A1769" s="19" t="n">
        <v>45231</v>
      </c>
      <c r="B1769" s="20" t="n">
        <v>18989.15</v>
      </c>
    </row>
    <row r="1770" customFormat="false" ht="15" hidden="false" customHeight="false" outlineLevel="0" collapsed="false">
      <c r="A1770" s="19" t="n">
        <v>45232</v>
      </c>
      <c r="B1770" s="20" t="n">
        <v>19133.25</v>
      </c>
    </row>
    <row r="1771" customFormat="false" ht="15" hidden="false" customHeight="false" outlineLevel="0" collapsed="false">
      <c r="A1771" s="19" t="n">
        <v>45233</v>
      </c>
      <c r="B1771" s="20" t="n">
        <v>19230.6</v>
      </c>
    </row>
    <row r="1772" customFormat="false" ht="15" hidden="false" customHeight="false" outlineLevel="0" collapsed="false">
      <c r="A1772" s="19" t="n">
        <v>45236</v>
      </c>
      <c r="B1772" s="20" t="n">
        <v>19411.75</v>
      </c>
    </row>
    <row r="1773" customFormat="false" ht="15" hidden="false" customHeight="false" outlineLevel="0" collapsed="false">
      <c r="A1773" s="19" t="n">
        <v>45237</v>
      </c>
      <c r="B1773" s="20" t="n">
        <v>19406.7</v>
      </c>
    </row>
    <row r="1774" customFormat="false" ht="15" hidden="false" customHeight="false" outlineLevel="0" collapsed="false">
      <c r="A1774" s="19" t="n">
        <v>45238</v>
      </c>
      <c r="B1774" s="20" t="n">
        <v>19443.5</v>
      </c>
    </row>
    <row r="1775" customFormat="false" ht="15" hidden="false" customHeight="false" outlineLevel="0" collapsed="false">
      <c r="A1775" s="19" t="n">
        <v>45239</v>
      </c>
      <c r="B1775" s="20" t="n">
        <v>19395.3</v>
      </c>
    </row>
    <row r="1776" customFormat="false" ht="15" hidden="false" customHeight="false" outlineLevel="0" collapsed="false">
      <c r="A1776" s="19" t="n">
        <v>45240</v>
      </c>
      <c r="B1776" s="20" t="n">
        <v>19425.35</v>
      </c>
    </row>
    <row r="1777" customFormat="false" ht="15" hidden="false" customHeight="false" outlineLevel="0" collapsed="false">
      <c r="A1777" s="19" t="n">
        <v>45243</v>
      </c>
      <c r="B1777" s="20" t="n">
        <v>19443.55</v>
      </c>
    </row>
    <row r="1778" customFormat="false" ht="15" hidden="false" customHeight="false" outlineLevel="0" collapsed="false">
      <c r="A1778" s="19" t="n">
        <v>45245</v>
      </c>
      <c r="B1778" s="20" t="n">
        <v>19675.45</v>
      </c>
    </row>
    <row r="1779" customFormat="false" ht="15" hidden="false" customHeight="false" outlineLevel="0" collapsed="false">
      <c r="A1779" s="19" t="n">
        <v>45246</v>
      </c>
      <c r="B1779" s="20" t="n">
        <v>19765.2</v>
      </c>
    </row>
    <row r="1780" customFormat="false" ht="15" hidden="false" customHeight="false" outlineLevel="0" collapsed="false">
      <c r="A1780" s="19" t="n">
        <v>45247</v>
      </c>
      <c r="B1780" s="20" t="n">
        <v>19731.8</v>
      </c>
    </row>
    <row r="1781" customFormat="false" ht="15" hidden="false" customHeight="false" outlineLevel="0" collapsed="false">
      <c r="A1781" s="19" t="n">
        <v>45250</v>
      </c>
      <c r="B1781" s="20" t="n">
        <v>19694</v>
      </c>
    </row>
    <row r="1782" customFormat="false" ht="15" hidden="false" customHeight="false" outlineLevel="0" collapsed="false">
      <c r="A1782" s="19" t="n">
        <v>45251</v>
      </c>
      <c r="B1782" s="20" t="n">
        <v>19783.4</v>
      </c>
    </row>
    <row r="1783" customFormat="false" ht="15" hidden="false" customHeight="false" outlineLevel="0" collapsed="false">
      <c r="A1783" s="19" t="n">
        <v>45252</v>
      </c>
      <c r="B1783" s="20" t="n">
        <v>19811.85</v>
      </c>
    </row>
    <row r="1784" customFormat="false" ht="15" hidden="false" customHeight="false" outlineLevel="0" collapsed="false">
      <c r="A1784" s="19" t="n">
        <v>45253</v>
      </c>
      <c r="B1784" s="20" t="n">
        <v>19802</v>
      </c>
    </row>
    <row r="1785" customFormat="false" ht="15" hidden="false" customHeight="false" outlineLevel="0" collapsed="false">
      <c r="A1785" s="19" t="n">
        <v>45254</v>
      </c>
      <c r="B1785" s="20" t="n">
        <v>19794.7</v>
      </c>
    </row>
    <row r="1786" customFormat="false" ht="15" hidden="false" customHeight="false" outlineLevel="0" collapsed="false">
      <c r="A1786" s="19" t="n">
        <v>45258</v>
      </c>
      <c r="B1786" s="20" t="n">
        <v>19889.7</v>
      </c>
    </row>
    <row r="1787" customFormat="false" ht="15" hidden="false" customHeight="false" outlineLevel="0" collapsed="false">
      <c r="A1787" s="19" t="n">
        <v>45259</v>
      </c>
      <c r="B1787" s="20" t="n">
        <v>20096.6</v>
      </c>
    </row>
    <row r="1788" customFormat="false" ht="15" hidden="false" customHeight="false" outlineLevel="0" collapsed="false">
      <c r="A1788" s="19" t="n">
        <v>45260</v>
      </c>
      <c r="B1788" s="20" t="n">
        <v>20133.15</v>
      </c>
    </row>
    <row r="1789" customFormat="false" ht="15" hidden="false" customHeight="false" outlineLevel="0" collapsed="false">
      <c r="A1789" s="19" t="n">
        <v>45261</v>
      </c>
      <c r="B1789" s="20" t="n">
        <v>20267.9</v>
      </c>
    </row>
    <row r="1790" customFormat="false" ht="15" hidden="false" customHeight="false" outlineLevel="0" collapsed="false">
      <c r="A1790" s="19" t="n">
        <v>45264</v>
      </c>
      <c r="B1790" s="20" t="n">
        <v>20686.8</v>
      </c>
    </row>
    <row r="1791" customFormat="false" ht="15" hidden="false" customHeight="false" outlineLevel="0" collapsed="false">
      <c r="A1791" s="19" t="n">
        <v>45265</v>
      </c>
      <c r="B1791" s="20" t="n">
        <v>20855.1</v>
      </c>
    </row>
    <row r="1792" customFormat="false" ht="15" hidden="false" customHeight="false" outlineLevel="0" collapsed="false">
      <c r="A1792" s="19" t="n">
        <v>45266</v>
      </c>
      <c r="B1792" s="20" t="n">
        <v>20937.7</v>
      </c>
    </row>
    <row r="1793" customFormat="false" ht="15" hidden="false" customHeight="false" outlineLevel="0" collapsed="false">
      <c r="A1793" s="19" t="n">
        <v>45267</v>
      </c>
      <c r="B1793" s="20" t="n">
        <v>20901.15</v>
      </c>
    </row>
    <row r="1794" customFormat="false" ht="15" hidden="false" customHeight="false" outlineLevel="0" collapsed="false">
      <c r="A1794" s="19" t="n">
        <v>45268</v>
      </c>
      <c r="B1794" s="20" t="n">
        <v>20969.4</v>
      </c>
    </row>
    <row r="1795" customFormat="false" ht="15" hidden="false" customHeight="false" outlineLevel="0" collapsed="false">
      <c r="A1795" s="19" t="n">
        <v>45271</v>
      </c>
      <c r="B1795" s="20" t="n">
        <v>20997.1</v>
      </c>
    </row>
    <row r="1796" customFormat="false" ht="15" hidden="false" customHeight="false" outlineLevel="0" collapsed="false">
      <c r="A1796" s="19" t="n">
        <v>45272</v>
      </c>
      <c r="B1796" s="20" t="n">
        <v>20906.4</v>
      </c>
    </row>
    <row r="1797" customFormat="false" ht="15" hidden="false" customHeight="false" outlineLevel="0" collapsed="false">
      <c r="A1797" s="19" t="n">
        <v>45273</v>
      </c>
      <c r="B1797" s="20" t="n">
        <v>20926.35</v>
      </c>
    </row>
    <row r="1798" customFormat="false" ht="15" hidden="false" customHeight="false" outlineLevel="0" collapsed="false">
      <c r="A1798" s="19" t="n">
        <v>45274</v>
      </c>
      <c r="B1798" s="20" t="n">
        <v>21182.7</v>
      </c>
    </row>
    <row r="1799" customFormat="false" ht="15" hidden="false" customHeight="false" outlineLevel="0" collapsed="false">
      <c r="A1799" s="19" t="n">
        <v>45275</v>
      </c>
      <c r="B1799" s="20" t="n">
        <v>21456.65</v>
      </c>
    </row>
    <row r="1800" customFormat="false" ht="15" hidden="false" customHeight="false" outlineLevel="0" collapsed="false">
      <c r="A1800" s="19" t="n">
        <v>45278</v>
      </c>
      <c r="B1800" s="20" t="n">
        <v>21418.65</v>
      </c>
    </row>
    <row r="1801" customFormat="false" ht="15" hidden="false" customHeight="false" outlineLevel="0" collapsed="false">
      <c r="A1801" s="19" t="n">
        <v>45279</v>
      </c>
      <c r="B1801" s="20" t="n">
        <v>21453.1</v>
      </c>
    </row>
    <row r="1802" customFormat="false" ht="15" hidden="false" customHeight="false" outlineLevel="0" collapsed="false">
      <c r="A1802" s="19" t="n">
        <v>45280</v>
      </c>
      <c r="B1802" s="20" t="n">
        <v>21150.15</v>
      </c>
    </row>
    <row r="1803" customFormat="false" ht="15" hidden="false" customHeight="false" outlineLevel="0" collapsed="false">
      <c r="A1803" s="19" t="n">
        <v>45281</v>
      </c>
      <c r="B1803" s="20" t="n">
        <v>21255.05</v>
      </c>
    </row>
    <row r="1804" customFormat="false" ht="15" hidden="false" customHeight="false" outlineLevel="0" collapsed="false">
      <c r="A1804" s="19" t="n">
        <v>45282</v>
      </c>
      <c r="B1804" s="20" t="n">
        <v>21349.4</v>
      </c>
    </row>
    <row r="1805" customFormat="false" ht="15" hidden="false" customHeight="false" outlineLevel="0" collapsed="false">
      <c r="A1805" s="19" t="n">
        <v>45286</v>
      </c>
      <c r="B1805" s="20" t="n">
        <v>21441.35</v>
      </c>
    </row>
    <row r="1806" customFormat="false" ht="15" hidden="false" customHeight="false" outlineLevel="0" collapsed="false">
      <c r="A1806" s="19" t="n">
        <v>45287</v>
      </c>
      <c r="B1806" s="20" t="n">
        <v>21654.75</v>
      </c>
    </row>
    <row r="1807" customFormat="false" ht="15" hidden="false" customHeight="false" outlineLevel="0" collapsed="false">
      <c r="A1807" s="19" t="n">
        <v>45288</v>
      </c>
      <c r="B1807" s="20" t="n">
        <v>21778.7</v>
      </c>
    </row>
    <row r="1808" customFormat="false" ht="15" hidden="false" customHeight="false" outlineLevel="0" collapsed="false">
      <c r="A1808" s="19" t="n">
        <v>45289</v>
      </c>
      <c r="B1808" s="20" t="n">
        <v>21731.4</v>
      </c>
    </row>
    <row r="1809" customFormat="false" ht="15" hidden="false" customHeight="false" outlineLevel="0" collapsed="false">
      <c r="A1809" s="19" t="n">
        <v>45292</v>
      </c>
      <c r="B1809" s="20" t="n">
        <v>21741.9</v>
      </c>
    </row>
    <row r="1810" customFormat="false" ht="15" hidden="false" customHeight="false" outlineLevel="0" collapsed="false">
      <c r="A1810" s="19" t="n">
        <v>45293</v>
      </c>
      <c r="B1810" s="20" t="n">
        <v>21665.8</v>
      </c>
    </row>
    <row r="1811" customFormat="false" ht="15" hidden="false" customHeight="false" outlineLevel="0" collapsed="false">
      <c r="A1811" s="19" t="n">
        <v>45294</v>
      </c>
      <c r="B1811" s="20" t="n">
        <v>21517.35</v>
      </c>
    </row>
    <row r="1812" customFormat="false" ht="15" hidden="false" customHeight="false" outlineLevel="0" collapsed="false">
      <c r="A1812" s="19" t="n">
        <v>45295</v>
      </c>
      <c r="B1812" s="20" t="n">
        <v>21658.6</v>
      </c>
    </row>
    <row r="1813" customFormat="false" ht="15" hidden="false" customHeight="false" outlineLevel="0" collapsed="false">
      <c r="A1813" s="19" t="n">
        <v>45296</v>
      </c>
      <c r="B1813" s="20" t="n">
        <v>21710.8</v>
      </c>
    </row>
    <row r="1814" customFormat="false" ht="15" hidden="false" customHeight="false" outlineLevel="0" collapsed="false">
      <c r="A1814" s="19" t="n">
        <v>45299</v>
      </c>
      <c r="B1814" s="20" t="n">
        <v>21513</v>
      </c>
    </row>
    <row r="1815" customFormat="false" ht="15" hidden="false" customHeight="false" outlineLevel="0" collapsed="false">
      <c r="A1815" s="19" t="n">
        <v>45300</v>
      </c>
      <c r="B1815" s="20" t="n">
        <v>21544.85</v>
      </c>
    </row>
    <row r="1816" customFormat="false" ht="15" hidden="false" customHeight="false" outlineLevel="0" collapsed="false">
      <c r="A1816" s="19" t="n">
        <v>45301</v>
      </c>
      <c r="B1816" s="20" t="n">
        <v>21618.7</v>
      </c>
    </row>
    <row r="1817" customFormat="false" ht="15" hidden="false" customHeight="false" outlineLevel="0" collapsed="false">
      <c r="A1817" s="19" t="n">
        <v>45302</v>
      </c>
      <c r="B1817" s="20" t="n">
        <v>21647.2</v>
      </c>
    </row>
    <row r="1818" customFormat="false" ht="15" hidden="false" customHeight="false" outlineLevel="0" collapsed="false">
      <c r="A1818" s="19" t="n">
        <v>45303</v>
      </c>
      <c r="B1818" s="20" t="n">
        <v>21894.55</v>
      </c>
    </row>
    <row r="1819" customFormat="false" ht="15" hidden="false" customHeight="false" outlineLevel="0" collapsed="false">
      <c r="A1819" s="19" t="n">
        <v>45306</v>
      </c>
      <c r="B1819" s="20" t="n">
        <v>22097.45</v>
      </c>
    </row>
    <row r="1820" customFormat="false" ht="15" hidden="false" customHeight="false" outlineLevel="0" collapsed="false">
      <c r="A1820" s="19" t="n">
        <v>45307</v>
      </c>
      <c r="B1820" s="20" t="n">
        <v>22032.3</v>
      </c>
    </row>
    <row r="1821" customFormat="false" ht="15" hidden="false" customHeight="false" outlineLevel="0" collapsed="false">
      <c r="A1821" s="19" t="n">
        <v>45308</v>
      </c>
      <c r="B1821" s="20" t="n">
        <v>21571.95</v>
      </c>
    </row>
    <row r="1822" customFormat="false" ht="15" hidden="false" customHeight="false" outlineLevel="0" collapsed="false">
      <c r="A1822" s="19" t="n">
        <v>45309</v>
      </c>
      <c r="B1822" s="20" t="n">
        <v>21462.25</v>
      </c>
    </row>
    <row r="1823" customFormat="false" ht="15" hidden="false" customHeight="false" outlineLevel="0" collapsed="false">
      <c r="A1823" s="19" t="n">
        <v>45310</v>
      </c>
      <c r="B1823" s="20" t="n">
        <v>21622.4</v>
      </c>
    </row>
    <row r="1824" customFormat="false" ht="15" hidden="false" customHeight="false" outlineLevel="0" collapsed="false">
      <c r="A1824" s="19" t="n">
        <v>45314</v>
      </c>
      <c r="B1824" s="20" t="n">
        <v>21238.8</v>
      </c>
    </row>
    <row r="1825" customFormat="false" ht="15" hidden="false" customHeight="false" outlineLevel="0" collapsed="false">
      <c r="A1825" s="19" t="n">
        <v>45315</v>
      </c>
      <c r="B1825" s="20" t="n">
        <v>21453.95</v>
      </c>
    </row>
    <row r="1826" customFormat="false" ht="15" hidden="false" customHeight="false" outlineLevel="0" collapsed="false">
      <c r="A1826" s="19" t="n">
        <v>45316</v>
      </c>
      <c r="B1826" s="20" t="n">
        <v>21352.6</v>
      </c>
    </row>
    <row r="1827" customFormat="false" ht="15" hidden="false" customHeight="false" outlineLevel="0" collapsed="false">
      <c r="A1827" s="19" t="n">
        <v>45320</v>
      </c>
      <c r="B1827" s="20" t="n">
        <v>21737.6</v>
      </c>
    </row>
    <row r="1828" customFormat="false" ht="15" hidden="false" customHeight="false" outlineLevel="0" collapsed="false">
      <c r="A1828" s="19" t="n">
        <v>45321</v>
      </c>
      <c r="B1828" s="20" t="n">
        <v>21522.1</v>
      </c>
    </row>
    <row r="1829" customFormat="false" ht="15" hidden="false" customHeight="false" outlineLevel="0" collapsed="false">
      <c r="A1829" s="19" t="n">
        <v>45322</v>
      </c>
      <c r="B1829" s="20" t="n">
        <v>21725.7</v>
      </c>
    </row>
    <row r="1830" customFormat="false" ht="15" hidden="false" customHeight="false" outlineLevel="0" collapsed="false">
      <c r="A1830" s="19" t="n">
        <v>45323</v>
      </c>
      <c r="B1830" s="20" t="n">
        <v>21697.45</v>
      </c>
    </row>
    <row r="1831" customFormat="false" ht="15" hidden="false" customHeight="false" outlineLevel="0" collapsed="false">
      <c r="A1831" s="19" t="n">
        <v>45324</v>
      </c>
      <c r="B1831" s="20" t="n">
        <v>21853.8</v>
      </c>
    </row>
    <row r="1832" customFormat="false" ht="15" hidden="false" customHeight="false" outlineLevel="0" collapsed="false">
      <c r="A1832" s="19" t="n">
        <v>45327</v>
      </c>
      <c r="B1832" s="20" t="n">
        <v>21771.7</v>
      </c>
    </row>
    <row r="1833" customFormat="false" ht="15" hidden="false" customHeight="false" outlineLevel="0" collapsed="false">
      <c r="A1833" s="19" t="n">
        <v>45328</v>
      </c>
      <c r="B1833" s="20" t="n">
        <v>21929.4</v>
      </c>
    </row>
    <row r="1834" customFormat="false" ht="15" hidden="false" customHeight="false" outlineLevel="0" collapsed="false">
      <c r="A1834" s="19" t="n">
        <v>45329</v>
      </c>
      <c r="B1834" s="20" t="n">
        <v>21930.5</v>
      </c>
    </row>
    <row r="1835" customFormat="false" ht="15" hidden="false" customHeight="false" outlineLevel="0" collapsed="false">
      <c r="A1835" s="19" t="n">
        <v>45330</v>
      </c>
      <c r="B1835" s="20" t="n">
        <v>21717.95</v>
      </c>
    </row>
    <row r="1836" customFormat="false" ht="15" hidden="false" customHeight="false" outlineLevel="0" collapsed="false">
      <c r="A1836" s="19" t="n">
        <v>45331</v>
      </c>
      <c r="B1836" s="20" t="n">
        <v>21782.5</v>
      </c>
    </row>
    <row r="1837" customFormat="false" ht="15" hidden="false" customHeight="false" outlineLevel="0" collapsed="false">
      <c r="A1837" s="19" t="n">
        <v>45334</v>
      </c>
      <c r="B1837" s="20" t="n">
        <v>21616.05</v>
      </c>
    </row>
    <row r="1838" customFormat="false" ht="15" hidden="false" customHeight="false" outlineLevel="0" collapsed="false">
      <c r="A1838" s="19" t="n">
        <v>45335</v>
      </c>
      <c r="B1838" s="20" t="n">
        <v>21743.25</v>
      </c>
    </row>
    <row r="1839" customFormat="false" ht="15" hidden="false" customHeight="false" outlineLevel="0" collapsed="false">
      <c r="A1839" s="19" t="n">
        <v>45336</v>
      </c>
      <c r="B1839" s="20" t="n">
        <v>21840.05</v>
      </c>
    </row>
    <row r="1840" customFormat="false" ht="15" hidden="false" customHeight="false" outlineLevel="0" collapsed="false">
      <c r="A1840" s="19" t="n">
        <v>45337</v>
      </c>
      <c r="B1840" s="20" t="n">
        <v>21910.75</v>
      </c>
    </row>
    <row r="1841" customFormat="false" ht="15" hidden="false" customHeight="false" outlineLevel="0" collapsed="false">
      <c r="A1841" s="19" t="n">
        <v>45338</v>
      </c>
      <c r="B1841" s="20" t="n">
        <v>22040.7</v>
      </c>
    </row>
    <row r="1842" customFormat="false" ht="15" hidden="false" customHeight="false" outlineLevel="0" collapsed="false">
      <c r="A1842" s="19" t="n">
        <v>45341</v>
      </c>
      <c r="B1842" s="20" t="n">
        <v>22122.25</v>
      </c>
    </row>
    <row r="1843" customFormat="false" ht="15" hidden="false" customHeight="false" outlineLevel="0" collapsed="false">
      <c r="A1843" s="19" t="n">
        <v>45342</v>
      </c>
      <c r="B1843" s="20" t="n">
        <v>22196.95</v>
      </c>
    </row>
    <row r="1844" customFormat="false" ht="15" hidden="false" customHeight="false" outlineLevel="0" collapsed="false">
      <c r="A1844" s="19" t="n">
        <v>45343</v>
      </c>
      <c r="B1844" s="20" t="n">
        <v>22055.05</v>
      </c>
    </row>
    <row r="1845" customFormat="false" ht="15" hidden="false" customHeight="false" outlineLevel="0" collapsed="false">
      <c r="A1845" s="19" t="n">
        <v>45344</v>
      </c>
      <c r="B1845" s="20" t="n">
        <v>22217.45</v>
      </c>
    </row>
    <row r="1846" customFormat="false" ht="15" hidden="false" customHeight="false" outlineLevel="0" collapsed="false">
      <c r="A1846" s="19" t="n">
        <v>45345</v>
      </c>
      <c r="B1846" s="20" t="n">
        <v>22212.7</v>
      </c>
    </row>
    <row r="1847" customFormat="false" ht="15" hidden="false" customHeight="false" outlineLevel="0" collapsed="false">
      <c r="A1847" s="19" t="n">
        <v>45348</v>
      </c>
      <c r="B1847" s="20" t="n">
        <v>22122.05</v>
      </c>
    </row>
    <row r="1848" customFormat="false" ht="15" hidden="false" customHeight="false" outlineLevel="0" collapsed="false">
      <c r="A1848" s="19" t="n">
        <v>45349</v>
      </c>
      <c r="B1848" s="20" t="n">
        <v>22198.35</v>
      </c>
    </row>
    <row r="1849" customFormat="false" ht="15" hidden="false" customHeight="false" outlineLevel="0" collapsed="false">
      <c r="A1849" s="19" t="n">
        <v>45350</v>
      </c>
      <c r="B1849" s="20" t="n">
        <v>21951.15</v>
      </c>
    </row>
    <row r="1850" customFormat="false" ht="15" hidden="false" customHeight="false" outlineLevel="0" collapsed="false">
      <c r="A1850" s="19" t="n">
        <v>45351</v>
      </c>
      <c r="B1850" s="20" t="n">
        <v>21982.8</v>
      </c>
    </row>
    <row r="1851" customFormat="false" ht="15" hidden="false" customHeight="false" outlineLevel="0" collapsed="false">
      <c r="A1851" s="19" t="n">
        <v>45352</v>
      </c>
      <c r="B1851" s="20" t="n">
        <v>22338.75</v>
      </c>
    </row>
    <row r="1852" customFormat="false" ht="15" hidden="false" customHeight="false" outlineLevel="0" collapsed="false">
      <c r="A1852" s="19" t="n">
        <v>45355</v>
      </c>
      <c r="B1852" s="20" t="n">
        <v>22405.6</v>
      </c>
    </row>
    <row r="1853" customFormat="false" ht="15" hidden="false" customHeight="false" outlineLevel="0" collapsed="false">
      <c r="A1853" s="19" t="n">
        <v>45356</v>
      </c>
      <c r="B1853" s="20" t="n">
        <v>22356.3</v>
      </c>
    </row>
    <row r="1854" customFormat="false" ht="15" hidden="false" customHeight="false" outlineLevel="0" collapsed="false">
      <c r="A1854" s="19" t="n">
        <v>45357</v>
      </c>
      <c r="B1854" s="20" t="n">
        <v>22474.05</v>
      </c>
    </row>
    <row r="1855" customFormat="false" ht="15" hidden="false" customHeight="false" outlineLevel="0" collapsed="false">
      <c r="A1855" s="19" t="n">
        <v>45358</v>
      </c>
      <c r="B1855" s="20" t="n">
        <v>22493.55</v>
      </c>
    </row>
    <row r="1856" customFormat="false" ht="15" hidden="false" customHeight="false" outlineLevel="0" collapsed="false">
      <c r="A1856" s="19" t="n">
        <v>45362</v>
      </c>
      <c r="B1856" s="20" t="n">
        <v>22332.65</v>
      </c>
    </row>
    <row r="1857" customFormat="false" ht="15" hidden="false" customHeight="false" outlineLevel="0" collapsed="false">
      <c r="A1857" s="19" t="n">
        <v>45363</v>
      </c>
      <c r="B1857" s="20" t="n">
        <v>22335.7</v>
      </c>
    </row>
    <row r="1858" customFormat="false" ht="15" hidden="false" customHeight="false" outlineLevel="0" collapsed="false">
      <c r="A1858" s="19" t="n">
        <v>45364</v>
      </c>
      <c r="B1858" s="20" t="n">
        <v>21997.7</v>
      </c>
    </row>
    <row r="1859" customFormat="false" ht="15" hidden="false" customHeight="false" outlineLevel="0" collapsed="false">
      <c r="A1859" s="19" t="n">
        <v>45365</v>
      </c>
      <c r="B1859" s="20" t="n">
        <v>22146.65</v>
      </c>
    </row>
    <row r="1860" customFormat="false" ht="15" hidden="false" customHeight="false" outlineLevel="0" collapsed="false">
      <c r="A1860" s="19" t="n">
        <v>45366</v>
      </c>
      <c r="B1860" s="20" t="n">
        <v>22023.35</v>
      </c>
    </row>
    <row r="1861" customFormat="false" ht="15" hidden="false" customHeight="false" outlineLevel="0" collapsed="false">
      <c r="A1861" s="19" t="n">
        <v>45369</v>
      </c>
      <c r="B1861" s="20" t="n">
        <v>22055.7</v>
      </c>
    </row>
    <row r="1862" customFormat="false" ht="15" hidden="false" customHeight="false" outlineLevel="0" collapsed="false">
      <c r="A1862" s="19" t="n">
        <v>45370</v>
      </c>
      <c r="B1862" s="20" t="n">
        <v>21817.45</v>
      </c>
    </row>
    <row r="1863" customFormat="false" ht="15" hidden="false" customHeight="false" outlineLevel="0" collapsed="false">
      <c r="A1863" s="19" t="n">
        <v>45371</v>
      </c>
      <c r="B1863" s="20" t="n">
        <v>21839.1</v>
      </c>
    </row>
    <row r="1864" customFormat="false" ht="15" hidden="false" customHeight="false" outlineLevel="0" collapsed="false">
      <c r="A1864" s="19" t="n">
        <v>45372</v>
      </c>
      <c r="B1864" s="20" t="n">
        <v>22011.95</v>
      </c>
    </row>
    <row r="1865" customFormat="false" ht="15" hidden="false" customHeight="false" outlineLevel="0" collapsed="false">
      <c r="A1865" s="19" t="n">
        <v>45373</v>
      </c>
      <c r="B1865" s="20" t="n">
        <v>22096.75</v>
      </c>
    </row>
    <row r="1866" customFormat="false" ht="15" hidden="false" customHeight="false" outlineLevel="0" collapsed="false">
      <c r="A1866" s="19" t="n">
        <v>45377</v>
      </c>
      <c r="B1866" s="20" t="n">
        <v>22004.7</v>
      </c>
    </row>
    <row r="1867" customFormat="false" ht="15" hidden="false" customHeight="false" outlineLevel="0" collapsed="false">
      <c r="A1867" s="19" t="n">
        <v>45378</v>
      </c>
      <c r="B1867" s="20" t="n">
        <v>22123.65</v>
      </c>
    </row>
    <row r="1868" customFormat="false" ht="15" hidden="false" customHeight="false" outlineLevel="0" collapsed="false">
      <c r="A1868" s="19" t="n">
        <v>45379</v>
      </c>
      <c r="B1868" s="20" t="n">
        <v>22326.9</v>
      </c>
    </row>
    <row r="1869" customFormat="false" ht="15" hidden="false" customHeight="false" outlineLevel="0" collapsed="false">
      <c r="A1869" s="19" t="n">
        <v>45383</v>
      </c>
      <c r="B1869" s="20" t="n">
        <v>22462</v>
      </c>
    </row>
    <row r="1870" customFormat="false" ht="15" hidden="false" customHeight="false" outlineLevel="0" collapsed="false">
      <c r="A1870" s="19" t="n">
        <v>45384</v>
      </c>
      <c r="B1870" s="20" t="n">
        <v>22453.3</v>
      </c>
    </row>
    <row r="1871" customFormat="false" ht="15" hidden="false" customHeight="false" outlineLevel="0" collapsed="false">
      <c r="A1871" s="19" t="n">
        <v>45385</v>
      </c>
      <c r="B1871" s="20" t="n">
        <v>22434.65</v>
      </c>
    </row>
    <row r="1872" customFormat="false" ht="15" hidden="false" customHeight="false" outlineLevel="0" collapsed="false">
      <c r="A1872" s="19" t="n">
        <v>45386</v>
      </c>
      <c r="B1872" s="20" t="n">
        <v>22514.65</v>
      </c>
    </row>
    <row r="1873" customFormat="false" ht="15" hidden="false" customHeight="false" outlineLevel="0" collapsed="false">
      <c r="A1873" s="19" t="n">
        <v>45387</v>
      </c>
      <c r="B1873" s="20" t="n">
        <v>22513.7</v>
      </c>
    </row>
    <row r="1874" customFormat="false" ht="15" hidden="false" customHeight="false" outlineLevel="0" collapsed="false">
      <c r="A1874" s="19" t="n">
        <v>45390</v>
      </c>
      <c r="B1874" s="20" t="n">
        <v>22666.3</v>
      </c>
    </row>
    <row r="1875" customFormat="false" ht="15" hidden="false" customHeight="false" outlineLevel="0" collapsed="false">
      <c r="A1875" s="19" t="n">
        <v>45391</v>
      </c>
      <c r="B1875" s="20" t="n">
        <v>22642.75</v>
      </c>
    </row>
    <row r="1876" customFormat="false" ht="15" hidden="false" customHeight="false" outlineLevel="0" collapsed="false">
      <c r="A1876" s="19" t="n">
        <v>45392</v>
      </c>
      <c r="B1876" s="20" t="n">
        <v>22753.8</v>
      </c>
    </row>
    <row r="1877" customFormat="false" ht="15" hidden="false" customHeight="false" outlineLevel="0" collapsed="false">
      <c r="A1877" s="19" t="n">
        <v>45394</v>
      </c>
      <c r="B1877" s="20" t="n">
        <v>22519.4</v>
      </c>
    </row>
    <row r="1878" customFormat="false" ht="15" hidden="false" customHeight="false" outlineLevel="0" collapsed="false">
      <c r="A1878" s="19" t="n">
        <v>45397</v>
      </c>
      <c r="B1878" s="20" t="n">
        <v>22272.5</v>
      </c>
    </row>
    <row r="1879" customFormat="false" ht="15" hidden="false" customHeight="false" outlineLevel="0" collapsed="false">
      <c r="A1879" s="19" t="n">
        <v>45398</v>
      </c>
      <c r="B1879" s="20" t="n">
        <v>22147.9</v>
      </c>
    </row>
    <row r="1880" customFormat="false" ht="15" hidden="false" customHeight="false" outlineLevel="0" collapsed="false">
      <c r="A1880" s="19" t="n">
        <v>45400</v>
      </c>
      <c r="B1880" s="20" t="n">
        <v>21995.85</v>
      </c>
    </row>
    <row r="1881" customFormat="false" ht="15" hidden="false" customHeight="false" outlineLevel="0" collapsed="false">
      <c r="A1881" s="19" t="n">
        <v>45401</v>
      </c>
      <c r="B1881" s="20" t="n">
        <v>22147</v>
      </c>
    </row>
    <row r="1882" customFormat="false" ht="15" hidden="false" customHeight="false" outlineLevel="0" collapsed="false">
      <c r="A1882" s="19" t="n">
        <v>45404</v>
      </c>
      <c r="B1882" s="20" t="n">
        <v>22336.4</v>
      </c>
    </row>
    <row r="1883" customFormat="false" ht="15" hidden="false" customHeight="false" outlineLevel="0" collapsed="false">
      <c r="A1883" s="19" t="n">
        <v>45405</v>
      </c>
      <c r="B1883" s="20" t="n">
        <v>22368</v>
      </c>
    </row>
    <row r="1884" customFormat="false" ht="15" hidden="false" customHeight="false" outlineLevel="0" collapsed="false">
      <c r="A1884" s="19" t="n">
        <v>45406</v>
      </c>
      <c r="B1884" s="20" t="n">
        <v>22402.4</v>
      </c>
    </row>
    <row r="1885" customFormat="false" ht="15" hidden="false" customHeight="false" outlineLevel="0" collapsed="false">
      <c r="A1885" s="19" t="n">
        <v>45407</v>
      </c>
      <c r="B1885" s="20" t="n">
        <v>22570.35</v>
      </c>
    </row>
    <row r="1886" customFormat="false" ht="15" hidden="false" customHeight="false" outlineLevel="0" collapsed="false">
      <c r="A1886" s="19" t="n">
        <v>45408</v>
      </c>
      <c r="B1886" s="20" t="n">
        <v>22419.95</v>
      </c>
    </row>
    <row r="1887" customFormat="false" ht="15" hidden="false" customHeight="false" outlineLevel="0" collapsed="false">
      <c r="A1887" s="19" t="n">
        <v>45411</v>
      </c>
      <c r="B1887" s="20" t="n">
        <v>22643.4</v>
      </c>
    </row>
    <row r="1888" customFormat="false" ht="15" hidden="false" customHeight="false" outlineLevel="0" collapsed="false">
      <c r="A1888" s="19" t="n">
        <v>45412</v>
      </c>
      <c r="B1888" s="20" t="n">
        <v>22604.85</v>
      </c>
    </row>
    <row r="1889" customFormat="false" ht="15" hidden="false" customHeight="false" outlineLevel="0" collapsed="false">
      <c r="A1889" s="19" t="n">
        <v>45414</v>
      </c>
      <c r="B1889" s="20" t="n">
        <v>22648.2</v>
      </c>
    </row>
    <row r="1890" customFormat="false" ht="15" hidden="false" customHeight="false" outlineLevel="0" collapsed="false">
      <c r="A1890" s="19" t="n">
        <v>45415</v>
      </c>
      <c r="B1890" s="20" t="n">
        <v>22475.85</v>
      </c>
    </row>
    <row r="1891" customFormat="false" ht="15" hidden="false" customHeight="false" outlineLevel="0" collapsed="false">
      <c r="A1891" s="19" t="n">
        <v>45418</v>
      </c>
      <c r="B1891" s="20" t="n">
        <v>22442.7</v>
      </c>
    </row>
    <row r="1892" customFormat="false" ht="15" hidden="false" customHeight="false" outlineLevel="0" collapsed="false">
      <c r="A1892" s="19" t="n">
        <v>45419</v>
      </c>
      <c r="B1892" s="20" t="n">
        <v>22302.5</v>
      </c>
    </row>
    <row r="1893" customFormat="false" ht="15" hidden="false" customHeight="false" outlineLevel="0" collapsed="false">
      <c r="A1893" s="19" t="n">
        <v>45420</v>
      </c>
      <c r="B1893" s="20" t="n">
        <v>22302.5</v>
      </c>
    </row>
    <row r="1894" customFormat="false" ht="15" hidden="false" customHeight="false" outlineLevel="0" collapsed="false">
      <c r="A1894" s="19" t="n">
        <v>45421</v>
      </c>
      <c r="B1894" s="20" t="n">
        <v>21957.5</v>
      </c>
    </row>
    <row r="1895" customFormat="false" ht="15" hidden="false" customHeight="false" outlineLevel="0" collapsed="false">
      <c r="A1895" s="19" t="n">
        <v>45422</v>
      </c>
      <c r="B1895" s="20" t="n">
        <v>22055.2</v>
      </c>
    </row>
    <row r="1896" customFormat="false" ht="15" hidden="false" customHeight="false" outlineLevel="0" collapsed="false">
      <c r="A1896" s="19" t="n">
        <v>45425</v>
      </c>
      <c r="B1896" s="20" t="n">
        <v>22104.05</v>
      </c>
    </row>
    <row r="1897" customFormat="false" ht="15" hidden="false" customHeight="false" outlineLevel="0" collapsed="false">
      <c r="A1897" s="19" t="n">
        <v>45426</v>
      </c>
      <c r="B1897" s="20" t="n">
        <v>22217.85</v>
      </c>
    </row>
    <row r="1898" customFormat="false" ht="15" hidden="false" customHeight="false" outlineLevel="0" collapsed="false">
      <c r="A1898" s="19" t="n">
        <v>45427</v>
      </c>
      <c r="B1898" s="20" t="n">
        <v>22200.55</v>
      </c>
    </row>
    <row r="1899" customFormat="false" ht="15" hidden="false" customHeight="false" outlineLevel="0" collapsed="false">
      <c r="A1899" s="19" t="n">
        <v>45428</v>
      </c>
      <c r="B1899" s="20" t="n">
        <v>22403.85</v>
      </c>
    </row>
    <row r="1900" customFormat="false" ht="15" hidden="false" customHeight="false" outlineLevel="0" collapsed="false">
      <c r="A1900" s="19" t="n">
        <v>45429</v>
      </c>
      <c r="B1900" s="20" t="n">
        <v>22466.1</v>
      </c>
    </row>
    <row r="1901" customFormat="false" ht="15" hidden="false" customHeight="false" outlineLevel="0" collapsed="false">
      <c r="A1901" s="19" t="n">
        <v>45433</v>
      </c>
      <c r="B1901" s="20" t="n">
        <v>22529.05</v>
      </c>
    </row>
    <row r="1902" customFormat="false" ht="15" hidden="false" customHeight="false" outlineLevel="0" collapsed="false">
      <c r="A1902" s="19" t="n">
        <v>45434</v>
      </c>
      <c r="B1902" s="20" t="n">
        <v>22597.8</v>
      </c>
    </row>
    <row r="1903" customFormat="false" ht="15" hidden="false" customHeight="false" outlineLevel="0" collapsed="false">
      <c r="A1903" s="19" t="n">
        <v>45435</v>
      </c>
      <c r="B1903" s="20" t="n">
        <v>22967.65</v>
      </c>
    </row>
    <row r="1904" customFormat="false" ht="15" hidden="false" customHeight="false" outlineLevel="0" collapsed="false">
      <c r="A1904" s="19" t="n">
        <v>45436</v>
      </c>
      <c r="B1904" s="20" t="n">
        <v>22957.1</v>
      </c>
    </row>
    <row r="1905" customFormat="false" ht="15" hidden="false" customHeight="false" outlineLevel="0" collapsed="false">
      <c r="A1905" s="19" t="n">
        <v>45439</v>
      </c>
      <c r="B1905" s="20" t="n">
        <v>22932.45</v>
      </c>
    </row>
    <row r="1906" customFormat="false" ht="15" hidden="false" customHeight="false" outlineLevel="0" collapsed="false">
      <c r="A1906" s="19" t="n">
        <v>45440</v>
      </c>
      <c r="B1906" s="20" t="n">
        <v>22888.15</v>
      </c>
    </row>
    <row r="1907" customFormat="false" ht="15" hidden="false" customHeight="false" outlineLevel="0" collapsed="false">
      <c r="A1907" s="19" t="n">
        <v>45441</v>
      </c>
      <c r="B1907" s="20" t="n">
        <v>22704.7</v>
      </c>
    </row>
    <row r="1908" customFormat="false" ht="15" hidden="false" customHeight="false" outlineLevel="0" collapsed="false">
      <c r="A1908" s="19" t="n">
        <v>45442</v>
      </c>
      <c r="B1908" s="20" t="n">
        <v>22488.65</v>
      </c>
    </row>
    <row r="1909" customFormat="false" ht="15" hidden="false" customHeight="false" outlineLevel="0" collapsed="false">
      <c r="A1909" s="19" t="n">
        <v>45443</v>
      </c>
      <c r="B1909" s="20" t="n">
        <v>22530.7</v>
      </c>
    </row>
    <row r="1910" customFormat="false" ht="15" hidden="false" customHeight="false" outlineLevel="0" collapsed="false">
      <c r="A1910" s="19" t="n">
        <v>45446</v>
      </c>
      <c r="B1910" s="20" t="n">
        <v>23263.9</v>
      </c>
    </row>
    <row r="1911" customFormat="false" ht="15" hidden="false" customHeight="false" outlineLevel="0" collapsed="false">
      <c r="A1911" s="19" t="n">
        <v>45447</v>
      </c>
      <c r="B1911" s="20" t="n">
        <v>21884.5</v>
      </c>
    </row>
    <row r="1912" customFormat="false" ht="15" hidden="false" customHeight="false" outlineLevel="0" collapsed="false">
      <c r="A1912" s="19" t="n">
        <v>45448</v>
      </c>
      <c r="B1912" s="20" t="n">
        <v>22620.35</v>
      </c>
    </row>
    <row r="1913" customFormat="false" ht="15" hidden="false" customHeight="false" outlineLevel="0" collapsed="false">
      <c r="A1913" s="19" t="n">
        <v>45449</v>
      </c>
      <c r="B1913" s="20" t="n">
        <v>22821.4</v>
      </c>
    </row>
    <row r="1914" customFormat="false" ht="15" hidden="false" customHeight="false" outlineLevel="0" collapsed="false">
      <c r="A1914" s="19" t="n">
        <v>45450</v>
      </c>
      <c r="B1914" s="20" t="n">
        <v>23290.15</v>
      </c>
    </row>
    <row r="1915" customFormat="false" ht="15" hidden="false" customHeight="false" outlineLevel="0" collapsed="false">
      <c r="A1915" s="19" t="n">
        <v>45453</v>
      </c>
      <c r="B1915" s="20" t="n">
        <v>23259.2</v>
      </c>
    </row>
    <row r="1916" customFormat="false" ht="15" hidden="false" customHeight="false" outlineLevel="0" collapsed="false">
      <c r="A1916" s="19" t="n">
        <v>45454</v>
      </c>
      <c r="B1916" s="20" t="n">
        <v>23264.85</v>
      </c>
    </row>
    <row r="1917" customFormat="false" ht="15" hidden="false" customHeight="false" outlineLevel="0" collapsed="false">
      <c r="A1917" s="19" t="n">
        <v>45455</v>
      </c>
      <c r="B1917" s="20" t="n">
        <v>23322.95</v>
      </c>
    </row>
    <row r="1918" customFormat="false" ht="15" hidden="false" customHeight="false" outlineLevel="0" collapsed="false">
      <c r="A1918" s="19" t="n">
        <v>45456</v>
      </c>
      <c r="B1918" s="20" t="n">
        <v>23398.9</v>
      </c>
    </row>
    <row r="1919" customFormat="false" ht="15" hidden="false" customHeight="false" outlineLevel="0" collapsed="false">
      <c r="A1919" s="19" t="n">
        <v>45457</v>
      </c>
      <c r="B1919" s="20" t="n">
        <v>23465.6</v>
      </c>
    </row>
    <row r="1920" customFormat="false" ht="15" hidden="false" customHeight="false" outlineLevel="0" collapsed="false">
      <c r="A1920" s="19" t="n">
        <v>45461</v>
      </c>
      <c r="B1920" s="20" t="n">
        <v>23557.9</v>
      </c>
    </row>
    <row r="1921" customFormat="false" ht="15" hidden="false" customHeight="false" outlineLevel="0" collapsed="false">
      <c r="A1921" s="19" t="n">
        <v>45462</v>
      </c>
      <c r="B1921" s="20" t="n">
        <v>23516</v>
      </c>
    </row>
    <row r="1922" customFormat="false" ht="15" hidden="false" customHeight="false" outlineLevel="0" collapsed="false">
      <c r="A1922" s="19" t="n">
        <v>45463</v>
      </c>
      <c r="B1922" s="20" t="n">
        <v>23567</v>
      </c>
    </row>
    <row r="1923" customFormat="false" ht="15" hidden="false" customHeight="false" outlineLevel="0" collapsed="false">
      <c r="A1923" s="19" t="n">
        <v>45464</v>
      </c>
      <c r="B1923" s="20" t="n">
        <v>23501.1</v>
      </c>
    </row>
    <row r="1924" customFormat="false" ht="15" hidden="false" customHeight="false" outlineLevel="0" collapsed="false">
      <c r="A1924" s="19" t="n">
        <v>45467</v>
      </c>
      <c r="B1924" s="20" t="n">
        <v>23537.85</v>
      </c>
    </row>
    <row r="1925" customFormat="false" ht="15" hidden="false" customHeight="false" outlineLevel="0" collapsed="false">
      <c r="A1925" s="19" t="n">
        <v>45468</v>
      </c>
      <c r="B1925" s="20" t="n">
        <v>23721.3</v>
      </c>
    </row>
    <row r="1926" customFormat="false" ht="15" hidden="false" customHeight="false" outlineLevel="0" collapsed="false">
      <c r="A1926" s="19" t="n">
        <v>45469</v>
      </c>
      <c r="B1926" s="20" t="n">
        <v>23868.8</v>
      </c>
    </row>
    <row r="1927" customFormat="false" ht="15" hidden="false" customHeight="false" outlineLevel="0" collapsed="false">
      <c r="A1927" s="19" t="n">
        <v>45470</v>
      </c>
      <c r="B1927" s="20" t="n">
        <v>24044.5</v>
      </c>
    </row>
    <row r="1928" customFormat="false" ht="15" hidden="false" customHeight="false" outlineLevel="0" collapsed="false">
      <c r="A1928" s="19" t="n">
        <v>45471</v>
      </c>
      <c r="B1928" s="20" t="n">
        <v>24010.6</v>
      </c>
    </row>
    <row r="1929" customFormat="false" ht="15" hidden="false" customHeight="false" outlineLevel="0" collapsed="false">
      <c r="A1929" s="19" t="n">
        <v>45474</v>
      </c>
      <c r="B1929" s="20" t="n">
        <v>24141.95</v>
      </c>
    </row>
    <row r="1930" customFormat="false" ht="15" hidden="false" customHeight="false" outlineLevel="0" collapsed="false">
      <c r="A1930" s="19" t="n">
        <v>45475</v>
      </c>
      <c r="B1930" s="20" t="n">
        <v>24123.85</v>
      </c>
    </row>
    <row r="1931" customFormat="false" ht="15" hidden="false" customHeight="false" outlineLevel="0" collapsed="false">
      <c r="A1931" s="19" t="n">
        <v>45476</v>
      </c>
      <c r="B1931" s="20" t="n">
        <v>24286.5</v>
      </c>
    </row>
    <row r="1932" customFormat="false" ht="15" hidden="false" customHeight="false" outlineLevel="0" collapsed="false">
      <c r="A1932" s="19" t="n">
        <v>45477</v>
      </c>
      <c r="B1932" s="20" t="n">
        <v>24302.15</v>
      </c>
    </row>
    <row r="1933" customFormat="false" ht="15" hidden="false" customHeight="false" outlineLevel="0" collapsed="false">
      <c r="A1933" s="19" t="n">
        <v>45478</v>
      </c>
      <c r="B1933" s="20" t="n">
        <v>24323.85</v>
      </c>
    </row>
    <row r="1934" customFormat="false" ht="15" hidden="false" customHeight="false" outlineLevel="0" collapsed="false">
      <c r="A1934" s="19" t="n">
        <v>45481</v>
      </c>
      <c r="B1934" s="20" t="n">
        <v>24320.55</v>
      </c>
    </row>
    <row r="1935" customFormat="false" ht="15" hidden="false" customHeight="false" outlineLevel="0" collapsed="false">
      <c r="A1935" s="19" t="n">
        <v>45482</v>
      </c>
      <c r="B1935" s="20" t="n">
        <v>24433.2</v>
      </c>
    </row>
    <row r="1936" customFormat="false" ht="15" hidden="false" customHeight="false" outlineLevel="0" collapsed="false">
      <c r="A1936" s="19" t="n">
        <v>45483</v>
      </c>
      <c r="B1936" s="20" t="n">
        <v>24324.45</v>
      </c>
    </row>
    <row r="1937" customFormat="false" ht="15" hidden="false" customHeight="false" outlineLevel="0" collapsed="false">
      <c r="A1937" s="19" t="n">
        <v>45484</v>
      </c>
      <c r="B1937" s="20" t="n">
        <v>24315.95</v>
      </c>
    </row>
    <row r="1938" customFormat="false" ht="15" hidden="false" customHeight="false" outlineLevel="0" collapsed="false">
      <c r="A1938" s="19" t="n">
        <v>45485</v>
      </c>
      <c r="B1938" s="20" t="n">
        <v>24502.15</v>
      </c>
    </row>
    <row r="1939" customFormat="false" ht="15" hidden="false" customHeight="false" outlineLevel="0" collapsed="false">
      <c r="A1939" s="19" t="n">
        <v>45488</v>
      </c>
      <c r="B1939" s="20" t="n">
        <v>24586.7</v>
      </c>
    </row>
    <row r="1940" customFormat="false" ht="15" hidden="false" customHeight="false" outlineLevel="0" collapsed="false">
      <c r="A1940" s="19" t="n">
        <v>45489</v>
      </c>
      <c r="B1940" s="20" t="n">
        <v>24613</v>
      </c>
    </row>
    <row r="1941" customFormat="false" ht="15" hidden="false" customHeight="false" outlineLevel="0" collapsed="false">
      <c r="A1941" s="19" t="n">
        <v>45491</v>
      </c>
      <c r="B1941" s="20" t="n">
        <v>24800.85</v>
      </c>
    </row>
    <row r="1942" customFormat="false" ht="15" hidden="false" customHeight="false" outlineLevel="0" collapsed="false">
      <c r="A1942" s="19" t="n">
        <v>45492</v>
      </c>
      <c r="B1942" s="20" t="n">
        <v>24530.9</v>
      </c>
    </row>
    <row r="1943" customFormat="false" ht="15" hidden="false" customHeight="false" outlineLevel="0" collapsed="false">
      <c r="A1943" s="19" t="n">
        <v>45495</v>
      </c>
      <c r="B1943" s="20" t="n">
        <v>24509.25</v>
      </c>
    </row>
    <row r="1944" customFormat="false" ht="15" hidden="false" customHeight="false" outlineLevel="0" collapsed="false">
      <c r="A1944" s="19" t="n">
        <v>45496</v>
      </c>
      <c r="B1944" s="20" t="n">
        <v>24479.05</v>
      </c>
    </row>
    <row r="1945" customFormat="false" ht="15" hidden="false" customHeight="false" outlineLevel="0" collapsed="false">
      <c r="A1945" s="19" t="n">
        <v>45497</v>
      </c>
      <c r="B1945" s="20" t="n">
        <v>24413.5</v>
      </c>
    </row>
    <row r="1946" customFormat="false" ht="15" hidden="false" customHeight="false" outlineLevel="0" collapsed="false">
      <c r="A1946" s="19" t="n">
        <v>45498</v>
      </c>
      <c r="B1946" s="20" t="n">
        <v>24406.1</v>
      </c>
    </row>
    <row r="1947" customFormat="false" ht="15" hidden="false" customHeight="false" outlineLevel="0" collapsed="false">
      <c r="A1947" s="19" t="n">
        <v>45499</v>
      </c>
      <c r="B1947" s="20" t="n">
        <v>24834.85</v>
      </c>
    </row>
    <row r="1948" customFormat="false" ht="15" hidden="false" customHeight="false" outlineLevel="0" collapsed="false">
      <c r="A1948" s="19" t="n">
        <v>45502</v>
      </c>
      <c r="B1948" s="20" t="n">
        <v>24836.1</v>
      </c>
    </row>
    <row r="1949" customFormat="false" ht="15" hidden="false" customHeight="false" outlineLevel="0" collapsed="false">
      <c r="A1949" s="19" t="n">
        <v>45503</v>
      </c>
      <c r="B1949" s="20" t="n">
        <v>24857.3</v>
      </c>
    </row>
    <row r="1950" customFormat="false" ht="15" hidden="false" customHeight="false" outlineLevel="0" collapsed="false">
      <c r="A1950" s="19" t="n">
        <v>45504</v>
      </c>
      <c r="B1950" s="20" t="n">
        <v>24951.15</v>
      </c>
    </row>
    <row r="1951" customFormat="false" ht="15" hidden="false" customHeight="false" outlineLevel="0" collapsed="false">
      <c r="A1951" s="19" t="n">
        <v>45505</v>
      </c>
      <c r="B1951" s="20" t="n">
        <v>25010.9</v>
      </c>
    </row>
    <row r="1952" customFormat="false" ht="15" hidden="false" customHeight="false" outlineLevel="0" collapsed="false">
      <c r="A1952" s="19" t="n">
        <v>45506</v>
      </c>
      <c r="B1952" s="20" t="n">
        <v>24717.7</v>
      </c>
    </row>
    <row r="1953" customFormat="false" ht="15" hidden="false" customHeight="false" outlineLevel="0" collapsed="false">
      <c r="A1953" s="19" t="n">
        <v>45509</v>
      </c>
      <c r="B1953" s="20" t="n">
        <v>24055.6</v>
      </c>
    </row>
    <row r="1954" customFormat="false" ht="15" hidden="false" customHeight="false" outlineLevel="0" collapsed="false">
      <c r="A1954" s="19" t="n">
        <v>45510</v>
      </c>
      <c r="B1954" s="20" t="n">
        <v>23992.55</v>
      </c>
    </row>
    <row r="1955" customFormat="false" ht="15" hidden="false" customHeight="false" outlineLevel="0" collapsed="false">
      <c r="A1955" s="19" t="n">
        <v>45511</v>
      </c>
      <c r="B1955" s="20" t="n">
        <v>24297.5</v>
      </c>
    </row>
    <row r="1956" customFormat="false" ht="15" hidden="false" customHeight="false" outlineLevel="0" collapsed="false">
      <c r="A1956" s="19" t="n">
        <v>45512</v>
      </c>
      <c r="B1956" s="20" t="n">
        <v>24117</v>
      </c>
    </row>
    <row r="1957" customFormat="false" ht="15" hidden="false" customHeight="false" outlineLevel="0" collapsed="false">
      <c r="A1957" s="19" t="n">
        <v>45513</v>
      </c>
      <c r="B1957" s="20" t="n">
        <v>24367.5</v>
      </c>
    </row>
    <row r="1958" customFormat="false" ht="15" hidden="false" customHeight="false" outlineLevel="0" collapsed="false">
      <c r="A1958" s="19" t="n">
        <v>45516</v>
      </c>
      <c r="B1958" s="20" t="n">
        <v>24347</v>
      </c>
    </row>
    <row r="1959" customFormat="false" ht="15" hidden="false" customHeight="false" outlineLevel="0" collapsed="false">
      <c r="A1959" s="19" t="n">
        <v>45517</v>
      </c>
      <c r="B1959" s="20" t="n">
        <v>24139</v>
      </c>
    </row>
    <row r="1960" customFormat="false" ht="15" hidden="false" customHeight="false" outlineLevel="0" collapsed="false">
      <c r="A1960" s="19" t="n">
        <v>45518</v>
      </c>
      <c r="B1960" s="20" t="n">
        <v>24143.75</v>
      </c>
    </row>
    <row r="1961" customFormat="false" ht="15" hidden="false" customHeight="false" outlineLevel="0" collapsed="false">
      <c r="A1961" s="19" t="n">
        <v>45520</v>
      </c>
      <c r="B1961" s="20" t="n">
        <v>24541.15</v>
      </c>
    </row>
    <row r="1962" customFormat="false" ht="15" hidden="false" customHeight="false" outlineLevel="0" collapsed="false">
      <c r="A1962" s="19" t="n">
        <v>45523</v>
      </c>
      <c r="B1962" s="20" t="n">
        <v>24572.65</v>
      </c>
    </row>
    <row r="1963" customFormat="false" ht="15" hidden="false" customHeight="false" outlineLevel="0" collapsed="false">
      <c r="A1963" s="19" t="n">
        <v>45524</v>
      </c>
      <c r="B1963" s="20" t="n">
        <v>24698.85</v>
      </c>
    </row>
    <row r="1964" customFormat="false" ht="15" hidden="false" customHeight="false" outlineLevel="0" collapsed="false">
      <c r="A1964" s="19" t="n">
        <v>45525</v>
      </c>
      <c r="B1964" s="20" t="n">
        <v>24770.2</v>
      </c>
    </row>
    <row r="1965" customFormat="false" ht="15" hidden="false" customHeight="false" outlineLevel="0" collapsed="false">
      <c r="A1965" s="19" t="n">
        <v>45526</v>
      </c>
      <c r="B1965" s="20" t="n">
        <v>24811.5</v>
      </c>
    </row>
    <row r="1966" customFormat="false" ht="15" hidden="false" customHeight="false" outlineLevel="0" collapsed="false">
      <c r="A1966" s="19" t="n">
        <v>45527</v>
      </c>
      <c r="B1966" s="20" t="n">
        <v>24823.15</v>
      </c>
    </row>
    <row r="1967" customFormat="false" ht="15" hidden="false" customHeight="false" outlineLevel="0" collapsed="false">
      <c r="A1967" s="19" t="n">
        <v>45530</v>
      </c>
      <c r="B1967" s="20" t="n">
        <v>25010.6</v>
      </c>
    </row>
    <row r="1968" customFormat="false" ht="15" hidden="false" customHeight="false" outlineLevel="0" collapsed="false">
      <c r="A1968" s="19" t="n">
        <v>45531</v>
      </c>
      <c r="B1968" s="20" t="n">
        <v>25017.75</v>
      </c>
    </row>
    <row r="1969" customFormat="false" ht="15" hidden="false" customHeight="false" outlineLevel="0" collapsed="false">
      <c r="A1969" s="19" t="n">
        <v>45532</v>
      </c>
      <c r="B1969" s="20" t="n">
        <v>25052.35</v>
      </c>
    </row>
    <row r="1970" customFormat="false" ht="15" hidden="false" customHeight="false" outlineLevel="0" collapsed="false">
      <c r="A1970" s="19" t="n">
        <v>45533</v>
      </c>
      <c r="B1970" s="20" t="n">
        <v>25151.95</v>
      </c>
    </row>
    <row r="1971" customFormat="false" ht="15" hidden="false" customHeight="false" outlineLevel="0" collapsed="false">
      <c r="A1971" s="19" t="n">
        <v>45534</v>
      </c>
      <c r="B1971" s="20" t="n">
        <v>25235.9</v>
      </c>
    </row>
    <row r="1972" customFormat="false" ht="15" hidden="false" customHeight="false" outlineLevel="0" collapsed="false">
      <c r="A1972" s="19" t="n">
        <v>45537</v>
      </c>
      <c r="B1972" s="20" t="n">
        <v>25278.7</v>
      </c>
    </row>
    <row r="1973" customFormat="false" ht="15" hidden="false" customHeight="false" outlineLevel="0" collapsed="false">
      <c r="A1973" s="19" t="n">
        <v>45538</v>
      </c>
      <c r="B1973" s="20" t="n">
        <v>25279.85</v>
      </c>
    </row>
    <row r="1974" customFormat="false" ht="15" hidden="false" customHeight="false" outlineLevel="0" collapsed="false">
      <c r="A1974" s="19" t="n">
        <v>45539</v>
      </c>
      <c r="B1974" s="20" t="n">
        <v>25198.7</v>
      </c>
    </row>
    <row r="1975" customFormat="false" ht="15" hidden="false" customHeight="false" outlineLevel="0" collapsed="false">
      <c r="A1975" s="19" t="n">
        <v>45540</v>
      </c>
      <c r="B1975" s="20" t="n">
        <v>25145.1</v>
      </c>
    </row>
    <row r="1976" customFormat="false" ht="15" hidden="false" customHeight="false" outlineLevel="0" collapsed="false">
      <c r="A1976" s="19" t="n">
        <v>45541</v>
      </c>
      <c r="B1976" s="20" t="n">
        <v>24852.15</v>
      </c>
    </row>
    <row r="1977" customFormat="false" ht="15" hidden="false" customHeight="false" outlineLevel="0" collapsed="false">
      <c r="A1977" s="19" t="n">
        <v>45544</v>
      </c>
      <c r="B1977" s="20" t="n">
        <v>24936.4</v>
      </c>
    </row>
    <row r="1978" customFormat="false" ht="15" hidden="false" customHeight="false" outlineLevel="0" collapsed="false">
      <c r="A1978" s="19" t="n">
        <v>45545</v>
      </c>
      <c r="B1978" s="20" t="n">
        <v>25041.1</v>
      </c>
    </row>
    <row r="1979" customFormat="false" ht="15" hidden="false" customHeight="false" outlineLevel="0" collapsed="false">
      <c r="A1979" s="19" t="n">
        <v>45546</v>
      </c>
      <c r="B1979" s="20" t="n">
        <v>24918.45</v>
      </c>
    </row>
    <row r="1980" customFormat="false" ht="15" hidden="false" customHeight="false" outlineLevel="0" collapsed="false">
      <c r="A1980" s="19" t="n">
        <v>45547</v>
      </c>
      <c r="B1980" s="20" t="n">
        <v>25388.9</v>
      </c>
    </row>
    <row r="1981" customFormat="false" ht="15" hidden="false" customHeight="false" outlineLevel="0" collapsed="false">
      <c r="A1981" s="19" t="n">
        <v>45548</v>
      </c>
      <c r="B1981" s="20" t="n">
        <v>25356.5</v>
      </c>
    </row>
    <row r="1982" customFormat="false" ht="15" hidden="false" customHeight="false" outlineLevel="0" collapsed="false">
      <c r="A1982" s="19" t="n">
        <v>45551</v>
      </c>
      <c r="B1982" s="20" t="n">
        <v>25383.75</v>
      </c>
    </row>
    <row r="1983" customFormat="false" ht="15" hidden="false" customHeight="false" outlineLevel="0" collapsed="false">
      <c r="A1983" s="19" t="n">
        <v>45552</v>
      </c>
      <c r="B1983" s="20" t="n">
        <v>25418.55</v>
      </c>
    </row>
    <row r="1984" customFormat="false" ht="15" hidden="false" customHeight="false" outlineLevel="0" collapsed="false">
      <c r="A1984" s="19" t="n">
        <v>45553</v>
      </c>
      <c r="B1984" s="20" t="n">
        <v>25377.55</v>
      </c>
    </row>
    <row r="1985" customFormat="false" ht="15" hidden="false" customHeight="false" outlineLevel="0" collapsed="false">
      <c r="A1985" s="19" t="n">
        <v>45554</v>
      </c>
      <c r="B1985" s="20" t="n">
        <v>25415.8</v>
      </c>
    </row>
    <row r="1986" customFormat="false" ht="15" hidden="false" customHeight="false" outlineLevel="0" collapsed="false">
      <c r="A1986" s="19" t="n">
        <v>45555</v>
      </c>
      <c r="B1986" s="20" t="n">
        <v>25790.95</v>
      </c>
    </row>
    <row r="1987" customFormat="false" ht="15" hidden="false" customHeight="false" outlineLevel="0" collapsed="false">
      <c r="A1987" s="19" t="n">
        <v>45558</v>
      </c>
      <c r="B1987" s="20" t="n">
        <v>25939.05</v>
      </c>
    </row>
    <row r="1988" customFormat="false" ht="15" hidden="false" customHeight="false" outlineLevel="0" collapsed="false">
      <c r="A1988" s="19" t="n">
        <v>45559</v>
      </c>
      <c r="B1988" s="20" t="n">
        <v>25940.4</v>
      </c>
    </row>
    <row r="1989" customFormat="false" ht="15" hidden="false" customHeight="false" outlineLevel="0" collapsed="false">
      <c r="A1989" s="19" t="n">
        <v>45560</v>
      </c>
      <c r="B1989" s="20" t="n">
        <v>26004.15</v>
      </c>
    </row>
    <row r="1990" customFormat="false" ht="15" hidden="false" customHeight="false" outlineLevel="0" collapsed="false">
      <c r="A1990" s="19" t="n">
        <v>45561</v>
      </c>
      <c r="B1990" s="20" t="n">
        <v>26216.05</v>
      </c>
    </row>
    <row r="1991" customFormat="false" ht="15" hidden="false" customHeight="false" outlineLevel="0" collapsed="false">
      <c r="A1991" s="19" t="n">
        <v>45562</v>
      </c>
      <c r="B1991" s="20" t="n">
        <v>26178.95</v>
      </c>
    </row>
    <row r="1992" customFormat="false" ht="15" hidden="false" customHeight="false" outlineLevel="0" collapsed="false">
      <c r="A1992" s="19" t="n">
        <v>45565</v>
      </c>
      <c r="B1992" s="20" t="n">
        <v>25810.85</v>
      </c>
    </row>
    <row r="1993" customFormat="false" ht="15" hidden="false" customHeight="false" outlineLevel="0" collapsed="false">
      <c r="A1993" s="19" t="n">
        <v>45566</v>
      </c>
      <c r="B1993" s="20" t="n">
        <v>25796.9</v>
      </c>
    </row>
    <row r="1994" customFormat="false" ht="15" hidden="false" customHeight="false" outlineLevel="0" collapsed="false">
      <c r="A1994" s="19" t="n">
        <v>45568</v>
      </c>
      <c r="B1994" s="20" t="n">
        <v>25250.1</v>
      </c>
    </row>
    <row r="1995" customFormat="false" ht="15" hidden="false" customHeight="false" outlineLevel="0" collapsed="false">
      <c r="A1995" s="19" t="n">
        <v>45569</v>
      </c>
      <c r="B1995" s="20" t="n">
        <v>25014.6</v>
      </c>
    </row>
    <row r="1996" customFormat="false" ht="15" hidden="false" customHeight="false" outlineLevel="0" collapsed="false">
      <c r="A1996" s="19" t="n">
        <v>45572</v>
      </c>
      <c r="B1996" s="20" t="n">
        <v>24795.75</v>
      </c>
    </row>
    <row r="1997" customFormat="false" ht="15" hidden="false" customHeight="false" outlineLevel="0" collapsed="false">
      <c r="A1997" s="19" t="n">
        <v>45573</v>
      </c>
      <c r="B1997" s="20" t="n">
        <v>25013.15</v>
      </c>
    </row>
    <row r="1998" customFormat="false" ht="15" hidden="false" customHeight="false" outlineLevel="0" collapsed="false">
      <c r="A1998" s="19" t="n">
        <v>45574</v>
      </c>
      <c r="B1998" s="20" t="n">
        <v>24981.95</v>
      </c>
    </row>
    <row r="1999" customFormat="false" ht="15" hidden="false" customHeight="false" outlineLevel="0" collapsed="false">
      <c r="A1999" s="19" t="n">
        <v>45575</v>
      </c>
      <c r="B1999" s="20" t="n">
        <v>24998.45</v>
      </c>
    </row>
    <row r="2000" customFormat="false" ht="15" hidden="false" customHeight="false" outlineLevel="0" collapsed="false">
      <c r="A2000" s="19" t="n">
        <v>45576</v>
      </c>
      <c r="B2000" s="20" t="n">
        <v>24964.25</v>
      </c>
    </row>
    <row r="2001" customFormat="false" ht="15" hidden="false" customHeight="false" outlineLevel="0" collapsed="false">
      <c r="A2001" s="19" t="n">
        <v>45579</v>
      </c>
      <c r="B2001" s="20" t="n">
        <v>25127.95</v>
      </c>
    </row>
    <row r="2002" customFormat="false" ht="15" hidden="false" customHeight="false" outlineLevel="0" collapsed="false">
      <c r="A2002" s="19" t="n">
        <v>45580</v>
      </c>
      <c r="B2002" s="20" t="n">
        <v>25057.35</v>
      </c>
    </row>
    <row r="2003" customFormat="false" ht="15" hidden="false" customHeight="false" outlineLevel="0" collapsed="false">
      <c r="A2003" s="19" t="n">
        <v>45581</v>
      </c>
      <c r="B2003" s="20" t="n">
        <v>24971.3</v>
      </c>
    </row>
    <row r="2004" customFormat="false" ht="15" hidden="false" customHeight="false" outlineLevel="0" collapsed="false">
      <c r="A2004" s="19" t="n">
        <v>45582</v>
      </c>
      <c r="B2004" s="20" t="n">
        <v>24749.85</v>
      </c>
    </row>
    <row r="2005" customFormat="false" ht="15" hidden="false" customHeight="false" outlineLevel="0" collapsed="false">
      <c r="A2005" s="19" t="n">
        <v>45583</v>
      </c>
      <c r="B2005" s="20" t="n">
        <v>24854.05</v>
      </c>
    </row>
    <row r="2006" customFormat="false" ht="15" hidden="false" customHeight="false" outlineLevel="0" collapsed="false">
      <c r="A2006" s="19" t="n">
        <v>45586</v>
      </c>
      <c r="B2006" s="20" t="n">
        <v>24781.1</v>
      </c>
    </row>
    <row r="2007" customFormat="false" ht="15" hidden="false" customHeight="false" outlineLevel="0" collapsed="false">
      <c r="A2007" s="19" t="n">
        <v>45587</v>
      </c>
      <c r="B2007" s="20" t="n">
        <v>24472.1</v>
      </c>
    </row>
    <row r="2008" customFormat="false" ht="15" hidden="false" customHeight="false" outlineLevel="0" collapsed="false">
      <c r="A2008" s="19" t="n">
        <v>45588</v>
      </c>
      <c r="B2008" s="20" t="n">
        <v>24435.5</v>
      </c>
    </row>
    <row r="2009" customFormat="false" ht="15" hidden="false" customHeight="false" outlineLevel="0" collapsed="false">
      <c r="A2009" s="19" t="n">
        <v>45589</v>
      </c>
      <c r="B2009" s="20" t="n">
        <v>24399.4</v>
      </c>
    </row>
    <row r="2010" customFormat="false" ht="15" hidden="false" customHeight="false" outlineLevel="0" collapsed="false">
      <c r="A2010" s="19" t="n">
        <v>45590</v>
      </c>
      <c r="B2010" s="20" t="n">
        <v>24180.8</v>
      </c>
    </row>
    <row r="2011" customFormat="false" ht="15" hidden="false" customHeight="false" outlineLevel="0" collapsed="false">
      <c r="A2011" s="19" t="n">
        <v>45593</v>
      </c>
      <c r="B2011" s="20" t="n">
        <v>24339.15</v>
      </c>
    </row>
    <row r="2012" customFormat="false" ht="15" hidden="false" customHeight="false" outlineLevel="0" collapsed="false">
      <c r="A2012" s="19" t="n">
        <v>45594</v>
      </c>
      <c r="B2012" s="20" t="n">
        <v>24466.85</v>
      </c>
    </row>
    <row r="2013" customFormat="false" ht="15" hidden="false" customHeight="false" outlineLevel="0" collapsed="false">
      <c r="A2013" s="19" t="n">
        <v>45595</v>
      </c>
      <c r="B2013" s="20" t="n">
        <v>24340.85</v>
      </c>
    </row>
    <row r="2014" customFormat="false" ht="15" hidden="false" customHeight="false" outlineLevel="0" collapsed="false">
      <c r="A2014" s="19" t="n">
        <v>45596</v>
      </c>
      <c r="B2014" s="20" t="n">
        <v>24205.35</v>
      </c>
    </row>
    <row r="2015" customFormat="false" ht="15" hidden="false" customHeight="false" outlineLevel="0" collapsed="false">
      <c r="A2015" s="19" t="n">
        <v>45597</v>
      </c>
      <c r="B2015" s="20" t="n">
        <v>24304.35</v>
      </c>
    </row>
    <row r="2016" customFormat="false" ht="15" hidden="false" customHeight="false" outlineLevel="0" collapsed="false">
      <c r="A2016" s="19" t="n">
        <v>45600</v>
      </c>
      <c r="B2016" s="20" t="n">
        <v>23995.35</v>
      </c>
    </row>
    <row r="2017" customFormat="false" ht="15" hidden="false" customHeight="false" outlineLevel="0" collapsed="false">
      <c r="A2017" s="19" t="n">
        <v>45601</v>
      </c>
      <c r="B2017" s="20" t="n">
        <v>24213.3</v>
      </c>
    </row>
    <row r="2018" customFormat="false" ht="15" hidden="false" customHeight="false" outlineLevel="0" collapsed="false">
      <c r="A2018" s="19" t="n">
        <v>45602</v>
      </c>
      <c r="B2018" s="20" t="n">
        <v>24484.05</v>
      </c>
    </row>
    <row r="2019" customFormat="false" ht="15" hidden="false" customHeight="false" outlineLevel="0" collapsed="false">
      <c r="A2019" s="19" t="n">
        <v>45603</v>
      </c>
      <c r="B2019" s="20" t="n">
        <v>24199.35</v>
      </c>
    </row>
    <row r="2020" customFormat="false" ht="15" hidden="false" customHeight="false" outlineLevel="0" collapsed="false">
      <c r="A2020" s="19" t="n">
        <v>45604</v>
      </c>
      <c r="B2020" s="20" t="n">
        <v>24148.2</v>
      </c>
    </row>
    <row r="2021" customFormat="false" ht="15" hidden="false" customHeight="false" outlineLevel="0" collapsed="false">
      <c r="A2021" s="19" t="n">
        <v>45607</v>
      </c>
      <c r="B2021" s="20" t="n">
        <v>24141.3</v>
      </c>
    </row>
    <row r="2022" customFormat="false" ht="15" hidden="false" customHeight="false" outlineLevel="0" collapsed="false">
      <c r="A2022" s="19" t="n">
        <v>45608</v>
      </c>
      <c r="B2022" s="20" t="n">
        <v>23883.45</v>
      </c>
    </row>
    <row r="2023" customFormat="false" ht="15" hidden="false" customHeight="false" outlineLevel="0" collapsed="false">
      <c r="A2023" s="19" t="n">
        <v>45609</v>
      </c>
      <c r="B2023" s="20" t="n">
        <v>23559.05</v>
      </c>
    </row>
    <row r="2024" customFormat="false" ht="15" hidden="false" customHeight="false" outlineLevel="0" collapsed="false">
      <c r="A2024" s="19" t="n">
        <v>45610</v>
      </c>
      <c r="B2024" s="20" t="n">
        <v>23532.7</v>
      </c>
    </row>
    <row r="2025" customFormat="false" ht="15" hidden="false" customHeight="false" outlineLevel="0" collapsed="false">
      <c r="A2025" s="19" t="n">
        <v>45614</v>
      </c>
      <c r="B2025" s="20" t="n">
        <v>23453.8</v>
      </c>
    </row>
    <row r="2026" customFormat="false" ht="15" hidden="false" customHeight="false" outlineLevel="0" collapsed="false">
      <c r="A2026" s="19" t="n">
        <v>45615</v>
      </c>
      <c r="B2026" s="20" t="n">
        <v>23518.5</v>
      </c>
    </row>
    <row r="2027" customFormat="false" ht="15" hidden="false" customHeight="false" outlineLevel="0" collapsed="false">
      <c r="A2027" s="19" t="n">
        <v>45617</v>
      </c>
      <c r="B2027" s="20" t="n">
        <v>23349.9</v>
      </c>
    </row>
    <row r="2028" customFormat="false" ht="15" hidden="false" customHeight="false" outlineLevel="0" collapsed="false">
      <c r="A2028" s="19" t="n">
        <v>45618</v>
      </c>
      <c r="B2028" s="20" t="n">
        <v>23907.25</v>
      </c>
    </row>
    <row r="2029" customFormat="false" ht="15" hidden="false" customHeight="false" outlineLevel="0" collapsed="false">
      <c r="A2029" s="19" t="n">
        <v>45621</v>
      </c>
      <c r="B2029" s="20" t="n">
        <v>24221.9</v>
      </c>
    </row>
    <row r="2030" customFormat="false" ht="15" hidden="false" customHeight="false" outlineLevel="0" collapsed="false">
      <c r="A2030" s="19" t="n">
        <v>45622</v>
      </c>
      <c r="B2030" s="20" t="n">
        <v>24194.5</v>
      </c>
    </row>
    <row r="2031" customFormat="false" ht="15" hidden="false" customHeight="false" outlineLevel="0" collapsed="false">
      <c r="A2031" s="19" t="n">
        <v>45623</v>
      </c>
      <c r="B2031" s="20" t="n">
        <v>24274.9</v>
      </c>
    </row>
    <row r="2032" customFormat="false" ht="15" hidden="false" customHeight="false" outlineLevel="0" collapsed="false">
      <c r="A2032" s="19" t="n">
        <v>45624</v>
      </c>
      <c r="B2032" s="20" t="n">
        <v>23914.15</v>
      </c>
    </row>
    <row r="2033" customFormat="false" ht="15" hidden="false" customHeight="false" outlineLevel="0" collapsed="false">
      <c r="A2033" s="19" t="n">
        <v>45625</v>
      </c>
      <c r="B2033" s="20" t="n">
        <v>24131.1</v>
      </c>
    </row>
    <row r="2034" customFormat="false" ht="15" hidden="false" customHeight="false" outlineLevel="0" collapsed="false">
      <c r="A2034" s="19" t="n">
        <v>45628</v>
      </c>
      <c r="B2034" s="20" t="n">
        <v>24276.05</v>
      </c>
    </row>
    <row r="2035" customFormat="false" ht="15" hidden="false" customHeight="false" outlineLevel="0" collapsed="false">
      <c r="A2035" s="19" t="n">
        <v>45629</v>
      </c>
      <c r="B2035" s="20" t="n">
        <v>24457.15</v>
      </c>
    </row>
    <row r="2036" customFormat="false" ht="15" hidden="false" customHeight="false" outlineLevel="0" collapsed="false">
      <c r="A2036" s="19" t="n">
        <v>45630</v>
      </c>
      <c r="B2036" s="20" t="n">
        <v>24467.45</v>
      </c>
    </row>
    <row r="2037" customFormat="false" ht="15" hidden="false" customHeight="false" outlineLevel="0" collapsed="false">
      <c r="A2037" s="19" t="n">
        <v>45631</v>
      </c>
      <c r="B2037" s="20" t="n">
        <v>24708.4</v>
      </c>
    </row>
    <row r="2038" customFormat="false" ht="15" hidden="false" customHeight="false" outlineLevel="0" collapsed="false">
      <c r="A2038" s="19" t="n">
        <v>45632</v>
      </c>
      <c r="B2038" s="20" t="n">
        <v>24677.8</v>
      </c>
    </row>
    <row r="2039" customFormat="false" ht="15" hidden="false" customHeight="false" outlineLevel="0" collapsed="false">
      <c r="A2039" s="19" t="n">
        <v>45635</v>
      </c>
      <c r="B2039" s="20" t="n">
        <v>24619</v>
      </c>
    </row>
    <row r="2040" customFormat="false" ht="15" hidden="false" customHeight="false" outlineLevel="0" collapsed="false">
      <c r="A2040" s="19" t="n">
        <v>45636</v>
      </c>
      <c r="B2040" s="20" t="n">
        <v>24610.05</v>
      </c>
    </row>
    <row r="2041" customFormat="false" ht="15" hidden="false" customHeight="false" outlineLevel="0" collapsed="false">
      <c r="A2041" s="19" t="n">
        <v>45637</v>
      </c>
      <c r="B2041" s="20" t="n">
        <v>24641.8</v>
      </c>
    </row>
    <row r="2042" customFormat="false" ht="15" hidden="false" customHeight="false" outlineLevel="0" collapsed="false">
      <c r="A2042" s="19" t="n">
        <v>45638</v>
      </c>
      <c r="B2042" s="20" t="n">
        <v>24548.7</v>
      </c>
    </row>
    <row r="2043" customFormat="false" ht="15" hidden="false" customHeight="false" outlineLevel="0" collapsed="false">
      <c r="A2043" s="19" t="n">
        <v>45639</v>
      </c>
      <c r="B2043" s="20" t="n">
        <v>24768.3</v>
      </c>
    </row>
    <row r="2044" customFormat="false" ht="15" hidden="false" customHeight="false" outlineLevel="0" collapsed="false">
      <c r="A2044" s="19" t="n">
        <v>45642</v>
      </c>
      <c r="B2044" s="20" t="n">
        <v>24668.25</v>
      </c>
    </row>
    <row r="2045" customFormat="false" ht="15" hidden="false" customHeight="false" outlineLevel="0" collapsed="false">
      <c r="A2045" s="19" t="n">
        <v>45643</v>
      </c>
      <c r="B2045" s="20" t="n">
        <v>24336</v>
      </c>
    </row>
    <row r="2046" customFormat="false" ht="15" hidden="false" customHeight="false" outlineLevel="0" collapsed="false">
      <c r="A2046" s="19" t="n">
        <v>45644</v>
      </c>
      <c r="B2046" s="20" t="n">
        <v>24198.85</v>
      </c>
    </row>
    <row r="2047" customFormat="false" ht="15" hidden="false" customHeight="false" outlineLevel="0" collapsed="false">
      <c r="A2047" s="19" t="n">
        <v>45645</v>
      </c>
      <c r="B2047" s="20" t="n">
        <v>23951.7</v>
      </c>
    </row>
    <row r="2048" customFormat="false" ht="15" hidden="false" customHeight="false" outlineLevel="0" collapsed="false">
      <c r="A2048" s="19" t="n">
        <v>45646</v>
      </c>
      <c r="B2048" s="20" t="n">
        <v>23587.5</v>
      </c>
    </row>
    <row r="2049" customFormat="false" ht="15" hidden="false" customHeight="false" outlineLevel="0" collapsed="false">
      <c r="A2049" s="19" t="n">
        <v>45649</v>
      </c>
      <c r="B2049" s="20" t="n">
        <v>23753.45</v>
      </c>
    </row>
    <row r="2050" customFormat="false" ht="15" hidden="false" customHeight="false" outlineLevel="0" collapsed="false">
      <c r="A2050" s="19" t="n">
        <v>45650</v>
      </c>
      <c r="B2050" s="20" t="n">
        <v>23727.65</v>
      </c>
    </row>
    <row r="2051" customFormat="false" ht="15" hidden="false" customHeight="false" outlineLevel="0" collapsed="false">
      <c r="A2051" s="19" t="n">
        <v>45652</v>
      </c>
      <c r="B2051" s="20" t="n">
        <v>23750.2</v>
      </c>
    </row>
    <row r="2052" customFormat="false" ht="15" hidden="false" customHeight="false" outlineLevel="0" collapsed="false">
      <c r="A2052" s="19" t="n">
        <v>45653</v>
      </c>
      <c r="B2052" s="20" t="n">
        <v>23813.4</v>
      </c>
    </row>
    <row r="2053" customFormat="false" ht="15" hidden="false" customHeight="false" outlineLevel="0" collapsed="false">
      <c r="A2053" s="19" t="n">
        <v>45656</v>
      </c>
      <c r="B2053" s="20" t="n">
        <v>23644.9</v>
      </c>
    </row>
    <row r="2054" customFormat="false" ht="15" hidden="false" customHeight="false" outlineLevel="0" collapsed="false">
      <c r="A2054" s="19" t="n">
        <v>45657</v>
      </c>
      <c r="B2054" s="20" t="n">
        <v>23644.8</v>
      </c>
    </row>
    <row r="2055" customFormat="false" ht="15" hidden="false" customHeight="false" outlineLevel="0" collapsed="false">
      <c r="A2055" s="19" t="n">
        <v>45658</v>
      </c>
      <c r="B2055" s="20" t="n">
        <v>23742.9</v>
      </c>
    </row>
    <row r="2056" customFormat="false" ht="15" hidden="false" customHeight="false" outlineLevel="0" collapsed="false">
      <c r="A2056" s="19" t="n">
        <v>45659</v>
      </c>
      <c r="B2056" s="20" t="n">
        <v>24188.65</v>
      </c>
    </row>
    <row r="2057" customFormat="false" ht="15" hidden="false" customHeight="false" outlineLevel="0" collapsed="false">
      <c r="A2057" s="19" t="n">
        <v>45660</v>
      </c>
      <c r="B2057" s="20" t="n">
        <v>24004.75</v>
      </c>
    </row>
    <row r="2058" customFormat="false" ht="15" hidden="false" customHeight="false" outlineLevel="0" collapsed="false">
      <c r="A2058" s="19" t="n">
        <v>45663</v>
      </c>
      <c r="B2058" s="20" t="n">
        <v>23616.05</v>
      </c>
    </row>
    <row r="2059" customFormat="false" ht="15" hidden="false" customHeight="false" outlineLevel="0" collapsed="false">
      <c r="A2059" s="19" t="n">
        <v>45664</v>
      </c>
      <c r="B2059" s="20" t="n">
        <v>23707.9</v>
      </c>
    </row>
    <row r="2060" customFormat="false" ht="15" hidden="false" customHeight="false" outlineLevel="0" collapsed="false">
      <c r="A2060" s="19" t="n">
        <v>45665</v>
      </c>
      <c r="B2060" s="20" t="n">
        <v>23688.95</v>
      </c>
    </row>
    <row r="2061" customFormat="false" ht="15" hidden="false" customHeight="false" outlineLevel="0" collapsed="false">
      <c r="A2061" s="19" t="n">
        <v>45666</v>
      </c>
      <c r="B2061" s="20" t="n">
        <v>23526.5</v>
      </c>
    </row>
    <row r="2062" customFormat="false" ht="15" hidden="false" customHeight="false" outlineLevel="0" collapsed="false">
      <c r="A2062" s="19" t="n">
        <v>45667</v>
      </c>
      <c r="B2062" s="20" t="n">
        <v>23431.5</v>
      </c>
    </row>
    <row r="2063" customFormat="false" ht="15" hidden="false" customHeight="false" outlineLevel="0" collapsed="false">
      <c r="A2063" s="19" t="n">
        <v>45670</v>
      </c>
      <c r="B2063" s="20" t="n">
        <v>23085.95</v>
      </c>
    </row>
    <row r="2064" customFormat="false" ht="15" hidden="false" customHeight="false" outlineLevel="0" collapsed="false">
      <c r="A2064" s="19" t="n">
        <v>45671</v>
      </c>
      <c r="B2064" s="20" t="n">
        <v>23176.05</v>
      </c>
    </row>
    <row r="2065" customFormat="false" ht="15" hidden="false" customHeight="false" outlineLevel="0" collapsed="false">
      <c r="A2065" s="19" t="n">
        <v>45672</v>
      </c>
      <c r="B2065" s="20" t="n">
        <v>23213.2</v>
      </c>
    </row>
    <row r="2066" customFormat="false" ht="15" hidden="false" customHeight="false" outlineLevel="0" collapsed="false">
      <c r="A2066" s="19" t="n">
        <v>45673</v>
      </c>
      <c r="B2066" s="20" t="n">
        <v>23311.8</v>
      </c>
    </row>
    <row r="2067" customFormat="false" ht="15" hidden="false" customHeight="false" outlineLevel="0" collapsed="false">
      <c r="A2067" s="19" t="n">
        <v>45674</v>
      </c>
      <c r="B2067" s="20" t="n">
        <v>23203.2</v>
      </c>
    </row>
    <row r="2068" customFormat="false" ht="15" hidden="false" customHeight="false" outlineLevel="0" collapsed="false">
      <c r="A2068" s="19" t="n">
        <v>45677</v>
      </c>
      <c r="B2068" s="20" t="n">
        <v>23344.75</v>
      </c>
    </row>
    <row r="2069" customFormat="false" ht="15" hidden="false" customHeight="false" outlineLevel="0" collapsed="false">
      <c r="A2069" s="19" t="n">
        <v>45678</v>
      </c>
      <c r="B2069" s="20" t="n">
        <v>23024.65</v>
      </c>
    </row>
    <row r="2070" customFormat="false" ht="15" hidden="false" customHeight="false" outlineLevel="0" collapsed="false">
      <c r="A2070" s="19" t="n">
        <v>45679</v>
      </c>
      <c r="B2070" s="20" t="n">
        <v>23155.35</v>
      </c>
    </row>
    <row r="2071" customFormat="false" ht="15" hidden="false" customHeight="false" outlineLevel="0" collapsed="false">
      <c r="A2071" s="19" t="n">
        <v>45680</v>
      </c>
      <c r="B2071" s="20" t="n">
        <v>23205.35</v>
      </c>
    </row>
    <row r="2072" customFormat="false" ht="15" hidden="false" customHeight="false" outlineLevel="0" collapsed="false">
      <c r="A2072" s="19" t="n">
        <v>45681</v>
      </c>
      <c r="B2072" s="20" t="n">
        <v>23092.2</v>
      </c>
    </row>
    <row r="2073" customFormat="false" ht="15" hidden="false" customHeight="false" outlineLevel="0" collapsed="false">
      <c r="A2073" s="19" t="n">
        <v>45684</v>
      </c>
      <c r="B2073" s="20" t="n">
        <v>22829.15</v>
      </c>
    </row>
    <row r="2074" customFormat="false" ht="15" hidden="false" customHeight="false" outlineLevel="0" collapsed="false">
      <c r="A2074" s="19" t="n">
        <v>45685</v>
      </c>
      <c r="B2074" s="20" t="n">
        <v>22957.25</v>
      </c>
    </row>
    <row r="2075" customFormat="false" ht="15" hidden="false" customHeight="false" outlineLevel="0" collapsed="false">
      <c r="A2075" s="19" t="n">
        <v>45686</v>
      </c>
      <c r="B2075" s="20" t="n">
        <v>23163.1</v>
      </c>
    </row>
    <row r="2076" customFormat="false" ht="15" hidden="false" customHeight="false" outlineLevel="0" collapsed="false">
      <c r="A2076" s="19" t="n">
        <v>45687</v>
      </c>
      <c r="B2076" s="20" t="n">
        <v>23249.5</v>
      </c>
    </row>
    <row r="2077" customFormat="false" ht="15" hidden="false" customHeight="false" outlineLevel="0" collapsed="false">
      <c r="A2077" s="19" t="n">
        <v>45688</v>
      </c>
      <c r="B2077" s="20" t="n">
        <v>23508.4</v>
      </c>
    </row>
    <row r="2078" customFormat="false" ht="15" hidden="false" customHeight="false" outlineLevel="0" collapsed="false">
      <c r="A2078" s="19" t="n">
        <v>45689</v>
      </c>
      <c r="B2078" s="20" t="n">
        <v>23482.15</v>
      </c>
    </row>
    <row r="2079" customFormat="false" ht="15" hidden="false" customHeight="false" outlineLevel="0" collapsed="false">
      <c r="A2079" s="19" t="n">
        <v>45691</v>
      </c>
      <c r="B2079" s="20" t="n">
        <v>23361.05</v>
      </c>
    </row>
    <row r="2080" customFormat="false" ht="15" hidden="false" customHeight="false" outlineLevel="0" collapsed="false">
      <c r="A2080" s="19" t="n">
        <v>45692</v>
      </c>
      <c r="B2080" s="20" t="n">
        <v>23739.25</v>
      </c>
    </row>
    <row r="2081" customFormat="false" ht="15" hidden="false" customHeight="false" outlineLevel="0" collapsed="false">
      <c r="A2081" s="19" t="n">
        <v>45693</v>
      </c>
      <c r="B2081" s="20" t="n">
        <v>23696.3</v>
      </c>
    </row>
    <row r="2082" customFormat="false" ht="15" hidden="false" customHeight="false" outlineLevel="0" collapsed="false">
      <c r="A2082" s="19" t="n">
        <v>45694</v>
      </c>
      <c r="B2082" s="20" t="n">
        <v>23603.35</v>
      </c>
    </row>
    <row r="2083" customFormat="false" ht="15" hidden="false" customHeight="false" outlineLevel="0" collapsed="false">
      <c r="A2083" s="19" t="n">
        <v>45695</v>
      </c>
      <c r="B2083" s="20" t="n">
        <v>23559.95</v>
      </c>
    </row>
    <row r="2084" customFormat="false" ht="15" hidden="false" customHeight="false" outlineLevel="0" collapsed="false">
      <c r="A2084" s="19" t="n">
        <v>45698</v>
      </c>
      <c r="B2084" s="20" t="n">
        <v>23381.6</v>
      </c>
    </row>
    <row r="2085" customFormat="false" ht="15" hidden="false" customHeight="false" outlineLevel="0" collapsed="false">
      <c r="A2085" s="19" t="n">
        <v>45699</v>
      </c>
      <c r="B2085" s="20" t="n">
        <v>23071.8</v>
      </c>
    </row>
    <row r="2086" customFormat="false" ht="15" hidden="false" customHeight="false" outlineLevel="0" collapsed="false">
      <c r="A2086" s="19" t="n">
        <v>45700</v>
      </c>
      <c r="B2086" s="20" t="n">
        <v>23045.25</v>
      </c>
    </row>
    <row r="2087" customFormat="false" ht="15" hidden="false" customHeight="false" outlineLevel="0" collapsed="false">
      <c r="A2087" s="19" t="n">
        <v>45701</v>
      </c>
      <c r="B2087" s="20" t="n">
        <v>23031.4</v>
      </c>
    </row>
    <row r="2088" customFormat="false" ht="15" hidden="false" customHeight="false" outlineLevel="0" collapsed="false">
      <c r="A2088" s="19" t="n">
        <v>45702</v>
      </c>
      <c r="B2088" s="20" t="n">
        <v>22929.25</v>
      </c>
    </row>
    <row r="2089" customFormat="false" ht="15" hidden="false" customHeight="false" outlineLevel="0" collapsed="false">
      <c r="A2089" s="19" t="n">
        <v>45705</v>
      </c>
      <c r="B2089" s="20" t="n">
        <v>22959.5</v>
      </c>
    </row>
    <row r="2090" customFormat="false" ht="15" hidden="false" customHeight="false" outlineLevel="0" collapsed="false">
      <c r="A2090" s="19" t="n">
        <v>45706</v>
      </c>
      <c r="B2090" s="20" t="n">
        <v>22945.3</v>
      </c>
    </row>
    <row r="2091" customFormat="false" ht="15" hidden="false" customHeight="false" outlineLevel="0" collapsed="false">
      <c r="A2091" s="19" t="n">
        <v>45707</v>
      </c>
      <c r="B2091" s="20" t="n">
        <v>22932.9</v>
      </c>
    </row>
    <row r="2092" customFormat="false" ht="15" hidden="false" customHeight="false" outlineLevel="0" collapsed="false">
      <c r="A2092" s="19" t="n">
        <v>45708</v>
      </c>
      <c r="B2092" s="20" t="n">
        <v>22913.15</v>
      </c>
    </row>
    <row r="2093" customFormat="false" ht="15" hidden="false" customHeight="false" outlineLevel="0" collapsed="false">
      <c r="A2093" s="19" t="n">
        <v>45709</v>
      </c>
      <c r="B2093" s="20" t="n">
        <v>22795.9</v>
      </c>
    </row>
    <row r="2094" customFormat="false" ht="15" hidden="false" customHeight="false" outlineLevel="0" collapsed="false">
      <c r="A2094" s="19" t="n">
        <v>45712</v>
      </c>
      <c r="B2094" s="20" t="n">
        <v>22553.35</v>
      </c>
    </row>
    <row r="2095" customFormat="false" ht="15" hidden="false" customHeight="false" outlineLevel="0" collapsed="false">
      <c r="A2095" s="19" t="n">
        <v>45713</v>
      </c>
      <c r="B2095" s="20" t="n">
        <v>22547.55</v>
      </c>
    </row>
    <row r="2096" customFormat="false" ht="15" hidden="false" customHeight="false" outlineLevel="0" collapsed="false">
      <c r="A2096" s="19" t="n">
        <v>45715</v>
      </c>
      <c r="B2096" s="20" t="n">
        <v>22545.05</v>
      </c>
    </row>
    <row r="2097" customFormat="false" ht="15" hidden="false" customHeight="false" outlineLevel="0" collapsed="false">
      <c r="A2097" s="19" t="n">
        <v>45716</v>
      </c>
      <c r="B2097" s="20" t="n">
        <v>22124.7</v>
      </c>
    </row>
    <row r="2098" customFormat="false" ht="15" hidden="false" customHeight="false" outlineLevel="0" collapsed="false">
      <c r="A2098" s="19" t="n">
        <v>45719</v>
      </c>
      <c r="B2098" s="20" t="n">
        <v>22119.3</v>
      </c>
    </row>
    <row r="2099" customFormat="false" ht="15" hidden="false" customHeight="false" outlineLevel="0" collapsed="false">
      <c r="A2099" s="19" t="n">
        <v>45720</v>
      </c>
      <c r="B2099" s="20" t="n">
        <v>22082.65</v>
      </c>
    </row>
    <row r="2100" customFormat="false" ht="15" hidden="false" customHeight="false" outlineLevel="0" collapsed="false">
      <c r="A2100" s="19" t="n">
        <v>45721</v>
      </c>
      <c r="B2100" s="20" t="n">
        <v>22337.3</v>
      </c>
    </row>
    <row r="2101" customFormat="false" ht="15" hidden="false" customHeight="false" outlineLevel="0" collapsed="false">
      <c r="A2101" s="19" t="n">
        <v>45722</v>
      </c>
      <c r="B2101" s="20" t="n">
        <v>22544.7</v>
      </c>
    </row>
    <row r="2102" customFormat="false" ht="15" hidden="false" customHeight="false" outlineLevel="0" collapsed="false">
      <c r="A2102" s="19" t="n">
        <v>45723</v>
      </c>
      <c r="B2102" s="20" t="n">
        <v>22552.5</v>
      </c>
    </row>
    <row r="2103" customFormat="false" ht="15" hidden="false" customHeight="false" outlineLevel="0" collapsed="false">
      <c r="A2103" s="19" t="n">
        <v>45726</v>
      </c>
      <c r="B2103" s="20" t="n">
        <v>22460.3</v>
      </c>
    </row>
    <row r="2104" customFormat="false" ht="15" hidden="false" customHeight="false" outlineLevel="0" collapsed="false">
      <c r="A2104" s="19" t="n">
        <v>45727</v>
      </c>
      <c r="B2104" s="20" t="n">
        <v>22497.9</v>
      </c>
    </row>
    <row r="2105" customFormat="false" ht="15" hidden="false" customHeight="false" outlineLevel="0" collapsed="false">
      <c r="A2105" s="19" t="n">
        <v>45728</v>
      </c>
      <c r="B2105" s="20" t="n">
        <v>22470.5</v>
      </c>
    </row>
    <row r="2106" customFormat="false" ht="15" hidden="false" customHeight="false" outlineLevel="0" collapsed="false">
      <c r="A2106" s="19" t="n">
        <v>45729</v>
      </c>
      <c r="B2106" s="20" t="n">
        <v>22397.2</v>
      </c>
    </row>
    <row r="2107" customFormat="false" ht="15" hidden="false" customHeight="false" outlineLevel="0" collapsed="false">
      <c r="A2107" s="19" t="n">
        <v>45733</v>
      </c>
      <c r="B2107" s="20" t="n">
        <v>22508.75</v>
      </c>
    </row>
    <row r="2108" customFormat="false" ht="15" hidden="false" customHeight="false" outlineLevel="0" collapsed="false">
      <c r="A2108" s="19" t="n">
        <v>45734</v>
      </c>
      <c r="B2108" s="20" t="n">
        <v>22834.3</v>
      </c>
    </row>
    <row r="2109" customFormat="false" ht="15" hidden="false" customHeight="false" outlineLevel="0" collapsed="false">
      <c r="A2109" s="19" t="n">
        <v>45735</v>
      </c>
      <c r="B2109" s="20" t="n">
        <v>22907.6</v>
      </c>
    </row>
    <row r="2110" customFormat="false" ht="15" hidden="false" customHeight="false" outlineLevel="0" collapsed="false">
      <c r="A2110" s="19" t="n">
        <v>45736</v>
      </c>
      <c r="B2110" s="20" t="n">
        <v>23190.65</v>
      </c>
    </row>
    <row r="2111" customFormat="false" ht="15" hidden="false" customHeight="false" outlineLevel="0" collapsed="false">
      <c r="A2111" s="19" t="n">
        <v>45737</v>
      </c>
      <c r="B2111" s="20" t="n">
        <v>23350.4</v>
      </c>
    </row>
    <row r="2112" customFormat="false" ht="15" hidden="false" customHeight="false" outlineLevel="0" collapsed="false">
      <c r="A2112" s="19" t="n">
        <v>45740</v>
      </c>
      <c r="B2112" s="20" t="n">
        <v>23658.35</v>
      </c>
    </row>
    <row r="2113" customFormat="false" ht="15" hidden="false" customHeight="false" outlineLevel="0" collapsed="false">
      <c r="A2113" s="19" t="n">
        <v>45741</v>
      </c>
      <c r="B2113" s="20" t="n">
        <v>23668.65</v>
      </c>
    </row>
    <row r="2114" customFormat="false" ht="15" hidden="false" customHeight="false" outlineLevel="0" collapsed="false">
      <c r="A2114" s="19" t="n">
        <v>45742</v>
      </c>
      <c r="B2114" s="20" t="n">
        <v>23486.85</v>
      </c>
    </row>
    <row r="2115" customFormat="false" ht="15" hidden="false" customHeight="false" outlineLevel="0" collapsed="false">
      <c r="A2115" s="19" t="n">
        <v>45743</v>
      </c>
      <c r="B2115" s="20" t="n">
        <v>23591.95</v>
      </c>
    </row>
    <row r="2116" customFormat="false" ht="15" hidden="false" customHeight="false" outlineLevel="0" collapsed="false">
      <c r="A2116" s="19" t="n">
        <v>45744</v>
      </c>
      <c r="B2116" s="20" t="n">
        <v>23519.35</v>
      </c>
    </row>
    <row r="2117" customFormat="false" ht="15" hidden="false" customHeight="false" outlineLevel="0" collapsed="false">
      <c r="A2117" s="19" t="n">
        <v>45748</v>
      </c>
      <c r="B2117" s="20" t="n">
        <v>23165.7</v>
      </c>
    </row>
    <row r="2118" customFormat="false" ht="15" hidden="false" customHeight="false" outlineLevel="0" collapsed="false">
      <c r="A2118" s="19" t="n">
        <v>45749</v>
      </c>
      <c r="B2118" s="20" t="n">
        <v>23332.35</v>
      </c>
    </row>
    <row r="2119" customFormat="false" ht="15" hidden="false" customHeight="false" outlineLevel="0" collapsed="false">
      <c r="A2119" s="19" t="n">
        <v>45750</v>
      </c>
      <c r="B2119" s="20" t="n">
        <v>23250.1</v>
      </c>
    </row>
    <row r="2120" customFormat="false" ht="15" hidden="false" customHeight="false" outlineLevel="0" collapsed="false">
      <c r="A2120" s="19" t="n">
        <v>45751</v>
      </c>
      <c r="B2120" s="20" t="n">
        <v>22904.45</v>
      </c>
    </row>
    <row r="2121" customFormat="false" ht="15" hidden="false" customHeight="false" outlineLevel="0" collapsed="false">
      <c r="A2121" s="19" t="n">
        <v>45754</v>
      </c>
      <c r="B2121" s="20" t="n">
        <v>22161.6</v>
      </c>
    </row>
    <row r="2122" customFormat="false" ht="15" hidden="false" customHeight="false" outlineLevel="0" collapsed="false">
      <c r="A2122" s="19" t="n">
        <v>45755</v>
      </c>
      <c r="B2122" s="20" t="n">
        <v>22535.85</v>
      </c>
    </row>
    <row r="2123" customFormat="false" ht="15" hidden="false" customHeight="false" outlineLevel="0" collapsed="false">
      <c r="A2123" s="19" t="n">
        <v>45756</v>
      </c>
      <c r="B2123" s="20" t="n">
        <v>22399.15</v>
      </c>
    </row>
    <row r="2124" customFormat="false" ht="15" hidden="false" customHeight="false" outlineLevel="0" collapsed="false">
      <c r="A2124" s="19" t="n">
        <v>45758</v>
      </c>
      <c r="B2124" s="20" t="n">
        <v>22828.55</v>
      </c>
    </row>
    <row r="2125" customFormat="false" ht="15" hidden="false" customHeight="false" outlineLevel="0" collapsed="false">
      <c r="A2125" s="19" t="n">
        <v>45762</v>
      </c>
      <c r="B2125" s="20" t="n">
        <v>23328.55</v>
      </c>
    </row>
    <row r="2126" customFormat="false" ht="15" hidden="false" customHeight="false" outlineLevel="0" collapsed="false">
      <c r="A2126" s="19" t="n">
        <v>45763</v>
      </c>
      <c r="B2126" s="20" t="n">
        <v>23437.2</v>
      </c>
    </row>
    <row r="2127" customFormat="false" ht="15" hidden="false" customHeight="false" outlineLevel="0" collapsed="false">
      <c r="A2127" s="19" t="n">
        <v>45764</v>
      </c>
      <c r="B2127" s="20" t="n">
        <v>23851.65</v>
      </c>
    </row>
    <row r="2128" customFormat="false" ht="15" hidden="false" customHeight="false" outlineLevel="0" collapsed="false">
      <c r="A2128" s="19" t="n">
        <v>45768</v>
      </c>
      <c r="B2128" s="20" t="n">
        <v>24125.55</v>
      </c>
    </row>
    <row r="2129" customFormat="false" ht="15" hidden="false" customHeight="false" outlineLevel="0" collapsed="false">
      <c r="A2129" s="19" t="n">
        <v>45769</v>
      </c>
      <c r="B2129" s="20" t="n">
        <v>24167.25</v>
      </c>
    </row>
    <row r="2130" customFormat="false" ht="15" hidden="false" customHeight="false" outlineLevel="0" collapsed="false">
      <c r="A2130" s="19" t="n">
        <v>45770</v>
      </c>
      <c r="B2130" s="20" t="n">
        <v>24328.95</v>
      </c>
    </row>
    <row r="2131" customFormat="false" ht="15" hidden="false" customHeight="false" outlineLevel="0" collapsed="false">
      <c r="A2131" s="19" t="n">
        <v>45771</v>
      </c>
      <c r="B2131" s="20" t="n">
        <v>24246.7</v>
      </c>
    </row>
    <row r="2132" customFormat="false" ht="15" hidden="false" customHeight="false" outlineLevel="0" collapsed="false">
      <c r="A2132" s="19" t="n">
        <v>45772</v>
      </c>
      <c r="B2132" s="20" t="n">
        <v>24039.35</v>
      </c>
    </row>
    <row r="2133" customFormat="false" ht="15" hidden="false" customHeight="false" outlineLevel="0" collapsed="false">
      <c r="A2133" s="19" t="n">
        <v>45775</v>
      </c>
      <c r="B2133" s="20" t="n">
        <v>24328.5</v>
      </c>
    </row>
    <row r="2134" customFormat="false" ht="15" hidden="false" customHeight="false" outlineLevel="0" collapsed="false">
      <c r="A2134" s="19" t="n">
        <v>45776</v>
      </c>
      <c r="B2134" s="20" t="n">
        <v>24335.95</v>
      </c>
    </row>
    <row r="2135" customFormat="false" ht="15" hidden="false" customHeight="false" outlineLevel="0" collapsed="false">
      <c r="A2135" s="19" t="n">
        <v>45777</v>
      </c>
      <c r="B2135" s="20" t="n">
        <v>24334.2</v>
      </c>
    </row>
    <row r="2136" customFormat="false" ht="15" hidden="false" customHeight="false" outlineLevel="0" collapsed="false">
      <c r="A2136" s="19" t="n">
        <v>45779</v>
      </c>
      <c r="B2136" s="20" t="n">
        <v>24346.7</v>
      </c>
    </row>
    <row r="2137" customFormat="false" ht="15" hidden="false" customHeight="false" outlineLevel="0" collapsed="false">
      <c r="A2137" s="19" t="n">
        <v>45782</v>
      </c>
      <c r="B2137" s="20" t="n">
        <v>24461.15</v>
      </c>
    </row>
    <row r="2138" customFormat="false" ht="15" hidden="false" customHeight="false" outlineLevel="0" collapsed="false">
      <c r="A2138" s="19" t="n">
        <v>45783</v>
      </c>
      <c r="B2138" s="20" t="n">
        <v>24379.6</v>
      </c>
    </row>
    <row r="2139" customFormat="false" ht="15" hidden="false" customHeight="false" outlineLevel="0" collapsed="false">
      <c r="A2139" s="19" t="n">
        <v>45784</v>
      </c>
      <c r="B2139" s="20" t="n">
        <v>24414.4</v>
      </c>
    </row>
    <row r="2140" customFormat="false" ht="15" hidden="false" customHeight="false" outlineLevel="0" collapsed="false">
      <c r="A2140" s="19" t="n">
        <v>45785</v>
      </c>
      <c r="B2140" s="20" t="n">
        <v>24273.8</v>
      </c>
    </row>
    <row r="2141" customFormat="false" ht="15" hidden="false" customHeight="false" outlineLevel="0" collapsed="false">
      <c r="A2141" s="19" t="n">
        <v>45786</v>
      </c>
      <c r="B2141" s="20" t="n">
        <v>24008</v>
      </c>
    </row>
    <row r="2142" customFormat="false" ht="15" hidden="false" customHeight="false" outlineLevel="0" collapsed="false">
      <c r="A2142" s="19" t="n">
        <v>45789</v>
      </c>
      <c r="B2142" s="20" t="n">
        <v>24924.7</v>
      </c>
    </row>
    <row r="2143" customFormat="false" ht="15" hidden="false" customHeight="false" outlineLevel="0" collapsed="false">
      <c r="A2143" s="19" t="n">
        <v>45790</v>
      </c>
      <c r="B2143" s="20" t="n">
        <v>24578.35</v>
      </c>
    </row>
    <row r="2144" customFormat="false" ht="15" hidden="false" customHeight="false" outlineLevel="0" collapsed="false">
      <c r="A2144" s="19" t="n">
        <v>45791</v>
      </c>
      <c r="B2144" s="20" t="n">
        <v>24666.9</v>
      </c>
    </row>
    <row r="2145" customFormat="false" ht="15" hidden="false" customHeight="false" outlineLevel="0" collapsed="false">
      <c r="A2145" s="19" t="n">
        <v>45792</v>
      </c>
      <c r="B2145" s="20" t="n">
        <v>25062.1</v>
      </c>
    </row>
    <row r="2146" customFormat="false" ht="15" hidden="false" customHeight="false" outlineLevel="0" collapsed="false">
      <c r="A2146" s="19" t="n">
        <v>45793</v>
      </c>
      <c r="B2146" s="20" t="n">
        <v>25019.8</v>
      </c>
    </row>
    <row r="2147" customFormat="false" ht="15" hidden="false" customHeight="false" outlineLevel="0" collapsed="false">
      <c r="A2147" s="19" t="n">
        <v>45796</v>
      </c>
      <c r="B2147" s="20" t="n">
        <v>24945.45</v>
      </c>
    </row>
    <row r="2148" customFormat="false" ht="15" hidden="false" customHeight="false" outlineLevel="0" collapsed="false">
      <c r="A2148" s="19" t="n">
        <v>45797</v>
      </c>
      <c r="B2148" s="20" t="n">
        <v>24683.9</v>
      </c>
    </row>
    <row r="2149" customFormat="false" ht="15" hidden="false" customHeight="false" outlineLevel="0" collapsed="false">
      <c r="A2149" s="19" t="n">
        <v>45798</v>
      </c>
      <c r="B2149" s="20" t="n">
        <v>24813.45</v>
      </c>
    </row>
    <row r="2150" customFormat="false" ht="15" hidden="false" customHeight="false" outlineLevel="0" collapsed="false">
      <c r="A2150" s="19" t="n">
        <v>45799</v>
      </c>
      <c r="B2150" s="20" t="n">
        <v>24609.7</v>
      </c>
    </row>
    <row r="2151" customFormat="false" ht="15" hidden="false" customHeight="false" outlineLevel="0" collapsed="false">
      <c r="A2151" s="19" t="n">
        <v>45800</v>
      </c>
      <c r="B2151" s="20" t="n">
        <v>24853.15</v>
      </c>
    </row>
    <row r="2152" customFormat="false" ht="15" hidden="false" customHeight="false" outlineLevel="0" collapsed="false">
      <c r="A2152" s="19" t="n">
        <v>45803</v>
      </c>
      <c r="B2152" s="20" t="n">
        <v>25001.15</v>
      </c>
    </row>
    <row r="2153" customFormat="false" ht="15" hidden="false" customHeight="false" outlineLevel="0" collapsed="false">
      <c r="A2153" s="19" t="n">
        <v>45804</v>
      </c>
      <c r="B2153" s="20" t="n">
        <v>24826.2</v>
      </c>
    </row>
    <row r="2154" customFormat="false" ht="15" hidden="false" customHeight="false" outlineLevel="0" collapsed="false">
      <c r="A2154" s="19" t="n">
        <v>45805</v>
      </c>
      <c r="B2154" s="20" t="n">
        <v>24752.45</v>
      </c>
    </row>
    <row r="2155" customFormat="false" ht="15" hidden="false" customHeight="false" outlineLevel="0" collapsed="false">
      <c r="A2155" s="19" t="n">
        <v>45806</v>
      </c>
      <c r="B2155" s="20" t="n">
        <v>24833.6</v>
      </c>
    </row>
    <row r="2156" customFormat="false" ht="15" hidden="false" customHeight="false" outlineLevel="0" collapsed="false">
      <c r="A2156" s="19" t="n">
        <v>45807</v>
      </c>
      <c r="B2156" s="20" t="n">
        <v>24750.7</v>
      </c>
    </row>
    <row r="2157" customFormat="false" ht="15" hidden="false" customHeight="false" outlineLevel="0" collapsed="false">
      <c r="A2157" s="19" t="n">
        <v>45810</v>
      </c>
      <c r="B2157" s="20" t="n">
        <v>24716.6</v>
      </c>
    </row>
    <row r="2158" customFormat="false" ht="15" hidden="false" customHeight="false" outlineLevel="0" collapsed="false">
      <c r="A2158" s="19" t="n">
        <v>45811</v>
      </c>
      <c r="B2158" s="20" t="n">
        <v>24542.5</v>
      </c>
    </row>
    <row r="2159" customFormat="false" ht="15" hidden="false" customHeight="false" outlineLevel="0" collapsed="false">
      <c r="A2159" s="19" t="n">
        <v>45812</v>
      </c>
      <c r="B2159" s="20" t="n">
        <v>24620.2</v>
      </c>
    </row>
    <row r="2160" customFormat="false" ht="15" hidden="false" customHeight="false" outlineLevel="0" collapsed="false">
      <c r="A2160" s="19" t="n">
        <v>45813</v>
      </c>
      <c r="B2160" s="20" t="n">
        <v>24750.9</v>
      </c>
    </row>
    <row r="2161" customFormat="false" ht="15" hidden="false" customHeight="false" outlineLevel="0" collapsed="false">
      <c r="A2161" s="19" t="n">
        <v>45814</v>
      </c>
      <c r="B2161" s="20" t="n">
        <v>25003.05</v>
      </c>
    </row>
    <row r="2162" customFormat="false" ht="15" hidden="false" customHeight="false" outlineLevel="0" collapsed="false">
      <c r="A2162" s="19" t="n">
        <v>45817</v>
      </c>
      <c r="B2162" s="20" t="n">
        <v>25103.2</v>
      </c>
    </row>
    <row r="2163" customFormat="false" ht="15" hidden="false" customHeight="false" outlineLevel="0" collapsed="false">
      <c r="A2163" s="19" t="n">
        <v>45818</v>
      </c>
      <c r="B2163" s="20" t="n">
        <v>25104.25</v>
      </c>
    </row>
    <row r="2164" customFormat="false" ht="15" hidden="false" customHeight="false" outlineLevel="0" collapsed="false">
      <c r="A2164" s="19" t="n">
        <v>45819</v>
      </c>
      <c r="B2164" s="20" t="n">
        <v>25141.4</v>
      </c>
    </row>
    <row r="2165" customFormat="false" ht="15" hidden="false" customHeight="false" outlineLevel="0" collapsed="false">
      <c r="A2165" s="19" t="n">
        <v>45820</v>
      </c>
      <c r="B2165" s="20" t="n">
        <v>24888.2</v>
      </c>
    </row>
    <row r="2166" customFormat="false" ht="15" hidden="false" customHeight="false" outlineLevel="0" collapsed="false">
      <c r="A2166" s="19" t="n">
        <v>45821</v>
      </c>
      <c r="B2166" s="20" t="n">
        <v>24718.6</v>
      </c>
    </row>
    <row r="2167" customFormat="false" ht="15" hidden="false" customHeight="false" outlineLevel="0" collapsed="false">
      <c r="A2167" s="19" t="n">
        <v>45824</v>
      </c>
      <c r="B2167" s="20" t="n">
        <v>24946.5</v>
      </c>
    </row>
    <row r="2168" customFormat="false" ht="15" hidden="false" customHeight="false" outlineLevel="0" collapsed="false">
      <c r="A2168" s="19" t="n">
        <v>45825</v>
      </c>
      <c r="B2168" s="20" t="n">
        <v>24853.4</v>
      </c>
    </row>
    <row r="2169" customFormat="false" ht="15" hidden="false" customHeight="false" outlineLevel="0" collapsed="false">
      <c r="A2169" s="19" t="n">
        <v>45826</v>
      </c>
      <c r="B2169" s="20" t="n">
        <v>24812.05</v>
      </c>
    </row>
    <row r="2170" customFormat="false" ht="15" hidden="false" customHeight="false" outlineLevel="0" collapsed="false">
      <c r="A2170" s="19" t="n">
        <v>45827</v>
      </c>
      <c r="B2170" s="20" t="n">
        <v>24793.25</v>
      </c>
    </row>
    <row r="2171" customFormat="false" ht="15" hidden="false" customHeight="false" outlineLevel="0" collapsed="false">
      <c r="A2171" s="19" t="n">
        <v>45828</v>
      </c>
      <c r="B2171" s="20" t="n">
        <v>25112.4</v>
      </c>
    </row>
    <row r="2172" customFormat="false" ht="15" hidden="false" customHeight="false" outlineLevel="0" collapsed="false">
      <c r="A2172" s="19" t="n">
        <v>45831</v>
      </c>
      <c r="B2172" s="20" t="n">
        <v>24971.9</v>
      </c>
    </row>
    <row r="2173" customFormat="false" ht="15" hidden="false" customHeight="false" outlineLevel="0" collapsed="false">
      <c r="A2173" s="19" t="n">
        <v>45832</v>
      </c>
      <c r="B2173" s="20" t="n">
        <v>25044.35</v>
      </c>
    </row>
    <row r="2174" customFormat="false" ht="15" hidden="false" customHeight="false" outlineLevel="0" collapsed="false">
      <c r="A2174" s="19" t="n">
        <v>45833</v>
      </c>
      <c r="B2174" s="20" t="n">
        <v>25244.75</v>
      </c>
    </row>
    <row r="2175" customFormat="false" ht="15" hidden="false" customHeight="false" outlineLevel="0" collapsed="false">
      <c r="A2175" s="19" t="n">
        <v>45834</v>
      </c>
      <c r="B2175" s="20" t="n">
        <v>25549</v>
      </c>
    </row>
    <row r="2176" customFormat="false" ht="15" hidden="false" customHeight="false" outlineLevel="0" collapsed="false">
      <c r="A2176" s="19" t="n">
        <v>45835</v>
      </c>
      <c r="B2176" s="20" t="n">
        <v>25637.8</v>
      </c>
    </row>
    <row r="2177" customFormat="false" ht="15" hidden="false" customHeight="false" outlineLevel="0" collapsed="false">
      <c r="A2177" s="19" t="n">
        <v>45838</v>
      </c>
      <c r="B2177" s="20" t="n">
        <v>25517.05</v>
      </c>
    </row>
    <row r="2178" customFormat="false" ht="15" hidden="false" customHeight="false" outlineLevel="0" collapsed="false">
      <c r="A2178" s="19" t="n">
        <v>45839</v>
      </c>
      <c r="B2178" s="20" t="n">
        <v>25541.8</v>
      </c>
    </row>
    <row r="2179" customFormat="false" ht="15" hidden="false" customHeight="false" outlineLevel="0" collapsed="false">
      <c r="A2179" s="19" t="n">
        <v>45840</v>
      </c>
      <c r="B2179" s="20" t="n">
        <v>25453.4</v>
      </c>
    </row>
    <row r="2180" customFormat="false" ht="15" hidden="false" customHeight="false" outlineLevel="0" collapsed="false">
      <c r="A2180" s="19" t="n">
        <v>45841</v>
      </c>
      <c r="B2180" s="20" t="n">
        <v>25405.3</v>
      </c>
    </row>
    <row r="2181" customFormat="false" ht="15" hidden="false" customHeight="false" outlineLevel="0" collapsed="false">
      <c r="A2181" s="19" t="n">
        <v>45842</v>
      </c>
      <c r="B2181" s="20" t="n">
        <v>25461</v>
      </c>
    </row>
    <row r="2182" customFormat="false" ht="15" hidden="false" customHeight="false" outlineLevel="0" collapsed="false">
      <c r="A2182" s="19" t="n">
        <v>45845</v>
      </c>
      <c r="B2182" s="20" t="n">
        <v>25461.3</v>
      </c>
    </row>
    <row r="2183" customFormat="false" ht="15" hidden="false" customHeight="false" outlineLevel="0" collapsed="false">
      <c r="A2183" s="19" t="n">
        <v>45846</v>
      </c>
      <c r="B2183" s="20" t="n">
        <v>25522.5</v>
      </c>
    </row>
    <row r="2184" customFormat="false" ht="15" hidden="false" customHeight="false" outlineLevel="0" collapsed="false">
      <c r="A2184" s="19" t="n">
        <v>45847</v>
      </c>
      <c r="B2184" s="20" t="n">
        <v>25476.1</v>
      </c>
    </row>
    <row r="2185" customFormat="false" ht="15" hidden="false" customHeight="false" outlineLevel="0" collapsed="false">
      <c r="A2185" s="19" t="n">
        <v>45848</v>
      </c>
      <c r="B2185" s="20" t="n">
        <v>25355.25</v>
      </c>
    </row>
    <row r="2186" customFormat="false" ht="15" hidden="false" customHeight="false" outlineLevel="0" collapsed="false">
      <c r="A2186" s="19" t="n">
        <v>45849</v>
      </c>
      <c r="B2186" s="20" t="n">
        <v>25149.85</v>
      </c>
    </row>
    <row r="2187" customFormat="false" ht="15" hidden="false" customHeight="false" outlineLevel="0" collapsed="false">
      <c r="A2187" s="19" t="n">
        <v>45852</v>
      </c>
      <c r="B2187" s="20" t="n">
        <v>25082.3</v>
      </c>
    </row>
    <row r="2188" customFormat="false" ht="15" hidden="false" customHeight="false" outlineLevel="0" collapsed="false">
      <c r="A2188" s="19" t="n">
        <v>45853</v>
      </c>
      <c r="B2188" s="20" t="n">
        <v>25195.8</v>
      </c>
    </row>
    <row r="2189" customFormat="false" ht="15" hidden="false" customHeight="false" outlineLevel="0" collapsed="false">
      <c r="A2189" s="19" t="n">
        <v>45854</v>
      </c>
      <c r="B2189" s="20" t="n">
        <v>25212.05</v>
      </c>
    </row>
    <row r="2190" customFormat="false" ht="15" hidden="false" customHeight="false" outlineLevel="0" collapsed="false">
      <c r="A2190" s="19" t="n">
        <v>45855</v>
      </c>
      <c r="B2190" s="20" t="n">
        <v>25111.45</v>
      </c>
    </row>
    <row r="2191" customFormat="false" ht="15" hidden="false" customHeight="false" outlineLevel="0" collapsed="false">
      <c r="A2191" s="19" t="n">
        <v>45856</v>
      </c>
      <c r="B2191" s="20" t="n">
        <v>24968.4</v>
      </c>
    </row>
    <row r="2192" customFormat="false" ht="15" hidden="false" customHeight="false" outlineLevel="0" collapsed="false">
      <c r="A2192" s="19" t="n">
        <v>45859</v>
      </c>
      <c r="B2192" s="20" t="n">
        <v>25090.7</v>
      </c>
    </row>
    <row r="2193" customFormat="false" ht="15" hidden="false" customHeight="false" outlineLevel="0" collapsed="false">
      <c r="A2193" s="19" t="n">
        <v>45860</v>
      </c>
      <c r="B2193" s="20" t="n">
        <v>25060.9</v>
      </c>
    </row>
    <row r="2194" customFormat="false" ht="15" hidden="false" customHeight="false" outlineLevel="0" collapsed="false">
      <c r="A2194" s="19" t="n">
        <v>45861</v>
      </c>
      <c r="B2194" s="20" t="n">
        <v>25219.9</v>
      </c>
    </row>
    <row r="2195" customFormat="false" ht="15" hidden="false" customHeight="false" outlineLevel="0" collapsed="false">
      <c r="A2195" s="19" t="n">
        <v>45862</v>
      </c>
      <c r="B2195" s="20" t="n">
        <v>25062.1</v>
      </c>
    </row>
    <row r="2196" customFormat="false" ht="15" hidden="false" customHeight="false" outlineLevel="0" collapsed="false">
      <c r="A2196" s="19" t="n">
        <v>45863</v>
      </c>
      <c r="B2196" s="20" t="n">
        <v>24837</v>
      </c>
    </row>
    <row r="2197" customFormat="false" ht="15" hidden="false" customHeight="false" outlineLevel="0" collapsed="false">
      <c r="A2197" s="19" t="n">
        <v>45866</v>
      </c>
      <c r="B2197" s="20" t="n">
        <v>24680.9</v>
      </c>
    </row>
    <row r="2198" customFormat="false" ht="15" hidden="false" customHeight="false" outlineLevel="0" collapsed="false">
      <c r="A2198" s="19" t="n">
        <v>45867</v>
      </c>
      <c r="B2198" s="20" t="n">
        <v>24821.1</v>
      </c>
    </row>
    <row r="2199" customFormat="false" ht="15" hidden="false" customHeight="false" outlineLevel="0" collapsed="false">
      <c r="A2199" s="19" t="n">
        <v>45868</v>
      </c>
      <c r="B2199" s="20" t="n">
        <v>24855.05</v>
      </c>
    </row>
    <row r="2200" customFormat="false" ht="15" hidden="false" customHeight="false" outlineLevel="0" collapsed="false">
      <c r="A2200" s="19" t="n">
        <v>45869</v>
      </c>
      <c r="B2200" s="20" t="n">
        <v>24768.35</v>
      </c>
    </row>
    <row r="2201" customFormat="false" ht="15" hidden="false" customHeight="false" outlineLevel="0" collapsed="false">
      <c r="A2201" s="19" t="n">
        <v>45870</v>
      </c>
      <c r="B2201" s="20" t="n">
        <v>24565.35</v>
      </c>
    </row>
    <row r="2202" customFormat="false" ht="15" hidden="false" customHeight="false" outlineLevel="0" collapsed="false">
      <c r="A2202" s="19" t="n">
        <v>45873</v>
      </c>
      <c r="B2202" s="20" t="n">
        <v>24722.75</v>
      </c>
    </row>
    <row r="2203" customFormat="false" ht="15" hidden="false" customHeight="false" outlineLevel="0" collapsed="false">
      <c r="A2203" s="19" t="n">
        <v>45874</v>
      </c>
      <c r="B2203" s="20" t="n">
        <v>24649.55</v>
      </c>
    </row>
    <row r="2204" customFormat="false" ht="15" hidden="false" customHeight="false" outlineLevel="0" collapsed="false">
      <c r="A2204" s="19" t="n">
        <v>45875</v>
      </c>
      <c r="B2204" s="20" t="n">
        <v>24574.2</v>
      </c>
    </row>
    <row r="2205" customFormat="false" ht="15" hidden="false" customHeight="false" outlineLevel="0" collapsed="false">
      <c r="A2205" s="19" t="n">
        <v>45876</v>
      </c>
      <c r="B2205" s="20" t="n">
        <v>24596.15</v>
      </c>
    </row>
    <row r="2206" customFormat="false" ht="15" hidden="false" customHeight="false" outlineLevel="0" collapsed="false">
      <c r="A2206" s="19" t="n">
        <v>45877</v>
      </c>
      <c r="B2206" s="20" t="n">
        <v>24363.3</v>
      </c>
    </row>
    <row r="2207" customFormat="false" ht="15" hidden="false" customHeight="false" outlineLevel="0" collapsed="false">
      <c r="A2207" s="19" t="n">
        <v>45880</v>
      </c>
      <c r="B2207" s="20" t="n">
        <v>24585.05</v>
      </c>
    </row>
    <row r="2208" customFormat="false" ht="15" hidden="false" customHeight="false" outlineLevel="0" collapsed="false">
      <c r="A2208" s="19" t="n">
        <v>45881</v>
      </c>
      <c r="B2208" s="20" t="n">
        <v>24487.4</v>
      </c>
    </row>
    <row r="2209" customFormat="false" ht="15" hidden="false" customHeight="false" outlineLevel="0" collapsed="false">
      <c r="A2209" s="19" t="n">
        <v>45882</v>
      </c>
      <c r="B2209" s="20" t="n">
        <v>24619.35</v>
      </c>
    </row>
    <row r="2210" customFormat="false" ht="15" hidden="false" customHeight="false" outlineLevel="0" collapsed="false">
      <c r="A2210" s="19" t="n">
        <v>45883</v>
      </c>
      <c r="B2210" s="20" t="n">
        <v>24631.3</v>
      </c>
    </row>
    <row r="2211" customFormat="false" ht="15" hidden="false" customHeight="false" outlineLevel="0" collapsed="false">
      <c r="A2211" s="19" t="n">
        <v>45887</v>
      </c>
      <c r="B2211" s="20" t="n">
        <v>24876.95</v>
      </c>
    </row>
    <row r="2212" customFormat="false" ht="15" hidden="false" customHeight="false" outlineLevel="0" collapsed="false">
      <c r="A2212" s="19" t="n">
        <v>45888</v>
      </c>
      <c r="B2212" s="20" t="n">
        <v>24980.65</v>
      </c>
    </row>
    <row r="2213" customFormat="false" ht="15" hidden="false" customHeight="false" outlineLevel="0" collapsed="false">
      <c r="A2213" s="19" t="n">
        <v>45889</v>
      </c>
      <c r="B2213" s="20" t="n">
        <v>25050.55</v>
      </c>
    </row>
    <row r="2214" customFormat="false" ht="15" hidden="false" customHeight="false" outlineLevel="0" collapsed="false">
      <c r="A2214" s="19" t="n">
        <v>45890</v>
      </c>
      <c r="B2214" s="20" t="n">
        <v>25083.75</v>
      </c>
    </row>
    <row r="2215" customFormat="false" ht="15" hidden="false" customHeight="false" outlineLevel="0" collapsed="false">
      <c r="A2215" s="19" t="n">
        <v>45891</v>
      </c>
      <c r="B2215" s="20" t="n">
        <v>24870.1</v>
      </c>
    </row>
    <row r="2216" customFormat="false" ht="15" hidden="false" customHeight="false" outlineLevel="0" collapsed="false">
      <c r="A2216" s="19" t="n">
        <v>45894</v>
      </c>
      <c r="B2216" s="20" t="n">
        <v>24967.75</v>
      </c>
    </row>
    <row r="2217" customFormat="false" ht="15" hidden="false" customHeight="false" outlineLevel="0" collapsed="false">
      <c r="A2217" s="19" t="n">
        <v>45895</v>
      </c>
      <c r="B2217" s="20" t="n">
        <v>24712.05</v>
      </c>
    </row>
    <row r="2218" customFormat="false" ht="15" hidden="false" customHeight="false" outlineLevel="0" collapsed="false">
      <c r="A2218" s="19" t="n">
        <v>45897</v>
      </c>
      <c r="B2218" s="20" t="n">
        <v>24500.9</v>
      </c>
    </row>
    <row r="2219" customFormat="false" ht="15" hidden="false" customHeight="false" outlineLevel="0" collapsed="false">
      <c r="A2219" s="19" t="n">
        <v>45898</v>
      </c>
      <c r="B2219" s="20" t="n">
        <v>24426.85</v>
      </c>
    </row>
    <row r="2220" customFormat="false" ht="15" hidden="false" customHeight="false" outlineLevel="0" collapsed="false">
      <c r="A2220" s="19" t="n">
        <v>45901</v>
      </c>
      <c r="B2220" s="20" t="n">
        <v>24625.05</v>
      </c>
    </row>
    <row r="2221" customFormat="false" ht="15" hidden="false" customHeight="false" outlineLevel="0" collapsed="false">
      <c r="A2221" s="19" t="n">
        <v>45902</v>
      </c>
      <c r="B2221" s="20" t="n">
        <v>24579.6</v>
      </c>
    </row>
    <row r="2222" customFormat="false" ht="15" hidden="false" customHeight="false" outlineLevel="0" collapsed="false">
      <c r="A2222" s="19" t="n">
        <v>45903</v>
      </c>
      <c r="B2222" s="20" t="n">
        <v>24715.05</v>
      </c>
    </row>
    <row r="2223" customFormat="false" ht="15" hidden="false" customHeight="false" outlineLevel="0" collapsed="false">
      <c r="A2223" s="19" t="n">
        <v>45904</v>
      </c>
      <c r="B2223" s="20" t="n">
        <v>24734.3</v>
      </c>
    </row>
    <row r="2224" customFormat="false" ht="15" hidden="false" customHeight="false" outlineLevel="0" collapsed="false">
      <c r="A2224" s="19" t="n">
        <v>45905</v>
      </c>
      <c r="B2224" s="20" t="n">
        <v>24741</v>
      </c>
    </row>
    <row r="2225" customFormat="false" ht="15" hidden="false" customHeight="false" outlineLevel="0" collapsed="false">
      <c r="A2225" s="19" t="n">
        <v>45908</v>
      </c>
      <c r="B2225" s="20" t="n">
        <v>24773.15</v>
      </c>
    </row>
    <row r="2226" customFormat="false" ht="15" hidden="false" customHeight="false" outlineLevel="0" collapsed="false">
      <c r="A2226" s="19" t="n">
        <v>45909</v>
      </c>
      <c r="B2226" s="20" t="n">
        <v>24868.6</v>
      </c>
    </row>
    <row r="2227" customFormat="false" ht="15" hidden="false" customHeight="false" outlineLevel="0" collapsed="false">
      <c r="A2227" s="19" t="n">
        <v>45910</v>
      </c>
      <c r="B2227" s="20" t="n">
        <v>24973.1</v>
      </c>
    </row>
    <row r="2228" customFormat="false" ht="15" hidden="false" customHeight="false" outlineLevel="0" collapsed="false">
      <c r="A2228" s="19" t="n">
        <v>45911</v>
      </c>
      <c r="B2228" s="20" t="n">
        <v>25005.5</v>
      </c>
    </row>
    <row r="2229" customFormat="false" ht="15" hidden="false" customHeight="false" outlineLevel="0" collapsed="false">
      <c r="A2229" s="19" t="n">
        <v>45912</v>
      </c>
      <c r="B2229" s="20" t="n">
        <v>25114</v>
      </c>
    </row>
    <row r="2230" customFormat="false" ht="15" hidden="false" customHeight="false" outlineLevel="0" collapsed="false">
      <c r="A2230" s="19" t="n">
        <v>45915</v>
      </c>
      <c r="B2230" s="20" t="n">
        <v>25069.2</v>
      </c>
    </row>
    <row r="2231" customFormat="false" ht="15" hidden="false" customHeight="false" outlineLevel="0" collapsed="false">
      <c r="A2231" s="19" t="n">
        <v>45916</v>
      </c>
      <c r="B2231" s="20" t="n">
        <v>25239.1</v>
      </c>
    </row>
    <row r="2232" customFormat="false" ht="15" hidden="false" customHeight="false" outlineLevel="0" collapsed="false">
      <c r="A2232" s="19" t="n">
        <v>45917</v>
      </c>
      <c r="B2232" s="20" t="n">
        <v>25330.25</v>
      </c>
    </row>
    <row r="2233" customFormat="false" ht="15" hidden="false" customHeight="false" outlineLevel="0" collapsed="false">
      <c r="A2233" s="19" t="n">
        <v>45918</v>
      </c>
      <c r="B2233" s="20" t="n">
        <v>25423.6</v>
      </c>
    </row>
    <row r="2234" customFormat="false" ht="15" hidden="false" customHeight="false" outlineLevel="0" collapsed="false">
      <c r="A2234" s="19" t="n">
        <v>45919</v>
      </c>
      <c r="B2234" s="20" t="n">
        <v>25327.05</v>
      </c>
    </row>
    <row r="2235" customFormat="false" ht="15" hidden="false" customHeight="false" outlineLevel="0" collapsed="false">
      <c r="A2235" s="19" t="n">
        <v>45922</v>
      </c>
      <c r="B2235" s="20" t="n">
        <v>25202.35</v>
      </c>
    </row>
    <row r="2236" customFormat="false" ht="15" hidden="false" customHeight="false" outlineLevel="0" collapsed="false">
      <c r="A2236" s="19" t="n">
        <v>45923</v>
      </c>
      <c r="B2236" s="20" t="n">
        <v>25169.5</v>
      </c>
    </row>
    <row r="2237" customFormat="false" ht="15" hidden="false" customHeight="false" outlineLevel="0" collapsed="false">
      <c r="A2237" s="19" t="n">
        <v>45924</v>
      </c>
      <c r="B2237" s="20" t="n">
        <v>25056.9</v>
      </c>
    </row>
    <row r="2238" customFormat="false" ht="15" hidden="false" customHeight="false" outlineLevel="0" collapsed="false">
      <c r="A2238" s="19" t="n">
        <v>45925</v>
      </c>
      <c r="B2238" s="20" t="n">
        <v>24890.85</v>
      </c>
    </row>
    <row r="2239" customFormat="false" ht="15" hidden="false" customHeight="false" outlineLevel="0" collapsed="false">
      <c r="A2239" s="19" t="n">
        <v>45926</v>
      </c>
      <c r="B2239" s="20" t="n">
        <v>24654.7</v>
      </c>
    </row>
    <row r="2240" customFormat="false" ht="15" hidden="false" customHeight="false" outlineLevel="0" collapsed="false">
      <c r="A2240" s="19" t="n">
        <v>45929</v>
      </c>
      <c r="B2240" s="20" t="n">
        <v>24634.9</v>
      </c>
    </row>
    <row r="2241" customFormat="false" ht="15" hidden="false" customHeight="false" outlineLevel="0" collapsed="false">
      <c r="A2241" s="19" t="n">
        <v>45930</v>
      </c>
      <c r="B2241" s="20" t="n">
        <v>24611.1</v>
      </c>
    </row>
    <row r="2242" customFormat="false" ht="15" hidden="false" customHeight="false" outlineLevel="0" collapsed="false">
      <c r="A2242" s="19" t="n">
        <v>45931</v>
      </c>
      <c r="B2242" s="20" t="n">
        <v>24836.3</v>
      </c>
    </row>
    <row r="2243" customFormat="false" ht="15" hidden="false" customHeight="false" outlineLevel="0" collapsed="false">
      <c r="A2243" s="19" t="n">
        <v>45933</v>
      </c>
      <c r="B2243" s="20" t="n">
        <v>24894.25</v>
      </c>
    </row>
    <row r="2244" customFormat="false" ht="15" hidden="false" customHeight="false" outlineLevel="0" collapsed="false">
      <c r="A2244" s="19" t="n">
        <v>45936</v>
      </c>
      <c r="B2244" s="20" t="n">
        <v>25077.65</v>
      </c>
    </row>
    <row r="2245" customFormat="false" ht="15" hidden="false" customHeight="false" outlineLevel="0" collapsed="false">
      <c r="A2245" s="19" t="n">
        <v>45937</v>
      </c>
      <c r="B2245" s="20" t="n">
        <v>25108.3</v>
      </c>
    </row>
    <row r="2246" customFormat="false" ht="15" hidden="false" customHeight="false" outlineLevel="0" collapsed="false">
      <c r="A2246" s="19" t="n">
        <v>45938</v>
      </c>
      <c r="B2246" s="20" t="n">
        <v>25046.15</v>
      </c>
    </row>
    <row r="2247" customFormat="false" ht="15" hidden="false" customHeight="false" outlineLevel="0" collapsed="false">
      <c r="A2247" s="19" t="n">
        <v>45939</v>
      </c>
      <c r="B2247" s="20" t="n">
        <v>25181.8</v>
      </c>
    </row>
    <row r="2248" customFormat="false" ht="15" hidden="false" customHeight="false" outlineLevel="0" collapsed="false">
      <c r="A2248" s="19" t="n">
        <v>45940</v>
      </c>
      <c r="B2248" s="20" t="n">
        <v>25285.35</v>
      </c>
    </row>
    <row r="2249" customFormat="false" ht="15" hidden="false" customHeight="false" outlineLevel="0" collapsed="false">
      <c r="A2249" s="19" t="n">
        <v>45943</v>
      </c>
      <c r="B2249" s="20" t="n">
        <v>25227.35</v>
      </c>
    </row>
    <row r="2250" customFormat="false" ht="15" hidden="false" customHeight="false" outlineLevel="0" collapsed="false">
      <c r="A2250" s="19" t="n">
        <v>45944</v>
      </c>
      <c r="B2250" s="20" t="n">
        <v>25145.5</v>
      </c>
    </row>
    <row r="2251" customFormat="false" ht="15" hidden="false" customHeight="false" outlineLevel="0" collapsed="false">
      <c r="A2251" s="19" t="n">
        <v>45945</v>
      </c>
      <c r="B2251" s="20" t="n">
        <v>25323.55</v>
      </c>
    </row>
    <row r="2252" customFormat="false" ht="15" hidden="false" customHeight="false" outlineLevel="0" collapsed="false">
      <c r="A2252" s="19" t="n">
        <v>45946</v>
      </c>
      <c r="B2252" s="20" t="n">
        <v>25585.3</v>
      </c>
    </row>
    <row r="2253" customFormat="false" ht="15" hidden="false" customHeight="false" outlineLevel="0" collapsed="false">
      <c r="A2253" s="19" t="n">
        <v>45947</v>
      </c>
      <c r="B2253" s="20" t="n">
        <v>25709.85</v>
      </c>
    </row>
    <row r="2254" customFormat="false" ht="15" hidden="false" customHeight="false" outlineLevel="0" collapsed="false">
      <c r="A2254" s="19" t="n">
        <v>45950</v>
      </c>
      <c r="B2254" s="20" t="n">
        <v>25843.15</v>
      </c>
    </row>
    <row r="2255" customFormat="false" ht="15" hidden="false" customHeight="false" outlineLevel="0" collapsed="false">
      <c r="A2255" s="19" t="n">
        <v>45951</v>
      </c>
      <c r="B2255" s="20" t="n">
        <v>25868.6</v>
      </c>
    </row>
    <row r="2256" customFormat="false" ht="15" hidden="false" customHeight="false" outlineLevel="0" collapsed="false">
      <c r="A2256" s="19" t="n">
        <v>45953</v>
      </c>
      <c r="B2256" s="20" t="n">
        <v>25891.4</v>
      </c>
    </row>
    <row r="2257" customFormat="false" ht="15" hidden="false" customHeight="false" outlineLevel="0" collapsed="false">
      <c r="A2257" s="19" t="n">
        <v>45954</v>
      </c>
      <c r="B2257" s="20" t="n">
        <v>25795.15</v>
      </c>
    </row>
    <row r="2258" customFormat="false" ht="15" hidden="false" customHeight="false" outlineLevel="0" collapsed="false">
      <c r="A2258" s="19" t="n">
        <v>45957</v>
      </c>
      <c r="B2258" s="20" t="n">
        <v>25966.05</v>
      </c>
    </row>
    <row r="2259" customFormat="false" ht="15" hidden="false" customHeight="false" outlineLevel="0" collapsed="false">
      <c r="A2259" s="19" t="n">
        <v>45958</v>
      </c>
      <c r="B2259" s="20" t="n">
        <v>25936.2</v>
      </c>
    </row>
    <row r="2260" customFormat="false" ht="15" hidden="false" customHeight="false" outlineLevel="0" collapsed="false">
      <c r="A2260" s="19" t="n">
        <v>45959</v>
      </c>
      <c r="B2260" s="20" t="n">
        <v>26053.9</v>
      </c>
    </row>
    <row r="2261" customFormat="false" ht="15" hidden="false" customHeight="false" outlineLevel="0" collapsed="false">
      <c r="A2261" s="19" t="n">
        <v>45960</v>
      </c>
      <c r="B2261" s="20" t="n">
        <v>25877.85</v>
      </c>
    </row>
    <row r="2262" customFormat="false" ht="15" hidden="false" customHeight="false" outlineLevel="0" collapsed="false">
      <c r="A2262" s="19" t="n">
        <v>45961</v>
      </c>
      <c r="B2262" s="20" t="n">
        <v>25722.1</v>
      </c>
    </row>
    <row r="2263" customFormat="false" ht="15" hidden="false" customHeight="false" outlineLevel="0" collapsed="false">
      <c r="A2263" s="19" t="n">
        <v>45964</v>
      </c>
      <c r="B2263" s="20" t="n">
        <v>25763.35</v>
      </c>
    </row>
    <row r="2264" customFormat="false" ht="15" hidden="false" customHeight="false" outlineLevel="0" collapsed="false">
      <c r="A2264" s="19" t="n">
        <v>45965</v>
      </c>
      <c r="B2264" s="20" t="n">
        <v>25597.65</v>
      </c>
    </row>
    <row r="2265" customFormat="false" ht="15" hidden="false" customHeight="false" outlineLevel="0" collapsed="false">
      <c r="A2265" s="19" t="n">
        <v>45967</v>
      </c>
      <c r="B2265" s="20" t="n">
        <v>25509.7</v>
      </c>
    </row>
    <row r="2266" customFormat="false" ht="15" hidden="false" customHeight="false" outlineLevel="0" collapsed="false">
      <c r="A2266" s="19" t="n">
        <v>45968</v>
      </c>
      <c r="B2266" s="20" t="n">
        <v>25492.3</v>
      </c>
    </row>
    <row r="2267" customFormat="false" ht="15" hidden="false" customHeight="false" outlineLevel="0" collapsed="false">
      <c r="A2267" s="19" t="n">
        <v>45971</v>
      </c>
      <c r="B2267" s="20" t="n">
        <v>25574.35</v>
      </c>
    </row>
    <row r="2268" customFormat="false" ht="15" hidden="false" customHeight="false" outlineLevel="0" collapsed="false">
      <c r="A2268" s="19" t="n">
        <v>45972</v>
      </c>
      <c r="B2268" s="20" t="n">
        <v>25694.95</v>
      </c>
    </row>
    <row r="2269" customFormat="false" ht="15" hidden="false" customHeight="false" outlineLevel="0" collapsed="false">
      <c r="A2269" s="19" t="n">
        <v>45973</v>
      </c>
      <c r="B2269" s="20" t="n">
        <v>25875.8</v>
      </c>
    </row>
    <row r="2270" customFormat="false" ht="15" hidden="false" customHeight="false" outlineLevel="0" collapsed="false">
      <c r="A2270" s="19" t="n">
        <v>45974</v>
      </c>
      <c r="B2270" s="20" t="n">
        <v>25879.15</v>
      </c>
    </row>
    <row r="2271" customFormat="false" ht="15" hidden="false" customHeight="false" outlineLevel="0" collapsed="false">
      <c r="A2271" s="19" t="n">
        <v>45975</v>
      </c>
      <c r="B2271" s="20" t="n">
        <v>25910.05</v>
      </c>
    </row>
    <row r="2272" customFormat="false" ht="15" hidden="false" customHeight="false" outlineLevel="0" collapsed="false">
      <c r="A2272" s="19" t="n">
        <v>45978</v>
      </c>
      <c r="B2272" s="20" t="n">
        <v>26013.45</v>
      </c>
    </row>
    <row r="2273" customFormat="false" ht="15" hidden="false" customHeight="false" outlineLevel="0" collapsed="false">
      <c r="A2273" s="19" t="n">
        <v>45979</v>
      </c>
      <c r="B2273" s="20" t="n">
        <v>25910.05</v>
      </c>
    </row>
    <row r="2274" customFormat="false" ht="15" hidden="false" customHeight="false" outlineLevel="0" collapsed="false">
      <c r="A2274" s="19" t="n">
        <v>45980</v>
      </c>
      <c r="B2274" s="20" t="n">
        <v>26052.65</v>
      </c>
    </row>
    <row r="2275" customFormat="false" ht="15" hidden="false" customHeight="false" outlineLevel="0" collapsed="false">
      <c r="A2275" s="19" t="n">
        <v>45981</v>
      </c>
      <c r="B2275" s="20" t="n">
        <v>26192.15</v>
      </c>
    </row>
    <row r="2276" customFormat="false" ht="15" hidden="false" customHeight="false" outlineLevel="0" collapsed="false">
      <c r="A2276" s="19" t="n">
        <v>45982</v>
      </c>
      <c r="B2276" s="20" t="n">
        <v>26068.15</v>
      </c>
    </row>
    <row r="2277" customFormat="false" ht="15" hidden="false" customHeight="false" outlineLevel="0" collapsed="false">
      <c r="A2277" s="19" t="n">
        <v>45985</v>
      </c>
      <c r="B2277" s="20" t="n">
        <v>25959.5</v>
      </c>
    </row>
    <row r="2278" customFormat="false" ht="15" hidden="false" customHeight="false" outlineLevel="0" collapsed="false">
      <c r="A2278" s="19" t="n">
        <v>45986</v>
      </c>
      <c r="B2278" s="20" t="n">
        <v>25884.8</v>
      </c>
    </row>
    <row r="2279" customFormat="false" ht="15" hidden="false" customHeight="false" outlineLevel="0" collapsed="false">
      <c r="A2279" s="19" t="n">
        <v>45987</v>
      </c>
      <c r="B2279" s="20" t="n">
        <v>26205.3</v>
      </c>
    </row>
    <row r="2280" customFormat="false" ht="15" hidden="false" customHeight="false" outlineLevel="0" collapsed="false">
      <c r="A2280" s="19" t="n">
        <v>45988</v>
      </c>
      <c r="B2280" s="20" t="n">
        <v>26215.55</v>
      </c>
    </row>
    <row r="2281" customFormat="false" ht="15" hidden="false" customHeight="false" outlineLevel="0" collapsed="false">
      <c r="A2281" s="19" t="n">
        <v>45989</v>
      </c>
      <c r="B2281" s="20" t="n">
        <v>26202.95</v>
      </c>
    </row>
    <row r="2282" customFormat="false" ht="15" hidden="false" customHeight="false" outlineLevel="0" collapsed="false">
      <c r="A2282" s="19" t="n">
        <v>45992</v>
      </c>
      <c r="B2282" s="20" t="n">
        <v>26175.75</v>
      </c>
    </row>
    <row r="2283" customFormat="false" ht="15" hidden="false" customHeight="false" outlineLevel="0" collapsed="false">
      <c r="A2283" s="19" t="n">
        <v>45993</v>
      </c>
      <c r="B2283" s="20" t="n">
        <v>26032.2</v>
      </c>
    </row>
    <row r="2284" customFormat="false" ht="15" hidden="false" customHeight="false" outlineLevel="0" collapsed="false">
      <c r="A2284" s="19" t="n">
        <v>45994</v>
      </c>
      <c r="B2284" s="20" t="n">
        <v>25986</v>
      </c>
    </row>
    <row r="2285" customFormat="false" ht="15" hidden="false" customHeight="false" outlineLevel="0" collapsed="false">
      <c r="A2285" s="19" t="n">
        <v>45995</v>
      </c>
      <c r="B2285" s="20" t="n">
        <v>26033.75</v>
      </c>
    </row>
    <row r="2286" customFormat="false" ht="15" hidden="false" customHeight="false" outlineLevel="0" collapsed="false">
      <c r="A2286" s="19" t="n">
        <v>45996</v>
      </c>
      <c r="B2286" s="20" t="n">
        <v>26186.45</v>
      </c>
    </row>
    <row r="2287" customFormat="false" ht="15" hidden="false" customHeight="false" outlineLevel="0" collapsed="false">
      <c r="A2287" s="19" t="n">
        <v>45999</v>
      </c>
      <c r="B2287" s="20" t="n">
        <v>25960.55</v>
      </c>
    </row>
    <row r="2288" customFormat="false" ht="15" hidden="false" customHeight="false" outlineLevel="0" collapsed="false">
      <c r="A2288" s="19" t="n">
        <v>46000</v>
      </c>
      <c r="B2288" s="20" t="n">
        <v>25839.65</v>
      </c>
    </row>
    <row r="2289" customFormat="false" ht="15" hidden="false" customHeight="false" outlineLevel="0" collapsed="false">
      <c r="A2289" s="19" t="n">
        <v>46001</v>
      </c>
      <c r="B2289" s="20" t="n">
        <v>25758</v>
      </c>
    </row>
    <row r="2290" customFormat="false" ht="15" hidden="false" customHeight="false" outlineLevel="0" collapsed="false">
      <c r="A2290" s="19" t="n">
        <v>46002</v>
      </c>
      <c r="B2290" s="20" t="n">
        <v>25898.55</v>
      </c>
    </row>
    <row r="2291" customFormat="false" ht="15" hidden="false" customHeight="false" outlineLevel="0" collapsed="false">
      <c r="A2291" s="19" t="n">
        <v>46003</v>
      </c>
      <c r="B2291" s="20" t="n">
        <v>26046.95</v>
      </c>
    </row>
    <row r="2292" customFormat="false" ht="15" hidden="false" customHeight="false" outlineLevel="0" collapsed="false">
      <c r="A2292" s="19" t="n">
        <v>46006</v>
      </c>
      <c r="B2292" s="20" t="n">
        <v>26027.3</v>
      </c>
    </row>
    <row r="2293" customFormat="false" ht="15" hidden="false" customHeight="false" outlineLevel="0" collapsed="false">
      <c r="A2293" s="19" t="n">
        <v>46007</v>
      </c>
      <c r="B2293" s="20" t="n">
        <v>25860.1</v>
      </c>
    </row>
    <row r="2294" customFormat="false" ht="15" hidden="false" customHeight="false" outlineLevel="0" collapsed="false">
      <c r="A2294" s="19" t="n">
        <v>46008</v>
      </c>
      <c r="B2294" s="20" t="n">
        <v>25818.55</v>
      </c>
    </row>
    <row r="2295" customFormat="false" ht="15" hidden="false" customHeight="false" outlineLevel="0" collapsed="false">
      <c r="A2295" s="19" t="n">
        <v>46009</v>
      </c>
      <c r="B2295" s="20" t="n">
        <v>25815.55</v>
      </c>
    </row>
    <row r="2296" customFormat="false" ht="15" hidden="false" customHeight="false" outlineLevel="0" collapsed="false">
      <c r="A2296" s="19" t="n">
        <v>46010</v>
      </c>
      <c r="B2296" s="20" t="n">
        <v>25966.4</v>
      </c>
    </row>
    <row r="2297" customFormat="false" ht="15" hidden="false" customHeight="false" outlineLevel="0" collapsed="false">
      <c r="A2297" s="19" t="n">
        <v>46013</v>
      </c>
      <c r="B2297" s="20" t="n">
        <v>26172.4</v>
      </c>
    </row>
    <row r="2298" customFormat="false" ht="15" hidden="false" customHeight="false" outlineLevel="0" collapsed="false">
      <c r="A2298" s="19" t="n">
        <v>46014</v>
      </c>
      <c r="B2298" s="20" t="n">
        <v>26177.15</v>
      </c>
    </row>
    <row r="2299" customFormat="false" ht="15" hidden="false" customHeight="false" outlineLevel="0" collapsed="false">
      <c r="A2299" s="19" t="n">
        <v>46015</v>
      </c>
      <c r="B2299" s="20" t="n">
        <v>26142.1</v>
      </c>
    </row>
    <row r="2300" customFormat="false" ht="15" hidden="false" customHeight="false" outlineLevel="0" collapsed="false">
      <c r="A2300" s="19" t="n">
        <v>46017</v>
      </c>
      <c r="B2300" s="20" t="n">
        <v>26042.3</v>
      </c>
    </row>
    <row r="2301" customFormat="false" ht="15" hidden="false" customHeight="false" outlineLevel="0" collapsed="false">
      <c r="A2301" s="19" t="n">
        <v>46020</v>
      </c>
      <c r="B2301" s="20" t="n">
        <v>25942.1</v>
      </c>
    </row>
    <row r="2302" customFormat="false" ht="15" hidden="false" customHeight="false" outlineLevel="0" collapsed="false">
      <c r="A2302" s="19" t="n">
        <v>46021</v>
      </c>
      <c r="B2302" s="20" t="n">
        <v>25938.85</v>
      </c>
    </row>
    <row r="2303" customFormat="false" ht="15" hidden="false" customHeight="false" outlineLevel="0" collapsed="false">
      <c r="A2303" s="19" t="n">
        <v>46022</v>
      </c>
      <c r="B2303" s="20" t="n">
        <v>26129.6</v>
      </c>
    </row>
    <row r="2304" customFormat="false" ht="15" hidden="false" customHeight="false" outlineLevel="0" collapsed="false">
      <c r="A2304" s="19" t="n">
        <v>46023</v>
      </c>
      <c r="B2304" s="20" t="n">
        <v>26146.55</v>
      </c>
    </row>
    <row r="2305" customFormat="false" ht="15" hidden="false" customHeight="false" outlineLevel="0" collapsed="false">
      <c r="A2305" s="19" t="n">
        <v>46024</v>
      </c>
      <c r="B2305" s="20" t="n">
        <v>26328.55</v>
      </c>
    </row>
    <row r="2306" customFormat="false" ht="15" hidden="false" customHeight="false" outlineLevel="0" collapsed="false">
      <c r="A2306" s="19" t="n">
        <v>46027</v>
      </c>
      <c r="B2306" s="20" t="n">
        <v>26250.3</v>
      </c>
    </row>
    <row r="2307" customFormat="false" ht="15" hidden="false" customHeight="false" outlineLevel="0" collapsed="false">
      <c r="A2307" s="19" t="n">
        <v>46028</v>
      </c>
      <c r="B2307" s="20" t="n">
        <v>26178.7</v>
      </c>
    </row>
    <row r="2308" customFormat="false" ht="15" hidden="false" customHeight="false" outlineLevel="0" collapsed="false">
      <c r="A2308" s="19" t="n">
        <v>46029</v>
      </c>
      <c r="B2308" s="20" t="n">
        <v>26140.75</v>
      </c>
    </row>
    <row r="2309" customFormat="false" ht="15" hidden="false" customHeight="false" outlineLevel="0" collapsed="false">
      <c r="A2309" s="19" t="n">
        <v>46030</v>
      </c>
      <c r="B2309" s="20" t="n">
        <v>25876.85</v>
      </c>
    </row>
    <row r="2310" customFormat="false" ht="15" hidden="false" customHeight="false" outlineLevel="0" collapsed="false">
      <c r="A2310" s="19" t="n">
        <v>46031</v>
      </c>
      <c r="B2310" s="20" t="n">
        <v>25683.3</v>
      </c>
    </row>
    <row r="2311" customFormat="false" ht="15" hidden="false" customHeight="false" outlineLevel="0" collapsed="false">
      <c r="A2311" s="19" t="n">
        <v>46034</v>
      </c>
      <c r="B2311" s="20" t="n">
        <v>25790.25</v>
      </c>
    </row>
    <row r="2312" customFormat="false" ht="15" hidden="false" customHeight="false" outlineLevel="0" collapsed="false">
      <c r="A2312" s="19" t="n">
        <v>46035</v>
      </c>
      <c r="B2312" s="20" t="n">
        <v>25732.3</v>
      </c>
    </row>
    <row r="2313" customFormat="false" ht="15" hidden="false" customHeight="false" outlineLevel="0" collapsed="false">
      <c r="A2313" s="19" t="n">
        <v>46036</v>
      </c>
      <c r="B2313" s="20" t="n">
        <v>25665.6</v>
      </c>
    </row>
    <row r="2314" customFormat="false" ht="15" hidden="false" customHeight="false" outlineLevel="0" collapsed="false">
      <c r="A2314" s="19" t="n">
        <v>46038</v>
      </c>
      <c r="B2314" s="20" t="n">
        <v>25694.35</v>
      </c>
    </row>
    <row r="2315" customFormat="false" ht="15" hidden="false" customHeight="false" outlineLevel="0" collapsed="false">
      <c r="A2315" s="19" t="n">
        <v>46041</v>
      </c>
      <c r="B2315" s="20" t="n">
        <v>25585.5</v>
      </c>
    </row>
    <row r="2316" customFormat="false" ht="15" hidden="false" customHeight="false" outlineLevel="0" collapsed="false">
      <c r="A2316" s="19" t="n">
        <v>46042</v>
      </c>
      <c r="B2316" s="20" t="n">
        <v>25232.5</v>
      </c>
    </row>
    <row r="2317" customFormat="false" ht="15" hidden="false" customHeight="false" outlineLevel="0" collapsed="false">
      <c r="A2317" s="19" t="n">
        <v>46043</v>
      </c>
      <c r="B2317" s="20" t="n">
        <v>25157.5</v>
      </c>
    </row>
    <row r="2318" customFormat="false" ht="15" hidden="false" customHeight="false" outlineLevel="0" collapsed="false">
      <c r="A2318" s="19" t="n">
        <v>46044</v>
      </c>
      <c r="B2318" s="20" t="n">
        <v>25289.9</v>
      </c>
    </row>
    <row r="2319" customFormat="false" ht="15" hidden="false" customHeight="false" outlineLevel="0" collapsed="false">
      <c r="A2319" s="19" t="n">
        <v>46045</v>
      </c>
      <c r="B2319" s="20" t="n">
        <v>25048.65</v>
      </c>
    </row>
    <row r="2320" customFormat="false" ht="15" hidden="false" customHeight="false" outlineLevel="0" collapsed="false">
      <c r="A2320" s="19" t="n">
        <v>46049</v>
      </c>
      <c r="B2320" s="20" t="n">
        <v>25175.4</v>
      </c>
    </row>
    <row r="2321" customFormat="false" ht="15" hidden="false" customHeight="false" outlineLevel="0" collapsed="false">
      <c r="A2321" s="19" t="n">
        <v>46050</v>
      </c>
      <c r="B2321" s="20" t="n">
        <v>25342.75</v>
      </c>
    </row>
    <row r="2322" customFormat="false" ht="15" hidden="false" customHeight="false" outlineLevel="0" collapsed="false">
      <c r="A2322" s="19" t="n">
        <v>46051</v>
      </c>
      <c r="B2322" s="20" t="n">
        <v>25418.9</v>
      </c>
    </row>
    <row r="2323" customFormat="false" ht="15" hidden="false" customHeight="false" outlineLevel="0" collapsed="false">
      <c r="A2323" s="19" t="n">
        <v>46052</v>
      </c>
      <c r="B2323" s="20" t="n">
        <v>25320.65</v>
      </c>
    </row>
    <row r="2324" customFormat="false" ht="15" hidden="false" customHeight="false" outlineLevel="0" collapsed="false">
      <c r="A2324" s="19" t="n">
        <v>46055</v>
      </c>
      <c r="B2324" s="20" t="n">
        <v>25088.4</v>
      </c>
    </row>
    <row r="2325" customFormat="false" ht="15" hidden="false" customHeight="false" outlineLevel="0" collapsed="false">
      <c r="A2325" s="19" t="n">
        <v>46056</v>
      </c>
      <c r="B2325" s="20" t="n">
        <v>25727.55</v>
      </c>
    </row>
    <row r="2326" customFormat="false" ht="15" hidden="false" customHeight="false" outlineLevel="0" collapsed="false">
      <c r="A2326" s="19" t="n">
        <v>46057</v>
      </c>
      <c r="B2326" s="20" t="n">
        <v>25776</v>
      </c>
    </row>
    <row r="2327" customFormat="false" ht="15" hidden="false" customHeight="false" outlineLevel="0" collapsed="false">
      <c r="A2327" s="19" t="n">
        <v>46058</v>
      </c>
      <c r="B2327" s="20" t="n">
        <v>25642.8</v>
      </c>
    </row>
    <row r="2328" customFormat="false" ht="15" hidden="false" customHeight="false" outlineLevel="0" collapsed="false">
      <c r="A2328" s="19" t="n">
        <v>46059</v>
      </c>
      <c r="B2328" s="20" t="n">
        <v>25693.7</v>
      </c>
    </row>
    <row r="2329" customFormat="false" ht="15" hidden="false" customHeight="false" outlineLevel="0" collapsed="false">
      <c r="A2329" s="19" t="n">
        <v>46062</v>
      </c>
      <c r="B2329" s="20" t="n">
        <v>25867.3</v>
      </c>
    </row>
    <row r="2330" customFormat="false" ht="15" hidden="false" customHeight="false" outlineLevel="0" collapsed="false">
      <c r="A2330" s="19" t="n">
        <v>46063</v>
      </c>
      <c r="B2330" s="20" t="n">
        <v>25935.15</v>
      </c>
    </row>
    <row r="2331" customFormat="false" ht="15" hidden="false" customHeight="false" outlineLevel="0" collapsed="false">
      <c r="A2331" s="19" t="n">
        <v>46064</v>
      </c>
      <c r="B2331" s="20" t="n">
        <v>25953.85</v>
      </c>
    </row>
    <row r="2332" customFormat="false" ht="15" hidden="false" customHeight="false" outlineLevel="0" collapsed="false">
      <c r="A2332" s="19" t="n">
        <v>46065</v>
      </c>
      <c r="B2332" s="20" t="n">
        <v>25807.2</v>
      </c>
    </row>
    <row r="2333" customFormat="false" ht="15" hidden="false" customHeight="false" outlineLevel="0" collapsed="false">
      <c r="A2333" s="19" t="n">
        <v>46066</v>
      </c>
      <c r="B2333" s="20" t="n">
        <v>25471.1</v>
      </c>
    </row>
    <row r="2334" customFormat="false" ht="15" hidden="false" customHeight="false" outlineLevel="0" collapsed="false">
      <c r="A2334" s="19" t="n">
        <v>46069</v>
      </c>
      <c r="B2334" s="20" t="n">
        <v>25682.75</v>
      </c>
    </row>
    <row r="2335" customFormat="false" ht="15" hidden="false" customHeight="false" outlineLevel="0" collapsed="false">
      <c r="A2335" s="19" t="n">
        <v>46070</v>
      </c>
      <c r="B2335" s="20" t="n">
        <v>25725.4</v>
      </c>
    </row>
    <row r="2336" customFormat="false" ht="15" hidden="false" customHeight="false" outlineLevel="0" collapsed="false">
      <c r="A2336" s="19" t="n">
        <v>46071</v>
      </c>
      <c r="B2336" s="20" t="n">
        <v>25819.35</v>
      </c>
    </row>
    <row r="2337" customFormat="false" ht="15" hidden="false" customHeight="false" outlineLevel="0" collapsed="false">
      <c r="A2337" s="19" t="n">
        <v>46072</v>
      </c>
      <c r="B2337" s="20" t="n">
        <v>25454.35</v>
      </c>
    </row>
    <row r="2338" customFormat="false" ht="15" hidden="false" customHeight="false" outlineLevel="0" collapsed="false">
      <c r="A2338" s="19" t="n">
        <v>46073</v>
      </c>
      <c r="B2338" s="20" t="n">
        <v>25571.25</v>
      </c>
    </row>
    <row r="2339" customFormat="false" ht="15" hidden="false" customHeight="false" outlineLevel="0" collapsed="false">
      <c r="A2339" s="19" t="n">
        <v>46076</v>
      </c>
      <c r="B2339" s="20" t="n">
        <v>25713</v>
      </c>
    </row>
    <row r="2340" customFormat="false" ht="15" hidden="false" customHeight="false" outlineLevel="0" collapsed="false">
      <c r="A2340" s="19" t="n">
        <v>46077</v>
      </c>
      <c r="B2340" s="20" t="n">
        <v>25424.65</v>
      </c>
    </row>
    <row r="2341" customFormat="false" ht="15" hidden="false" customHeight="false" outlineLevel="0" collapsed="false">
      <c r="A2341" s="19" t="n">
        <v>46078</v>
      </c>
      <c r="B2341" s="20" t="n">
        <v>25482.5</v>
      </c>
    </row>
    <row r="2342" customFormat="false" ht="15" hidden="false" customHeight="false" outlineLevel="0" collapsed="false">
      <c r="A2342" s="19" t="n">
        <v>46079</v>
      </c>
      <c r="B2342" s="20" t="n">
        <v>25496.55</v>
      </c>
    </row>
    <row r="2343" customFormat="false" ht="15" hidden="false" customHeight="false" outlineLevel="0" collapsed="false">
      <c r="A2343" s="19" t="n">
        <v>46080</v>
      </c>
      <c r="B2343" s="20" t="n">
        <v>25178.65</v>
      </c>
    </row>
    <row r="2344" customFormat="false" ht="15" hidden="false" customHeight="false" outlineLevel="0" collapsed="false">
      <c r="A2344" s="19" t="n">
        <v>46083</v>
      </c>
      <c r="B2344" s="20" t="n">
        <v>24865.7</v>
      </c>
    </row>
    <row r="2345" customFormat="false" ht="15" hidden="false" customHeight="false" outlineLevel="0" collapsed="false">
      <c r="A2345" s="19" t="n">
        <v>46085</v>
      </c>
      <c r="B2345" s="20" t="n">
        <v>24480.5</v>
      </c>
    </row>
    <row r="2346" customFormat="false" ht="15" hidden="false" customHeight="false" outlineLevel="0" collapsed="false">
      <c r="A2346" s="19" t="n">
        <v>46086</v>
      </c>
      <c r="B2346" s="20" t="n">
        <v>24765.9</v>
      </c>
    </row>
    <row r="2347" customFormat="false" ht="15" hidden="false" customHeight="false" outlineLevel="0" collapsed="false">
      <c r="A2347" s="19" t="n">
        <v>46087</v>
      </c>
      <c r="B2347" s="20" t="n">
        <v>24450.45</v>
      </c>
    </row>
    <row r="2348" customFormat="false" ht="15" hidden="false" customHeight="false" outlineLevel="0" collapsed="false">
      <c r="A2348" s="19" t="n">
        <v>46090</v>
      </c>
      <c r="B2348" s="20" t="n">
        <v>24028.05</v>
      </c>
    </row>
    <row r="2349" customFormat="false" ht="15" hidden="false" customHeight="false" outlineLevel="0" collapsed="false">
      <c r="A2349" s="19" t="n">
        <v>46091</v>
      </c>
      <c r="B2349" s="20" t="n">
        <v>24261.6</v>
      </c>
    </row>
    <row r="2350" customFormat="false" ht="15" hidden="false" customHeight="false" outlineLevel="0" collapsed="false">
      <c r="A2350" s="19" t="n">
        <v>46092</v>
      </c>
      <c r="B2350" s="20" t="n">
        <v>23866.85</v>
      </c>
    </row>
    <row r="2351" customFormat="false" ht="15" hidden="false" customHeight="false" outlineLevel="0" collapsed="false">
      <c r="A2351" s="19" t="n">
        <v>46093</v>
      </c>
      <c r="B2351" s="20" t="n">
        <v>23639.15</v>
      </c>
    </row>
    <row r="2352" customFormat="false" ht="15" hidden="false" customHeight="false" outlineLevel="0" collapsed="false">
      <c r="A2352" s="19" t="n">
        <v>46094</v>
      </c>
      <c r="B2352" s="20" t="n">
        <v>23151.1</v>
      </c>
    </row>
    <row r="2353" customFormat="false" ht="15" hidden="false" customHeight="false" outlineLevel="0" collapsed="false">
      <c r="A2353" s="19" t="n">
        <v>46097</v>
      </c>
      <c r="B2353" s="20" t="n">
        <v>23408.8</v>
      </c>
    </row>
    <row r="2354" customFormat="false" ht="15" hidden="false" customHeight="false" outlineLevel="0" collapsed="false">
      <c r="A2354" s="19" t="n">
        <v>46098</v>
      </c>
      <c r="B2354" s="20" t="n">
        <v>23581.15</v>
      </c>
    </row>
    <row r="2355" customFormat="false" ht="15" hidden="false" customHeight="false" outlineLevel="0" collapsed="false">
      <c r="A2355" s="19" t="n">
        <v>46099</v>
      </c>
      <c r="B2355" s="20" t="n">
        <v>23777.8</v>
      </c>
    </row>
    <row r="2356" customFormat="false" ht="15" hidden="false" customHeight="false" outlineLevel="0" collapsed="false">
      <c r="A2356" s="19" t="n">
        <v>46100</v>
      </c>
      <c r="B2356" s="20" t="n">
        <v>23002.15</v>
      </c>
    </row>
    <row r="2357" customFormat="false" ht="15" hidden="false" customHeight="false" outlineLevel="0" collapsed="false">
      <c r="A2357" s="19" t="n">
        <v>46101</v>
      </c>
      <c r="B2357" s="20" t="n">
        <v>23114.5</v>
      </c>
    </row>
    <row r="2358" customFormat="false" ht="15" hidden="false" customHeight="false" outlineLevel="0" collapsed="false">
      <c r="A2358" s="19" t="n">
        <v>46104</v>
      </c>
      <c r="B2358" s="20" t="n">
        <v>22512.65</v>
      </c>
    </row>
    <row r="2359" customFormat="false" ht="15" hidden="false" customHeight="false" outlineLevel="0" collapsed="false">
      <c r="A2359" s="19" t="n">
        <v>46105</v>
      </c>
      <c r="B2359" s="20" t="n">
        <v>22912.4</v>
      </c>
    </row>
    <row r="2360" customFormat="false" ht="15" hidden="false" customHeight="false" outlineLevel="0" collapsed="false">
      <c r="A2360" s="19" t="n">
        <v>46106</v>
      </c>
      <c r="B2360" s="20" t="n">
        <v>23306.45</v>
      </c>
    </row>
    <row r="2361" customFormat="false" ht="15" hidden="false" customHeight="false" outlineLevel="0" collapsed="false">
      <c r="A2361" s="19" t="n">
        <v>46108</v>
      </c>
      <c r="B2361" s="20" t="n">
        <v>22819.6</v>
      </c>
    </row>
    <row r="2362" customFormat="false" ht="15" hidden="false" customHeight="false" outlineLevel="0" collapsed="false">
      <c r="A2362" s="19" t="n">
        <v>46111</v>
      </c>
      <c r="B2362" s="20" t="n">
        <v>22331.4</v>
      </c>
    </row>
    <row r="2363" customFormat="false" ht="15" hidden="false" customHeight="false" outlineLevel="0" collapsed="false">
      <c r="A2363" s="19" t="n">
        <v>46113</v>
      </c>
      <c r="B2363" s="20" t="n">
        <v>22679.4</v>
      </c>
    </row>
    <row r="2364" customFormat="false" ht="15" hidden="false" customHeight="false" outlineLevel="0" collapsed="false">
      <c r="A2364" s="19" t="n">
        <v>46114</v>
      </c>
      <c r="B2364" s="20" t="n">
        <v>22713.1</v>
      </c>
    </row>
    <row r="2365" customFormat="false" ht="15" hidden="false" customHeight="false" outlineLevel="0" collapsed="false">
      <c r="A2365" s="19" t="n">
        <v>46118</v>
      </c>
      <c r="B2365" s="20" t="n">
        <v>22968.25</v>
      </c>
    </row>
    <row r="2366" customFormat="false" ht="15" hidden="false" customHeight="false" outlineLevel="0" collapsed="false">
      <c r="A2366" s="19" t="n">
        <v>46119</v>
      </c>
      <c r="B2366" s="20" t="n">
        <v>23123.65</v>
      </c>
    </row>
    <row r="2367" customFormat="false" ht="15" hidden="false" customHeight="false" outlineLevel="0" collapsed="false">
      <c r="A2367" s="19" t="n">
        <v>46120</v>
      </c>
      <c r="B2367" s="20" t="n">
        <v>23997.35</v>
      </c>
    </row>
    <row r="2368" customFormat="false" ht="15" hidden="false" customHeight="false" outlineLevel="0" collapsed="false">
      <c r="A2368" s="19" t="n">
        <v>46121</v>
      </c>
      <c r="B2368" s="20" t="n">
        <v>23775.1</v>
      </c>
    </row>
    <row r="2369" customFormat="false" ht="15" hidden="false" customHeight="false" outlineLevel="0" collapsed="false">
      <c r="A2369" s="19" t="n">
        <v>46122</v>
      </c>
      <c r="B2369" s="20" t="n">
        <v>24050.6</v>
      </c>
    </row>
    <row r="2370" customFormat="false" ht="15" hidden="false" customHeight="false" outlineLevel="0" collapsed="false">
      <c r="A2370" s="19" t="n">
        <v>46125</v>
      </c>
      <c r="B2370" s="20" t="n">
        <v>23842.65</v>
      </c>
    </row>
    <row r="2371" customFormat="false" ht="15" hidden="false" customHeight="false" outlineLevel="0" collapsed="false">
      <c r="A2371" s="19" t="n">
        <v>46127</v>
      </c>
      <c r="B2371" s="20" t="n">
        <v>24231.3</v>
      </c>
    </row>
    <row r="2372" customFormat="false" ht="15" hidden="false" customHeight="false" outlineLevel="0" collapsed="false">
      <c r="A2372" s="19" t="n">
        <v>46128</v>
      </c>
      <c r="B2372" s="20" t="n">
        <v>24196.75</v>
      </c>
    </row>
    <row r="2373" customFormat="false" ht="15" hidden="false" customHeight="false" outlineLevel="0" collapsed="false">
      <c r="A2373" s="19" t="n">
        <v>46129</v>
      </c>
      <c r="B2373" s="20" t="n">
        <v>24353.55</v>
      </c>
    </row>
    <row r="2374" customFormat="false" ht="15" hidden="false" customHeight="false" outlineLevel="0" collapsed="false">
      <c r="A2374" s="19" t="n">
        <v>46132</v>
      </c>
      <c r="B2374" s="20" t="n">
        <v>24364.85</v>
      </c>
    </row>
    <row r="2375" customFormat="false" ht="15" hidden="false" customHeight="false" outlineLevel="0" collapsed="false">
      <c r="A2375" s="19" t="n">
        <v>46133</v>
      </c>
      <c r="B2375" s="20" t="n">
        <v>24576.6</v>
      </c>
    </row>
    <row r="2376" customFormat="false" ht="15" hidden="false" customHeight="false" outlineLevel="0" collapsed="false">
      <c r="A2376" s="19" t="n">
        <v>46134</v>
      </c>
      <c r="B2376" s="20" t="n">
        <v>24378.1</v>
      </c>
    </row>
    <row r="2377" customFormat="false" ht="15" hidden="false" customHeight="false" outlineLevel="0" collapsed="false">
      <c r="A2377" s="19" t="n">
        <v>46135</v>
      </c>
      <c r="B2377" s="20" t="n">
        <v>24173.05</v>
      </c>
    </row>
    <row r="2378" customFormat="false" ht="15" hidden="false" customHeight="false" outlineLevel="0" collapsed="false">
      <c r="A2378" s="19" t="n">
        <v>46136</v>
      </c>
      <c r="B2378" s="20" t="n">
        <v>23897.95</v>
      </c>
    </row>
    <row r="2379" customFormat="false" ht="15" hidden="false" customHeight="false" outlineLevel="0" collapsed="false">
      <c r="A2379" s="19" t="n">
        <v>46139</v>
      </c>
      <c r="B2379" s="20" t="n">
        <v>24092.7</v>
      </c>
    </row>
    <row r="2380" customFormat="false" ht="15" hidden="false" customHeight="false" outlineLevel="0" collapsed="false">
      <c r="A2380" s="19" t="n">
        <v>46140</v>
      </c>
      <c r="B2380" s="20" t="n">
        <v>23995.7</v>
      </c>
    </row>
    <row r="2381" customFormat="false" ht="15" hidden="false" customHeight="false" outlineLevel="0" collapsed="false">
      <c r="A2381" s="19" t="n">
        <v>46141</v>
      </c>
      <c r="B2381" s="20" t="n">
        <v>24177.65</v>
      </c>
    </row>
    <row r="2382" customFormat="false" ht="15" hidden="false" customHeight="false" outlineLevel="0" collapsed="false">
      <c r="A2382" s="19" t="n">
        <v>46142</v>
      </c>
      <c r="B2382" s="20" t="n">
        <v>23997.55</v>
      </c>
    </row>
    <row r="2383" customFormat="false" ht="15" hidden="false" customHeight="false" outlineLevel="0" collapsed="false">
      <c r="A2383" s="19" t="n">
        <v>46146</v>
      </c>
      <c r="B2383" s="20" t="n">
        <v>24119.3</v>
      </c>
    </row>
    <row r="2384" customFormat="false" ht="15" hidden="false" customHeight="false" outlineLevel="0" collapsed="false">
      <c r="A2384" s="19" t="n">
        <v>46147</v>
      </c>
      <c r="B2384" s="20" t="n">
        <v>24032.8</v>
      </c>
    </row>
    <row r="2385" customFormat="false" ht="15" hidden="false" customHeight="false" outlineLevel="0" collapsed="false">
      <c r="A2385" s="19" t="n">
        <v>46148</v>
      </c>
      <c r="B2385" s="20" t="n">
        <v>24330.95</v>
      </c>
    </row>
    <row r="2386" customFormat="false" ht="15" hidden="false" customHeight="false" outlineLevel="0" collapsed="false">
      <c r="A2386" s="19" t="n">
        <v>46149</v>
      </c>
      <c r="B2386" s="20" t="n">
        <v>24326.65</v>
      </c>
    </row>
    <row r="2387" customFormat="false" ht="15" hidden="false" customHeight="false" outlineLevel="0" collapsed="false">
      <c r="A2387" s="19" t="n">
        <v>46150</v>
      </c>
      <c r="B2387" s="20" t="n">
        <v>24176.15</v>
      </c>
    </row>
    <row r="2388" customFormat="false" ht="15" hidden="false" customHeight="false" outlineLevel="0" collapsed="false">
      <c r="A2388" s="19" t="n">
        <v>46153</v>
      </c>
      <c r="B2388" s="20" t="n">
        <v>23815.85</v>
      </c>
    </row>
    <row r="2389" customFormat="false" ht="15" hidden="false" customHeight="false" outlineLevel="0" collapsed="false">
      <c r="A2389" s="19" t="n">
        <v>46154</v>
      </c>
      <c r="B2389" s="20" t="n">
        <v>23379.55</v>
      </c>
    </row>
    <row r="2390" customFormat="false" ht="15" hidden="false" customHeight="false" outlineLevel="0" collapsed="false">
      <c r="A2390" s="19" t="n">
        <v>46155</v>
      </c>
      <c r="B2390" s="20" t="n">
        <v>23412.6</v>
      </c>
    </row>
    <row r="2391" customFormat="false" ht="15" hidden="false" customHeight="false" outlineLevel="0" collapsed="false">
      <c r="A2391" s="19" t="n">
        <v>46156</v>
      </c>
      <c r="B2391" s="20" t="n">
        <v>23689.6</v>
      </c>
    </row>
    <row r="2392" customFormat="false" ht="15" hidden="false" customHeight="false" outlineLevel="0" collapsed="false">
      <c r="A2392" s="19" t="n">
        <v>46157</v>
      </c>
      <c r="B2392" s="20" t="n">
        <v>23643.5</v>
      </c>
    </row>
    <row r="2393" customFormat="false" ht="15" hidden="false" customHeight="false" outlineLevel="0" collapsed="false">
      <c r="A2393" s="19" t="n">
        <v>46160</v>
      </c>
      <c r="B2393" s="20" t="n">
        <v>23649.95</v>
      </c>
    </row>
    <row r="2394" customFormat="false" ht="15" hidden="false" customHeight="false" outlineLevel="0" collapsed="false">
      <c r="A2394" s="19" t="n">
        <v>46161</v>
      </c>
      <c r="B2394" s="20" t="n">
        <v>23618</v>
      </c>
    </row>
    <row r="2395" customFormat="false" ht="15" hidden="false" customHeight="false" outlineLevel="0" collapsed="false">
      <c r="A2395" s="19" t="n">
        <v>46162</v>
      </c>
      <c r="B2395" s="20" t="n">
        <v>23659</v>
      </c>
    </row>
    <row r="2396" customFormat="false" ht="15" hidden="false" customHeight="false" outlineLevel="0" collapsed="false">
      <c r="A2396" s="19" t="n">
        <v>46163</v>
      </c>
      <c r="B2396" s="20" t="n">
        <v>23654.7</v>
      </c>
    </row>
    <row r="2397" customFormat="false" ht="15" hidden="false" customHeight="false" outlineLevel="0" collapsed="false">
      <c r="A2397" s="19" t="n">
        <v>46164</v>
      </c>
      <c r="B2397" s="20" t="n">
        <v>23719.3</v>
      </c>
    </row>
    <row r="2398" customFormat="false" ht="15" hidden="false" customHeight="false" outlineLevel="0" collapsed="false">
      <c r="A2398" s="19" t="n">
        <v>46167</v>
      </c>
      <c r="B2398" s="20" t="n">
        <v>24031.7</v>
      </c>
    </row>
    <row r="2399" customFormat="false" ht="15" hidden="false" customHeight="false" outlineLevel="0" collapsed="false">
      <c r="A2399" s="19" t="n">
        <v>46168</v>
      </c>
      <c r="B2399" s="20" t="n">
        <v>23913.7</v>
      </c>
    </row>
    <row r="2400" customFormat="false" ht="15" hidden="false" customHeight="false" outlineLevel="0" collapsed="false">
      <c r="A2400" s="19" t="n">
        <v>46169</v>
      </c>
      <c r="B2400" s="20" t="n">
        <v>23907.15</v>
      </c>
    </row>
    <row r="2401" customFormat="false" ht="15" hidden="false" customHeight="false" outlineLevel="0" collapsed="false">
      <c r="A2401" s="19" t="n">
        <v>46171</v>
      </c>
      <c r="B2401" s="20" t="n">
        <v>23547.75</v>
      </c>
    </row>
    <row r="2402" customFormat="false" ht="15" hidden="false" customHeight="false" outlineLevel="0" collapsed="false">
      <c r="A2402" s="19" t="n">
        <v>46174</v>
      </c>
      <c r="B2402" s="20" t="n">
        <v>23382.6</v>
      </c>
    </row>
    <row r="2403" customFormat="false" ht="15" hidden="false" customHeight="false" outlineLevel="0" collapsed="false">
      <c r="A2403" s="19" t="n">
        <v>46175</v>
      </c>
      <c r="B2403" s="20" t="n">
        <v>23483.55</v>
      </c>
    </row>
    <row r="2404" customFormat="false" ht="15" hidden="false" customHeight="false" outlineLevel="0" collapsed="false">
      <c r="A2404" s="19" t="n">
        <v>46176</v>
      </c>
      <c r="B2404" s="20" t="n">
        <v>23405.6</v>
      </c>
    </row>
    <row r="2405" customFormat="false" ht="15" hidden="false" customHeight="false" outlineLevel="0" collapsed="false">
      <c r="A2405" s="19" t="n">
        <v>46177</v>
      </c>
      <c r="B2405" s="20" t="n">
        <v>23416.55</v>
      </c>
    </row>
    <row r="2406" customFormat="false" ht="15" hidden="false" customHeight="false" outlineLevel="0" collapsed="false">
      <c r="A2406" s="19" t="n">
        <v>46178</v>
      </c>
      <c r="B2406" s="20" t="n">
        <v>23366.7</v>
      </c>
    </row>
    <row r="2407" customFormat="false" ht="15" hidden="false" customHeight="false" outlineLevel="0" collapsed="false">
      <c r="A2407" s="19" t="n">
        <v>46181</v>
      </c>
      <c r="B2407" s="20" t="n">
        <v>23123</v>
      </c>
    </row>
    <row r="2408" customFormat="false" ht="15" hidden="false" customHeight="false" outlineLevel="0" collapsed="false">
      <c r="A2408" s="19" t="n">
        <v>46182</v>
      </c>
      <c r="B2408" s="20" t="n">
        <v>23242.1</v>
      </c>
    </row>
    <row r="2409" customFormat="false" ht="15" hidden="false" customHeight="false" outlineLevel="0" collapsed="false">
      <c r="A2409" s="19" t="n">
        <v>46183</v>
      </c>
      <c r="B2409" s="20" t="n">
        <v>23214.95</v>
      </c>
    </row>
    <row r="2410" customFormat="false" ht="15" hidden="false" customHeight="false" outlineLevel="0" collapsed="false">
      <c r="A2410" s="19" t="n">
        <v>46184</v>
      </c>
      <c r="B2410" s="20" t="n">
        <v>23161.6</v>
      </c>
    </row>
    <row r="2411" customFormat="false" ht="15" hidden="false" customHeight="false" outlineLevel="0" collapsed="false">
      <c r="A2411" s="19" t="n">
        <v>46185</v>
      </c>
      <c r="B2411" s="20" t="n">
        <v>23622.9</v>
      </c>
    </row>
    <row r="2412" customFormat="false" ht="15" hidden="false" customHeight="false" outlineLevel="0" collapsed="false">
      <c r="A2412" s="19" t="n">
        <v>46188</v>
      </c>
      <c r="B2412" s="20" t="n">
        <v>23853.9</v>
      </c>
    </row>
    <row r="2413" customFormat="false" ht="15" hidden="false" customHeight="false" outlineLevel="0" collapsed="false">
      <c r="A2413" s="19" t="n">
        <v>46189</v>
      </c>
      <c r="B2413" s="20" t="n">
        <v>23989.15</v>
      </c>
    </row>
    <row r="2414" customFormat="false" ht="15" hidden="false" customHeight="false" outlineLevel="0" collapsed="false">
      <c r="A2414" s="19" t="n">
        <v>46190</v>
      </c>
      <c r="B2414" s="20" t="n">
        <v>24085.7</v>
      </c>
    </row>
    <row r="2415" customFormat="false" ht="15" hidden="false" customHeight="false" outlineLevel="0" collapsed="false">
      <c r="A2415" s="19" t="n">
        <v>46191</v>
      </c>
      <c r="B2415" s="20" t="n">
        <v>24168</v>
      </c>
    </row>
    <row r="2416" customFormat="false" ht="15" hidden="false" customHeight="false" outlineLevel="0" collapsed="false">
      <c r="A2416" s="19" t="n">
        <v>46192</v>
      </c>
      <c r="B2416" s="20" t="n">
        <v>24013.1</v>
      </c>
    </row>
    <row r="2417" customFormat="false" ht="15" hidden="false" customHeight="false" outlineLevel="0" collapsed="false">
      <c r="A2417" s="19" t="n">
        <v>46195</v>
      </c>
      <c r="B2417" s="20" t="n">
        <v>24102.9</v>
      </c>
    </row>
    <row r="2418" customFormat="false" ht="15" hidden="false" customHeight="false" outlineLevel="0" collapsed="false">
      <c r="A2418" s="19" t="n">
        <v>46196</v>
      </c>
      <c r="B2418" s="20" t="n">
        <v>23824.1</v>
      </c>
    </row>
    <row r="2419" customFormat="false" ht="15" hidden="false" customHeight="false" outlineLevel="0" collapsed="false">
      <c r="A2419" s="19" t="n">
        <v>46197</v>
      </c>
      <c r="B2419" s="20" t="n">
        <v>24021.65</v>
      </c>
    </row>
    <row r="2420" customFormat="false" ht="15" hidden="false" customHeight="false" outlineLevel="0" collapsed="false">
      <c r="A2420" s="19" t="n">
        <v>46198</v>
      </c>
      <c r="B2420" s="20" t="n">
        <v>24056</v>
      </c>
    </row>
    <row r="2421" customFormat="false" ht="15" hidden="false" customHeight="false" outlineLevel="0" collapsed="false">
      <c r="A2421" s="19" t="n">
        <v>46202</v>
      </c>
      <c r="B2421" s="20" t="n">
        <v>23946.25</v>
      </c>
    </row>
    <row r="2422" customFormat="false" ht="15" hidden="false" customHeight="false" outlineLevel="0" collapsed="false">
      <c r="A2422" s="19" t="n">
        <v>46203</v>
      </c>
      <c r="B2422" s="20" t="n">
        <v>23865.75</v>
      </c>
    </row>
    <row r="2423" customFormat="false" ht="15" hidden="false" customHeight="false" outlineLevel="0" collapsed="false">
      <c r="A2423" s="19" t="n">
        <v>46204</v>
      </c>
      <c r="B2423" s="20" t="n">
        <v>24005.85</v>
      </c>
    </row>
    <row r="2424" customFormat="false" ht="15" hidden="false" customHeight="false" outlineLevel="0" collapsed="false">
      <c r="A2424" s="19" t="n">
        <v>46205</v>
      </c>
      <c r="B2424" s="20" t="n">
        <v>24175.7</v>
      </c>
    </row>
    <row r="2425" customFormat="false" ht="15" hidden="false" customHeight="false" outlineLevel="0" collapsed="false">
      <c r="A2425" s="19" t="n">
        <v>46206</v>
      </c>
      <c r="B2425" s="20" t="n">
        <v>24270.85</v>
      </c>
    </row>
    <row r="2426" customFormat="false" ht="15" hidden="false" customHeight="false" outlineLevel="0" collapsed="false">
      <c r="A2426" s="19" t="n">
        <v>46209</v>
      </c>
      <c r="B2426" s="20" t="n">
        <v>24430.35</v>
      </c>
    </row>
    <row r="2427" customFormat="false" ht="15" hidden="false" customHeight="false" outlineLevel="0" collapsed="false">
      <c r="A2427" s="19" t="n">
        <v>46210</v>
      </c>
      <c r="B2427" s="20" t="n">
        <v>24398.7</v>
      </c>
    </row>
    <row r="2428" customFormat="false" ht="15" hidden="false" customHeight="false" outlineLevel="0" collapsed="false">
      <c r="A2428" s="19" t="n">
        <v>46211</v>
      </c>
      <c r="B2428" s="20" t="n">
        <v>23882.05</v>
      </c>
    </row>
    <row r="2429" customFormat="false" ht="15" hidden="false" customHeight="false" outlineLevel="0" collapsed="false">
      <c r="A2429" s="19" t="n">
        <v>46212</v>
      </c>
      <c r="B2429" s="20" t="n">
        <v>23962.8</v>
      </c>
    </row>
    <row r="2430" customFormat="false" ht="15" hidden="false" customHeight="false" outlineLevel="0" collapsed="false">
      <c r="A2430" s="19" t="n">
        <v>46213</v>
      </c>
      <c r="B2430" s="20" t="n">
        <v>24206.9</v>
      </c>
    </row>
    <row r="2431" customFormat="false" ht="15" hidden="false" customHeight="false" outlineLevel="0" collapsed="false">
      <c r="A2431" s="19" t="n">
        <v>46216</v>
      </c>
      <c r="B2431" s="20" t="n">
        <v>24211</v>
      </c>
    </row>
    <row r="2432" customFormat="false" ht="15" hidden="false" customHeight="false" outlineLevel="0" collapsed="false">
      <c r="A2432" s="19" t="n">
        <v>46217</v>
      </c>
      <c r="B2432" s="20" t="n">
        <v>24052.05</v>
      </c>
    </row>
    <row r="2433" customFormat="false" ht="15" hidden="false" customHeight="false" outlineLevel="0" collapsed="false">
      <c r="A2433" s="19" t="n">
        <v>46218</v>
      </c>
      <c r="B2433" s="20" t="n">
        <v>24078.5</v>
      </c>
    </row>
    <row r="2434" customFormat="false" ht="15" hidden="false" customHeight="false" outlineLevel="0" collapsed="false">
      <c r="A2434" s="19" t="n">
        <v>46219</v>
      </c>
      <c r="B2434" s="20" t="n">
        <v>24072.75</v>
      </c>
    </row>
    <row r="2435" customFormat="false" ht="15" hidden="false" customHeight="false" outlineLevel="0" collapsed="false">
      <c r="A2435" s="19" t="n">
        <v>46220</v>
      </c>
      <c r="B2435" s="20" t="n">
        <v>24334.3</v>
      </c>
    </row>
    <row r="2436" customFormat="false" ht="15" hidden="false" customHeight="false" outlineLevel="0" collapsed="false">
      <c r="A2436" s="19" t="n">
        <v>46223</v>
      </c>
      <c r="B2436" s="20" t="n">
        <v>24238.5</v>
      </c>
    </row>
    <row r="2437" customFormat="false" ht="15" hidden="false" customHeight="false" outlineLevel="0" collapsed="false">
      <c r="A2437" s="19" t="n">
        <v>46224</v>
      </c>
      <c r="B2437" s="20" t="n">
        <v>24187.7</v>
      </c>
    </row>
    <row r="2438" customFormat="false" ht="15" hidden="false" customHeight="false" outlineLevel="0" collapsed="false">
      <c r="A2438" s="19" t="n">
        <v>46225</v>
      </c>
      <c r="B2438" s="20" t="n">
        <v>23996.25</v>
      </c>
    </row>
    <row r="2439" customFormat="false" ht="15" hidden="false" customHeight="false" outlineLevel="0" collapsed="false">
      <c r="A2439" s="19" t="n">
        <v>46226</v>
      </c>
      <c r="B2439" s="20" t="n">
        <v>23869.6</v>
      </c>
    </row>
    <row r="2440" customFormat="false" ht="15" hidden="false" customHeight="false" outlineLevel="0" collapsed="false">
      <c r="A2440" s="19" t="n">
        <v>46227</v>
      </c>
      <c r="B2440" s="20" t="n">
        <v>23767.45</v>
      </c>
    </row>
    <row r="2441" customFormat="false" ht="15" hidden="false" customHeight="false" outlineLevel="0" collapsed="false">
      <c r="A2441" s="19" t="n">
        <v>46230</v>
      </c>
      <c r="B2441" s="20" t="n">
        <v>23995.95</v>
      </c>
    </row>
    <row r="2442" customFormat="false" ht="15" hidden="false" customHeight="false" outlineLevel="0" collapsed="false">
      <c r="A2442" s="19" t="n">
        <v>46231</v>
      </c>
      <c r="B2442" s="20" t="n">
        <v>23985.35</v>
      </c>
    </row>
    <row r="2443" customFormat="false" ht="15" hidden="false" customHeight="false" outlineLevel="0" collapsed="false">
      <c r="A2443" s="19" t="n">
        <v>46232</v>
      </c>
      <c r="B2443" s="20" t="n">
        <v>24250.2</v>
      </c>
    </row>
    <row r="2444" customFormat="false" ht="15" hidden="false" customHeight="false" outlineLevel="0" collapsed="false">
      <c r="A2444" s="19" t="n">
        <v>46233</v>
      </c>
      <c r="B2444" s="20" t="n">
        <v>24317.15</v>
      </c>
    </row>
    <row r="2445" customFormat="false" ht="15" hidden="false" customHeight="false" outlineLevel="0" collapsed="false">
      <c r="A2445" s="19" t="n">
        <v>46234</v>
      </c>
      <c r="B2445" s="20" t="n">
        <v>24383.6</v>
      </c>
    </row>
    <row r="2446" customFormat="false" ht="15" hidden="false" customHeight="false" outlineLevel="0" collapsed="false">
      <c r="A2446" s="19" t="n">
        <v>46237</v>
      </c>
      <c r="B2446" s="20" t="n">
        <v>24774.3</v>
      </c>
    </row>
    <row r="2447" customFormat="false" ht="15" hidden="false" customHeight="false" outlineLevel="0" collapsed="false">
      <c r="A2447" s="19" t="n">
        <v>46238</v>
      </c>
      <c r="B2447" s="20" t="n">
        <v>24614.9</v>
      </c>
    </row>
    <row r="2448" customFormat="false" ht="15" hidden="false" customHeight="false" outlineLevel="0" collapsed="false">
      <c r="A2448" s="19" t="n">
        <v>46239</v>
      </c>
      <c r="B2448" s="20" t="n">
        <v>24624.65</v>
      </c>
    </row>
    <row r="2449" customFormat="false" ht="15" hidden="false" customHeight="false" outlineLevel="0" collapsed="false">
      <c r="A2449" s="19" t="n">
        <v>46240</v>
      </c>
      <c r="B2449" s="20" t="n">
        <v>24636</v>
      </c>
    </row>
    <row r="2450" customFormat="false" ht="15" hidden="false" customHeight="false" outlineLevel="0" collapsed="false">
      <c r="A2450" s="19" t="n">
        <v>46241</v>
      </c>
      <c r="B2450" s="20" t="n">
        <v>24570.65</v>
      </c>
    </row>
    <row r="2451" customFormat="false" ht="15" hidden="false" customHeight="false" outlineLevel="0" collapsed="false">
      <c r="A2451" s="19" t="n">
        <v>46244</v>
      </c>
      <c r="B2451" s="20" t="n">
        <v>24583.8</v>
      </c>
    </row>
    <row r="2452" customFormat="false" ht="15" hidden="false" customHeight="false" outlineLevel="0" collapsed="false">
      <c r="A2452" s="19" t="n">
        <v>46245</v>
      </c>
      <c r="B2452" s="20" t="n">
        <v>24471.7</v>
      </c>
    </row>
    <row r="2453" customFormat="false" ht="15" hidden="false" customHeight="false" outlineLevel="0" collapsed="false">
      <c r="A2453" s="19" t="n">
        <v>46246</v>
      </c>
      <c r="B2453" s="20" t="n">
        <v>24435.95</v>
      </c>
    </row>
    <row r="2454" customFormat="false" ht="15" hidden="false" customHeight="false" outlineLevel="0" collapsed="false">
      <c r="A2454" s="19" t="n">
        <v>46247</v>
      </c>
      <c r="B2454" s="20" t="n">
        <v>24395.85</v>
      </c>
    </row>
    <row r="2455" customFormat="false" ht="15" hidden="false" customHeight="false" outlineLevel="0" collapsed="false">
      <c r="A2455" s="19" t="n">
        <v>46248</v>
      </c>
      <c r="B2455" s="20" t="n">
        <v>24366</v>
      </c>
    </row>
    <row r="2456" customFormat="false" ht="15" hidden="false" customHeight="false" outlineLevel="0" collapsed="false">
      <c r="A2456" s="19" t="n">
        <v>46251</v>
      </c>
      <c r="B2456" s="20" t="n">
        <v>24287.65</v>
      </c>
    </row>
    <row r="2457" customFormat="false" ht="15" hidden="false" customHeight="false" outlineLevel="0" collapsed="false">
      <c r="A2457" s="19" t="n">
        <v>46252</v>
      </c>
      <c r="B2457" s="20" t="n">
        <v>24154.9</v>
      </c>
    </row>
    <row r="2458" customFormat="false" ht="15" hidden="false" customHeight="false" outlineLevel="0" collapsed="false">
      <c r="A2458" s="19" t="n">
        <v>46253</v>
      </c>
      <c r="B2458" s="20" t="n">
        <v>24078.3</v>
      </c>
    </row>
    <row r="2459" customFormat="false" ht="15" hidden="false" customHeight="false" outlineLevel="0" collapsed="false">
      <c r="A2459" s="19" t="n">
        <v>46254</v>
      </c>
      <c r="B2459" s="20" t="n">
        <v>24231.85</v>
      </c>
    </row>
    <row r="2460" customFormat="false" ht="15" hidden="false" customHeight="false" outlineLevel="0" collapsed="false">
      <c r="A2460" s="19" t="n">
        <v>46255</v>
      </c>
      <c r="B2460" s="20" t="n">
        <v>24252</v>
      </c>
    </row>
    <row r="2461" customFormat="false" ht="15" hidden="false" customHeight="false" outlineLevel="0" collapsed="false">
      <c r="A2461" s="19" t="n">
        <v>46258</v>
      </c>
      <c r="B2461" s="20" t="n">
        <v>24219.05</v>
      </c>
    </row>
    <row r="2462" customFormat="false" ht="15" hidden="false" customHeight="false" outlineLevel="0" collapsed="false">
      <c r="A2462" s="19" t="n">
        <v>46259</v>
      </c>
      <c r="B2462" s="20" t="n">
        <v>24334.55</v>
      </c>
    </row>
    <row r="2463" customFormat="false" ht="15" hidden="false" customHeight="false" outlineLevel="0" collapsed="false">
      <c r="A2463" s="19" t="n">
        <v>46260</v>
      </c>
      <c r="B2463" s="20" t="n">
        <v>24207.75</v>
      </c>
    </row>
    <row r="2464" customFormat="false" ht="15" hidden="false" customHeight="false" outlineLevel="0" collapsed="false">
      <c r="A2464" s="19" t="n">
        <v>46261</v>
      </c>
      <c r="B2464" s="20" t="n">
        <v>24090.85</v>
      </c>
    </row>
    <row r="2465" customFormat="false" ht="15" hidden="false" customHeight="false" outlineLevel="0" collapsed="false">
      <c r="A2465" s="19" t="n">
        <v>46262</v>
      </c>
      <c r="B2465" s="20" t="n">
        <v>24175.65</v>
      </c>
    </row>
    <row r="2466" customFormat="false" ht="15" hidden="false" customHeight="false" outlineLevel="0" collapsed="false">
      <c r="A2466" s="19" t="n">
        <v>46265</v>
      </c>
      <c r="B2466" s="20" t="n">
        <v>24080.4</v>
      </c>
    </row>
    <row r="2467" customFormat="false" ht="15" hidden="false" customHeight="false" outlineLevel="0" collapsed="false">
      <c r="A2467" s="19" t="n">
        <v>46266</v>
      </c>
      <c r="B2467" s="20" t="n">
        <v>24055.8</v>
      </c>
    </row>
    <row r="2468" customFormat="false" ht="15" hidden="false" customHeight="false" outlineLevel="0" collapsed="false">
      <c r="A2468" s="19" t="n">
        <v>46267</v>
      </c>
      <c r="B2468" s="20" t="n">
        <v>23914.45</v>
      </c>
    </row>
    <row r="2469" customFormat="false" ht="15" hidden="false" customHeight="false" outlineLevel="0" collapsed="false">
      <c r="A2469" s="19" t="n">
        <v>46268</v>
      </c>
      <c r="B2469" s="20" t="n">
        <v>23873.45</v>
      </c>
    </row>
    <row r="2470" customFormat="false" ht="15" hidden="false" customHeight="false" outlineLevel="0" collapsed="false">
      <c r="A2470" s="19" t="n">
        <v>46269</v>
      </c>
      <c r="B2470" s="20" t="n">
        <v>23897.7</v>
      </c>
    </row>
    <row r="2471" customFormat="false" ht="15" hidden="false" customHeight="false" outlineLevel="0" collapsed="false">
      <c r="A2471" s="19" t="n">
        <v>46272</v>
      </c>
      <c r="B2471" s="20" t="n">
        <v>23779.15</v>
      </c>
    </row>
    <row r="2472" customFormat="false" ht="15" hidden="false" customHeight="false" outlineLevel="0" collapsed="false">
      <c r="A2472" s="19" t="n">
        <v>46273</v>
      </c>
      <c r="B2472" s="20" t="n">
        <v>23635.1</v>
      </c>
    </row>
    <row r="2473" customFormat="false" ht="15" hidden="false" customHeight="false" outlineLevel="0" collapsed="false">
      <c r="A2473" s="19" t="n">
        <v>46274</v>
      </c>
      <c r="B2473" s="20" t="n">
        <v>23431.5</v>
      </c>
    </row>
    <row r="2474" customFormat="false" ht="15" hidden="false" customHeight="false" outlineLevel="0" collapsed="false">
      <c r="A2474" s="19" t="n">
        <v>46275</v>
      </c>
      <c r="B2474" s="20" t="n">
        <v>23477.8</v>
      </c>
    </row>
    <row r="2475" customFormat="false" ht="15" hidden="false" customHeight="false" outlineLevel="0" collapsed="false">
      <c r="A2475" s="19" t="n">
        <v>46276</v>
      </c>
      <c r="B2475" s="20" t="n">
        <v>23398.1</v>
      </c>
    </row>
    <row r="2476" customFormat="false" ht="15" hidden="false" customHeight="false" outlineLevel="0" collapsed="false">
      <c r="A2476" s="19" t="n">
        <v>46280</v>
      </c>
      <c r="B2476" s="20" t="n">
        <v>23118.6</v>
      </c>
    </row>
    <row r="2477" customFormat="false" ht="15" hidden="false" customHeight="false" outlineLevel="0" collapsed="false">
      <c r="A2477" s="19" t="n">
        <v>46281</v>
      </c>
      <c r="B2477" s="20" t="n">
        <v>23217.6</v>
      </c>
    </row>
    <row r="2478" customFormat="false" ht="15" hidden="false" customHeight="false" outlineLevel="0" collapsed="false">
      <c r="A2478" s="19" t="n">
        <v>46282</v>
      </c>
      <c r="B2478" s="20" t="n">
        <v>23270.6</v>
      </c>
    </row>
    <row r="2479" customFormat="false" ht="15" hidden="false" customHeight="false" outlineLevel="0" collapsed="false">
      <c r="A2479" s="19" t="n">
        <v>46283</v>
      </c>
      <c r="B2479" s="20" t="n">
        <v>23346.4</v>
      </c>
    </row>
    <row r="2480" customFormat="false" ht="15" hidden="false" customHeight="false" outlineLevel="0" collapsed="false">
      <c r="A2480" s="19" t="n">
        <v>46286</v>
      </c>
      <c r="B2480" s="20" t="n">
        <v>23414.3</v>
      </c>
    </row>
    <row r="2481" customFormat="false" ht="15" hidden="false" customHeight="false" outlineLevel="0" collapsed="false">
      <c r="A2481" s="19" t="n">
        <v>46287</v>
      </c>
      <c r="B2481" s="20" t="n">
        <v>23329</v>
      </c>
    </row>
    <row r="2482" customFormat="false" ht="15" hidden="false" customHeight="false" outlineLevel="0" collapsed="false">
      <c r="A2482" s="19" t="n">
        <v>46288</v>
      </c>
      <c r="B2482" s="20" t="n">
        <v>23446.8</v>
      </c>
    </row>
    <row r="2483" customFormat="false" ht="15" hidden="false" customHeight="false" outlineLevel="0" collapsed="false">
      <c r="A2483" s="19" t="n">
        <v>46289</v>
      </c>
      <c r="B2483" s="20" t="n">
        <v>23063.1</v>
      </c>
    </row>
    <row r="2484" customFormat="false" ht="15" hidden="false" customHeight="false" outlineLevel="0" collapsed="false">
      <c r="A2484" s="19" t="n">
        <v>46290</v>
      </c>
      <c r="B2484" s="20" t="n">
        <v>23140.5</v>
      </c>
    </row>
    <row r="2485" customFormat="false" ht="15" hidden="false" customHeight="false" outlineLevel="0" collapsed="false">
      <c r="A2485" s="19" t="n">
        <v>46293</v>
      </c>
      <c r="B2485" s="20" t="n">
        <v>22780.25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3"/>
    <col collapsed="false" customWidth="true" hidden="false" outlineLevel="0" max="4" min="3" style="0" width="12"/>
    <col collapsed="false" customWidth="true" hidden="false" outlineLevel="0" max="11" min="5" style="0" width="13"/>
  </cols>
  <sheetData>
    <row r="1" customFormat="false" ht="16.15" hidden="false" customHeight="false" outlineLevel="0" collapsed="false">
      <c r="A1" s="21" t="s">
        <v>21</v>
      </c>
    </row>
    <row r="2" customFormat="false" ht="15" hidden="false" customHeight="false" outlineLevel="0" collapsed="false">
      <c r="A2" s="22" t="s">
        <v>22</v>
      </c>
    </row>
    <row r="4" customFormat="false" ht="15" hidden="false" customHeight="false" outlineLevel="0" collapsed="false">
      <c r="A4" s="23" t="s">
        <v>23</v>
      </c>
    </row>
    <row r="5" customFormat="false" ht="15" hidden="false" customHeight="false" outlineLevel="0" collapsed="false">
      <c r="A5" s="24" t="s">
        <v>24</v>
      </c>
      <c r="B5" s="20" t="n">
        <v>14845.1</v>
      </c>
    </row>
    <row r="6" customFormat="false" ht="15" hidden="false" customHeight="false" outlineLevel="0" collapsed="false">
      <c r="A6" s="24" t="s">
        <v>25</v>
      </c>
      <c r="B6" s="25" t="n">
        <v>40.43</v>
      </c>
    </row>
    <row r="7" customFormat="false" ht="15" hidden="false" customHeight="false" outlineLevel="0" collapsed="false">
      <c r="A7" s="24" t="s">
        <v>26</v>
      </c>
      <c r="B7" s="20" t="n">
        <v>14690.7</v>
      </c>
    </row>
    <row r="8" customFormat="false" ht="15" hidden="false" customHeight="false" outlineLevel="0" collapsed="false">
      <c r="A8" s="24" t="s">
        <v>27</v>
      </c>
      <c r="B8" s="25" t="n">
        <v>33.2</v>
      </c>
    </row>
    <row r="9" customFormat="false" ht="15" hidden="false" customHeight="false" outlineLevel="0" collapsed="false">
      <c r="A9" s="26" t="s">
        <v>28</v>
      </c>
      <c r="B9" s="27" t="n">
        <f aca="false">(B7/B8)/(B5/B6)</f>
        <v>1.20510536599111</v>
      </c>
    </row>
    <row r="10" customFormat="false" ht="15" hidden="false" customHeight="false" outlineLevel="0" collapsed="false">
      <c r="A10" s="24" t="s">
        <v>29</v>
      </c>
      <c r="B10" s="28" t="n">
        <v>1.14</v>
      </c>
      <c r="C10" s="18" t="s">
        <v>30</v>
      </c>
    </row>
    <row r="11" customFormat="false" ht="15" hidden="false" customHeight="false" outlineLevel="0" collapsed="false">
      <c r="A11" s="26" t="s">
        <v>31</v>
      </c>
      <c r="B11" s="29" t="n">
        <f aca="false">B9</f>
        <v>1.20510536599111</v>
      </c>
      <c r="C11" s="18" t="s">
        <v>32</v>
      </c>
    </row>
    <row r="12" customFormat="false" ht="15" hidden="false" customHeight="false" outlineLevel="0" collapsed="false">
      <c r="A12" s="24" t="s">
        <v>33</v>
      </c>
      <c r="B12" s="28" t="n">
        <v>1.05</v>
      </c>
      <c r="C12" s="18" t="s">
        <v>34</v>
      </c>
    </row>
    <row r="14" customFormat="false" ht="43.5" hidden="false" customHeight="true" outlineLevel="0" collapsed="false">
      <c r="A14" s="30" t="s">
        <v>35</v>
      </c>
      <c r="B14" s="30" t="s">
        <v>36</v>
      </c>
      <c r="C14" s="30" t="s">
        <v>37</v>
      </c>
      <c r="D14" s="30" t="s">
        <v>8</v>
      </c>
      <c r="E14" s="30" t="s">
        <v>38</v>
      </c>
      <c r="F14" s="30" t="s">
        <v>39</v>
      </c>
      <c r="G14" s="30" t="s">
        <v>40</v>
      </c>
      <c r="H14" s="30" t="s">
        <v>41</v>
      </c>
      <c r="I14" s="30" t="s">
        <v>42</v>
      </c>
      <c r="J14" s="30" t="s">
        <v>43</v>
      </c>
      <c r="K14" s="30" t="s">
        <v>44</v>
      </c>
    </row>
    <row r="15" customFormat="false" ht="15" hidden="false" customHeight="false" outlineLevel="0" collapsed="false">
      <c r="A15" s="31" t="s">
        <v>45</v>
      </c>
      <c r="B15" s="32" t="n">
        <f aca="false">INDEX(Monthly!$A:$A,2)</f>
        <v>42643</v>
      </c>
      <c r="C15" s="10" t="n">
        <f aca="false">INDEX(Monthly!$B:$B,MATCH($B15,Monthly!$A:$A,0))</f>
        <v>8611.15</v>
      </c>
      <c r="D15" s="33" t="n">
        <f aca="false">INDEX(Monthly!$C:$C,MATCH($B15,Monthly!$A:$A,0))</f>
        <v>23.4</v>
      </c>
      <c r="E15" s="24" t="str">
        <f aca="false">INDEX(Monthly!$D:$D,MATCH($B15,Monthly!$A:$A,0))</f>
        <v>standalone</v>
      </c>
      <c r="F15" s="13" t="n">
        <f aca="false">INDEX(Monthly!$E:$E,MATCH($B15,Monthly!$A:$A,0))</f>
        <v>367.997863247863</v>
      </c>
      <c r="G15" s="13" t="n">
        <f aca="false">INDEX(Monthly!$F:$F,MATCH($B15,Monthly!$A:$A,0))</f>
        <v>443.476199673265</v>
      </c>
      <c r="H15" s="33" t="n">
        <f aca="false">INDEX(Monthly!$G:$G,MATCH($B15,Monthly!$A:$A,0))</f>
        <v>19.4173892676639</v>
      </c>
      <c r="I15" s="34" t="n">
        <f aca="false">$C$22/C15</f>
        <v>2.64543643996447</v>
      </c>
      <c r="J15" s="34" t="n">
        <f aca="false">$G$22/G15</f>
        <v>2.66705447235996</v>
      </c>
      <c r="K15" s="34" t="n">
        <f aca="false">$H$22/H15</f>
        <v>0.991894416623456</v>
      </c>
    </row>
    <row r="16" customFormat="false" ht="15" hidden="false" customHeight="false" outlineLevel="0" collapsed="false">
      <c r="A16" s="31" t="s">
        <v>46</v>
      </c>
      <c r="B16" s="32" t="n">
        <f aca="false">INDEX(Monthly!$A:$A,MATCH(DATE(2019,12,31),Monthly!$A:$A,1))</f>
        <v>43830</v>
      </c>
      <c r="C16" s="10" t="n">
        <f aca="false">INDEX(Monthly!$B:$B,MATCH($B16,Monthly!$A:$A,0))</f>
        <v>12168.45</v>
      </c>
      <c r="D16" s="33" t="n">
        <f aca="false">INDEX(Monthly!$C:$C,MATCH($B16,Monthly!$A:$A,0))</f>
        <v>28.3</v>
      </c>
      <c r="E16" s="24" t="str">
        <f aca="false">INDEX(Monthly!$D:$D,MATCH($B16,Monthly!$A:$A,0))</f>
        <v>standalone</v>
      </c>
      <c r="F16" s="13" t="n">
        <f aca="false">INDEX(Monthly!$E:$E,MATCH($B16,Monthly!$A:$A,0))</f>
        <v>429.980565371025</v>
      </c>
      <c r="G16" s="13" t="n">
        <f aca="false">INDEX(Monthly!$F:$F,MATCH($B16,Monthly!$A:$A,0))</f>
        <v>518.171886600515</v>
      </c>
      <c r="H16" s="33" t="n">
        <f aca="false">INDEX(Monthly!$G:$G,MATCH($B16,Monthly!$A:$A,0))</f>
        <v>23.4834237724311</v>
      </c>
      <c r="I16" s="34" t="n">
        <f aca="false">$C$22/C16</f>
        <v>1.8720749150467</v>
      </c>
      <c r="J16" s="34" t="n">
        <f aca="false">$G$22/G16</f>
        <v>2.28259234495221</v>
      </c>
      <c r="K16" s="34" t="n">
        <f aca="false">$H$22/H16</f>
        <v>0.820152980529642</v>
      </c>
    </row>
    <row r="17" customFormat="false" ht="15" hidden="false" customHeight="false" outlineLevel="0" collapsed="false">
      <c r="A17" s="31" t="s">
        <v>47</v>
      </c>
      <c r="B17" s="32" t="n">
        <f aca="false">INDEX(Monthly!$A:$A,MATCH(DATE(2020,3,31),Monthly!$A:$A,1))</f>
        <v>43921</v>
      </c>
      <c r="C17" s="10" t="n">
        <f aca="false">INDEX(Monthly!$B:$B,MATCH($B17,Monthly!$A:$A,0))</f>
        <v>8597.75</v>
      </c>
      <c r="D17" s="33" t="n">
        <f aca="false">INDEX(Monthly!$C:$C,MATCH($B17,Monthly!$A:$A,0))</f>
        <v>19.4</v>
      </c>
      <c r="E17" s="24" t="str">
        <f aca="false">INDEX(Monthly!$D:$D,MATCH($B17,Monthly!$A:$A,0))</f>
        <v>standalone</v>
      </c>
      <c r="F17" s="13" t="n">
        <f aca="false">INDEX(Monthly!$E:$E,MATCH($B17,Monthly!$A:$A,0))</f>
        <v>443.182989690722</v>
      </c>
      <c r="G17" s="13" t="n">
        <f aca="false">INDEX(Monthly!$F:$F,MATCH($B17,Monthly!$A:$A,0))</f>
        <v>534.082198992274</v>
      </c>
      <c r="H17" s="33" t="n">
        <f aca="false">INDEX(Monthly!$G:$G,MATCH($B17,Monthly!$A:$A,0))</f>
        <v>16.0981774270376</v>
      </c>
      <c r="I17" s="34" t="n">
        <f aca="false">$C$22/C17</f>
        <v>2.64955947777035</v>
      </c>
      <c r="J17" s="34" t="n">
        <f aca="false">$G$22/G17</f>
        <v>2.21459390325213</v>
      </c>
      <c r="K17" s="34" t="n">
        <f aca="false">$H$22/H17</f>
        <v>1.19640872932932</v>
      </c>
    </row>
    <row r="18" customFormat="false" ht="15" hidden="false" customHeight="false" outlineLevel="0" collapsed="false">
      <c r="A18" s="31" t="s">
        <v>48</v>
      </c>
      <c r="B18" s="32" t="n">
        <f aca="false">INDEX(Monthly!$A:$A,MATCH(DATE(2021,2,28),Monthly!$A:$A,1))</f>
        <v>44253</v>
      </c>
      <c r="C18" s="10" t="n">
        <f aca="false">INDEX(Monthly!$B:$B,MATCH($B18,Monthly!$A:$A,0))</f>
        <v>14529.15</v>
      </c>
      <c r="D18" s="33" t="n">
        <f aca="false">INDEX(Monthly!$C:$C,MATCH($B18,Monthly!$A:$A,0))</f>
        <v>39.6</v>
      </c>
      <c r="E18" s="24" t="str">
        <f aca="false">INDEX(Monthly!$D:$D,MATCH($B18,Monthly!$A:$A,0))</f>
        <v>standalone</v>
      </c>
      <c r="F18" s="13" t="n">
        <f aca="false">INDEX(Monthly!$E:$E,MATCH($B18,Monthly!$A:$A,0))</f>
        <v>366.897727272727</v>
      </c>
      <c r="G18" s="13" t="n">
        <f aca="false">INDEX(Monthly!$F:$F,MATCH($B18,Monthly!$A:$A,0))</f>
        <v>442.150419906308</v>
      </c>
      <c r="H18" s="33" t="n">
        <f aca="false">INDEX(Monthly!$G:$G,MATCH($B18,Monthly!$A:$A,0))</f>
        <v>32.8601972222004</v>
      </c>
      <c r="I18" s="34" t="n">
        <f aca="false">$C$22/C18</f>
        <v>1.56789970507566</v>
      </c>
      <c r="J18" s="34" t="n">
        <f aca="false">$G$22/G18</f>
        <v>2.67505158532793</v>
      </c>
      <c r="K18" s="34" t="n">
        <f aca="false">$H$22/H18</f>
        <v>0.58611942800477</v>
      </c>
    </row>
    <row r="19" customFormat="false" ht="15" hidden="false" customHeight="false" outlineLevel="0" collapsed="false">
      <c r="A19" s="31" t="s">
        <v>49</v>
      </c>
      <c r="B19" s="32" t="n">
        <f aca="false">INDEX(Monthly!$A:$A,MATCH(DATE(2021,3,31),Monthly!$A:$A,1))</f>
        <v>44286</v>
      </c>
      <c r="C19" s="10" t="n">
        <f aca="false">INDEX(Monthly!$B:$B,MATCH($B19,Monthly!$A:$A,0))</f>
        <v>14690.7</v>
      </c>
      <c r="D19" s="33" t="n">
        <f aca="false">INDEX(Monthly!$C:$C,MATCH($B19,Monthly!$A:$A,0))</f>
        <v>33.2</v>
      </c>
      <c r="E19" s="24" t="str">
        <f aca="false">INDEX(Monthly!$D:$D,MATCH($B19,Monthly!$A:$A,0))</f>
        <v>consolidated</v>
      </c>
      <c r="F19" s="13" t="n">
        <f aca="false">INDEX(Monthly!$E:$E,MATCH($B19,Monthly!$A:$A,0))</f>
        <v>442.490963855422</v>
      </c>
      <c r="G19" s="13" t="n">
        <f aca="false">INDEX(Monthly!$F:$F,MATCH($B19,Monthly!$A:$A,0))</f>
        <v>442.490963855422</v>
      </c>
      <c r="H19" s="33" t="n">
        <f aca="false">INDEX(Monthly!$G:$G,MATCH($B19,Monthly!$A:$A,0))</f>
        <v>33.2</v>
      </c>
      <c r="I19" s="34" t="n">
        <f aca="false">$C$22/C19</f>
        <v>1.55065789921515</v>
      </c>
      <c r="J19" s="34" t="n">
        <f aca="false">$G$22/G19</f>
        <v>2.67299284807596</v>
      </c>
      <c r="K19" s="34" t="n">
        <f aca="false">$H$22/H19</f>
        <v>0.580120481927711</v>
      </c>
    </row>
    <row r="20" customFormat="false" ht="15" hidden="false" customHeight="false" outlineLevel="0" collapsed="false">
      <c r="A20" s="31" t="s">
        <v>50</v>
      </c>
      <c r="B20" s="32" t="n">
        <f aca="false">INDEX(Monthly!$A:$A,MATCH(DATE(2024,9,30),Monthly!$A:$A,1))</f>
        <v>45565</v>
      </c>
      <c r="C20" s="10" t="n">
        <f aca="false">INDEX(Monthly!$B:$B,MATCH($B20,Monthly!$A:$A,0))</f>
        <v>25810.85</v>
      </c>
      <c r="D20" s="33" t="n">
        <f aca="false">INDEX(Monthly!$C:$C,MATCH($B20,Monthly!$A:$A,0))</f>
        <v>24.3</v>
      </c>
      <c r="E20" s="24" t="str">
        <f aca="false">INDEX(Monthly!$D:$D,MATCH($B20,Monthly!$A:$A,0))</f>
        <v>consolidated</v>
      </c>
      <c r="F20" s="13" t="n">
        <f aca="false">INDEX(Monthly!$E:$E,MATCH($B20,Monthly!$A:$A,0))</f>
        <v>1062.17489711934</v>
      </c>
      <c r="G20" s="13" t="n">
        <f aca="false">INDEX(Monthly!$F:$F,MATCH($B20,Monthly!$A:$A,0))</f>
        <v>1062.17489711934</v>
      </c>
      <c r="H20" s="33" t="n">
        <f aca="false">INDEX(Monthly!$G:$G,MATCH($B20,Monthly!$A:$A,0))</f>
        <v>24.3</v>
      </c>
      <c r="I20" s="34" t="n">
        <f aca="false">$C$22/C20</f>
        <v>0.882584262044838</v>
      </c>
      <c r="J20" s="34" t="n">
        <f aca="false">$G$22/G20</f>
        <v>1.11354089136498</v>
      </c>
      <c r="K20" s="34" t="n">
        <f aca="false">$H$22/H20</f>
        <v>0.792592592592593</v>
      </c>
    </row>
    <row r="21" customFormat="false" ht="15" hidden="false" customHeight="false" outlineLevel="0" collapsed="false">
      <c r="A21" s="31" t="s">
        <v>51</v>
      </c>
      <c r="B21" s="32" t="n">
        <f aca="false">INDEX(Monthly!$A:$A,MATCH(DATE(2025,12,31),Monthly!$A:$A,1))</f>
        <v>46022</v>
      </c>
      <c r="C21" s="10" t="n">
        <f aca="false">INDEX(Monthly!$B:$B,MATCH($B21,Monthly!$A:$A,0))</f>
        <v>26129.6</v>
      </c>
      <c r="D21" s="33" t="n">
        <f aca="false">INDEX(Monthly!$C:$C,MATCH($B21,Monthly!$A:$A,0))</f>
        <v>22.75</v>
      </c>
      <c r="E21" s="24" t="str">
        <f aca="false">INDEX(Monthly!$D:$D,MATCH($B21,Monthly!$A:$A,0))</f>
        <v>consolidated</v>
      </c>
      <c r="F21" s="13" t="n">
        <f aca="false">INDEX(Monthly!$E:$E,MATCH($B21,Monthly!$A:$A,0))</f>
        <v>1148.55384615385</v>
      </c>
      <c r="G21" s="13" t="n">
        <f aca="false">INDEX(Monthly!$F:$F,MATCH($B21,Monthly!$A:$A,0))</f>
        <v>1148.55384615385</v>
      </c>
      <c r="H21" s="33" t="n">
        <f aca="false">INDEX(Monthly!$G:$G,MATCH($B21,Monthly!$A:$A,0))</f>
        <v>22.75</v>
      </c>
      <c r="I21" s="34" t="n">
        <f aca="false">$C$22/C21</f>
        <v>0.871817785193803</v>
      </c>
      <c r="J21" s="34" t="n">
        <f aca="false">$G$22/G21</f>
        <v>1.02979515125436</v>
      </c>
      <c r="K21" s="34" t="n">
        <f aca="false">$H$22/H21</f>
        <v>0.846593406593407</v>
      </c>
    </row>
    <row r="22" customFormat="false" ht="15" hidden="false" customHeight="false" outlineLevel="0" collapsed="false">
      <c r="A22" s="35" t="s">
        <v>52</v>
      </c>
      <c r="B22" s="32" t="n">
        <f aca="false">INDEX(Monthly!$A:$A,122)</f>
        <v>46293</v>
      </c>
      <c r="C22" s="10" t="n">
        <f aca="false">INDEX(Monthly!$B:$B,MATCH($B22,Monthly!$A:$A,0))</f>
        <v>22780.25</v>
      </c>
      <c r="D22" s="33" t="n">
        <f aca="false">INDEX(Monthly!$C:$C,MATCH($B22,Monthly!$A:$A,0))</f>
        <v>19.26</v>
      </c>
      <c r="E22" s="24" t="str">
        <f aca="false">INDEX(Monthly!$D:$D,MATCH($B22,Monthly!$A:$A,0))</f>
        <v>consolidated</v>
      </c>
      <c r="F22" s="13" t="n">
        <f aca="false">INDEX(Monthly!$E:$E,MATCH($B22,Monthly!$A:$A,0))</f>
        <v>1182.77518172378</v>
      </c>
      <c r="G22" s="13" t="n">
        <f aca="false">INDEX(Monthly!$F:$F,MATCH($B22,Monthly!$A:$A,0))</f>
        <v>1182.77518172378</v>
      </c>
      <c r="H22" s="33" t="n">
        <f aca="false">INDEX(Monthly!$G:$G,MATCH($B22,Monthly!$A:$A,0))</f>
        <v>19.26</v>
      </c>
      <c r="I22" s="34" t="n">
        <f aca="false">$C$22/C22</f>
        <v>1</v>
      </c>
      <c r="J22" s="34" t="n">
        <f aca="false">$G$22/G22</f>
        <v>1</v>
      </c>
      <c r="K22" s="34" t="n">
        <f aca="false">$H$22/H22</f>
        <v>1</v>
      </c>
    </row>
    <row r="24" customFormat="false" ht="15" hidden="false" customHeight="false" outlineLevel="0" collapsed="false">
      <c r="A24" s="23" t="s">
        <v>53</v>
      </c>
    </row>
    <row r="25" customFormat="false" ht="30" hidden="false" customHeight="true" outlineLevel="0" collapsed="false">
      <c r="A25" s="36" t="s">
        <v>54</v>
      </c>
      <c r="B25" s="36" t="s">
        <v>55</v>
      </c>
      <c r="C25" s="36" t="s">
        <v>56</v>
      </c>
      <c r="D25" s="36" t="s">
        <v>57</v>
      </c>
      <c r="E25" s="36" t="s">
        <v>58</v>
      </c>
      <c r="F25" s="36" t="s">
        <v>59</v>
      </c>
      <c r="G25" s="36" t="s">
        <v>60</v>
      </c>
    </row>
    <row r="26" customFormat="false" ht="15" hidden="false" customHeight="false" outlineLevel="0" collapsed="false">
      <c r="A26" s="31" t="s">
        <v>61</v>
      </c>
      <c r="B26" s="32" t="n">
        <f aca="false">B15</f>
        <v>42643</v>
      </c>
      <c r="C26" s="32" t="n">
        <f aca="false">B16</f>
        <v>43830</v>
      </c>
      <c r="D26" s="37" t="n">
        <f aca="false">C16/C15-1</f>
        <v>0.413103940820913</v>
      </c>
      <c r="E26" s="37" t="n">
        <f aca="false">F16/F15-1</f>
        <v>0.16843223375298</v>
      </c>
      <c r="F26" s="37" t="n">
        <f aca="false">D16/D15-1</f>
        <v>0.20940170940171</v>
      </c>
      <c r="G26" s="38" t="n">
        <f aca="false">(C16/C15)^(365.25/(B16-B15))-1</f>
        <v>0.11226904484714</v>
      </c>
    </row>
    <row r="27" customFormat="false" ht="15" hidden="false" customHeight="false" outlineLevel="0" collapsed="false">
      <c r="A27" s="31" t="s">
        <v>62</v>
      </c>
      <c r="B27" s="32" t="n">
        <f aca="false">B16</f>
        <v>43830</v>
      </c>
      <c r="C27" s="32" t="n">
        <f aca="false">B22</f>
        <v>46293</v>
      </c>
      <c r="D27" s="37" t="n">
        <f aca="false">C22/C16-1</f>
        <v>0.872074915046698</v>
      </c>
      <c r="E27" s="37" t="n">
        <f aca="false">F22/F16-1</f>
        <v>1.75076428327215</v>
      </c>
      <c r="F27" s="37" t="n">
        <f aca="false">D22/D16-1</f>
        <v>-0.319434628975265</v>
      </c>
      <c r="G27" s="38" t="n">
        <f aca="false">(C22/C16)^(365.25/(B22-B16))-1</f>
        <v>0.0974483953209322</v>
      </c>
    </row>
    <row r="28" customFormat="false" ht="15" hidden="false" customHeight="false" outlineLevel="0" collapsed="false">
      <c r="A28" s="31" t="s">
        <v>63</v>
      </c>
      <c r="B28" s="32" t="n">
        <f aca="false">B15</f>
        <v>42643</v>
      </c>
      <c r="C28" s="32" t="n">
        <f aca="false">B22</f>
        <v>46293</v>
      </c>
      <c r="D28" s="37" t="n">
        <f aca="false">C22/C15-1</f>
        <v>1.64543643996447</v>
      </c>
      <c r="E28" s="37" t="n">
        <f aca="false">F22/F15-1</f>
        <v>2.21408165603159</v>
      </c>
      <c r="F28" s="37" t="n">
        <f aca="false">D22/D15-1</f>
        <v>-0.176923076923077</v>
      </c>
      <c r="G28" s="38" t="n">
        <f aca="false">(C22/C15)^(365.25/(B22-B15))-1</f>
        <v>0.102246354960462</v>
      </c>
    </row>
    <row r="31" customFormat="false" ht="15" hidden="false" customHeight="false" outlineLevel="0" collapsed="false">
      <c r="A31" s="23" t="s">
        <v>64</v>
      </c>
    </row>
    <row r="32" customFormat="false" ht="30" hidden="false" customHeight="true" outlineLevel="0" collapsed="false">
      <c r="A32" s="36" t="s">
        <v>65</v>
      </c>
      <c r="B32" s="36" t="s">
        <v>66</v>
      </c>
      <c r="C32" s="36" t="s">
        <v>67</v>
      </c>
      <c r="D32" s="36" t="s">
        <v>68</v>
      </c>
    </row>
    <row r="33" customFormat="false" ht="15" hidden="false" customHeight="false" outlineLevel="0" collapsed="false">
      <c r="A33" s="24" t="s">
        <v>69</v>
      </c>
      <c r="B33" s="39" t="n">
        <f aca="false">$B$12</f>
        <v>1.05</v>
      </c>
      <c r="C33" s="39" t="n">
        <f aca="false">$B$10</f>
        <v>1.14</v>
      </c>
      <c r="D33" s="39" t="n">
        <f aca="false">$B$9</f>
        <v>1.20510536599111</v>
      </c>
    </row>
    <row r="34" customFormat="false" ht="15" hidden="false" customHeight="false" outlineLevel="0" collapsed="false">
      <c r="A34" s="24" t="s">
        <v>70</v>
      </c>
      <c r="B34" s="34" t="n">
        <f aca="false">$F$22/($F$15*$B$33)</f>
        <v>3.06103014860152</v>
      </c>
      <c r="C34" s="34" t="n">
        <f aca="false">$F$22/($F$15*$C$33)</f>
        <v>2.81936987371192</v>
      </c>
      <c r="D34" s="34" t="n">
        <f aca="false">$F$22/($F$15*$D$33)</f>
        <v>2.66705447235996</v>
      </c>
    </row>
    <row r="35" customFormat="false" ht="15" hidden="false" customHeight="false" outlineLevel="0" collapsed="false">
      <c r="A35" s="24" t="s">
        <v>71</v>
      </c>
      <c r="B35" s="33" t="n">
        <f aca="false">$D$15/$B$33</f>
        <v>22.2857142857143</v>
      </c>
      <c r="C35" s="33" t="n">
        <f aca="false">$D$15/$C$33</f>
        <v>20.5263157894737</v>
      </c>
      <c r="D35" s="33" t="n">
        <f aca="false">$D$15/$D$33</f>
        <v>19.4173892676639</v>
      </c>
    </row>
    <row r="36" customFormat="false" ht="15" hidden="false" customHeight="false" outlineLevel="0" collapsed="false">
      <c r="A36" s="24" t="s">
        <v>72</v>
      </c>
      <c r="B36" s="37" t="n">
        <f aca="false">$D$22/($D$15/$B$33)-1</f>
        <v>-0.135769230769231</v>
      </c>
      <c r="C36" s="37" t="n">
        <f aca="false">$D$22/($D$15/$C$33)-1</f>
        <v>-0.0616923076923076</v>
      </c>
      <c r="D36" s="37" t="n">
        <f aca="false">$D$22/($D$15/$D$33)-1</f>
        <v>-0.00810558337654377</v>
      </c>
    </row>
    <row r="37" customFormat="false" ht="15" hidden="false" customHeight="false" outlineLevel="0" collapsed="false">
      <c r="A37" s="24" t="s">
        <v>73</v>
      </c>
      <c r="B37" s="34" t="n">
        <f aca="false">$F$22/($F$16*$B$33)</f>
        <v>2.61977550787824</v>
      </c>
      <c r="C37" s="34" t="n">
        <f aca="false">$F$22/($F$16*$C$33)</f>
        <v>2.41295112567732</v>
      </c>
      <c r="D37" s="34" t="n">
        <f aca="false">$F$22/($F$16*$D$33)</f>
        <v>2.28259234495221</v>
      </c>
    </row>
    <row r="38" customFormat="false" ht="15" hidden="false" customHeight="false" outlineLevel="0" collapsed="false">
      <c r="A38" s="24" t="s">
        <v>74</v>
      </c>
      <c r="B38" s="33" t="n">
        <f aca="false">$D$16/$B$33</f>
        <v>26.952380952381</v>
      </c>
      <c r="C38" s="33" t="n">
        <f aca="false">$D$16/$C$33</f>
        <v>24.8245614035088</v>
      </c>
      <c r="D38" s="33" t="n">
        <f aca="false">$D$16/$D$33</f>
        <v>23.4834237724311</v>
      </c>
    </row>
    <row r="39" customFormat="false" ht="15" hidden="false" customHeight="false" outlineLevel="0" collapsed="false">
      <c r="A39" s="24" t="s">
        <v>75</v>
      </c>
      <c r="B39" s="37" t="n">
        <f aca="false">$D$22/($D$16/$B$33)-1</f>
        <v>-0.285406360424028</v>
      </c>
      <c r="C39" s="37" t="n">
        <f aca="false">$D$22/($D$16/$C$33)-1</f>
        <v>-0.224155477031802</v>
      </c>
      <c r="D39" s="37" t="n">
        <f aca="false">$D$22/($D$16/$D$33)-1</f>
        <v>-0.179847019470358</v>
      </c>
    </row>
    <row r="40" customFormat="false" ht="15" hidden="false" customHeight="false" outlineLevel="0" collapsed="false">
      <c r="A40" s="24" t="s">
        <v>76</v>
      </c>
      <c r="B40" s="33" t="n">
        <f aca="false">$D$17/$B$33</f>
        <v>18.4761904761905</v>
      </c>
      <c r="C40" s="33" t="n">
        <f aca="false">$D$17/$C$33</f>
        <v>17.0175438596491</v>
      </c>
      <c r="D40" s="33" t="n">
        <f aca="false">$D$17/$D$33</f>
        <v>16.0981774270376</v>
      </c>
    </row>
    <row r="42" customFormat="false" ht="15" hidden="false" customHeight="false" outlineLevel="0" collapsed="false">
      <c r="A42" s="23" t="s">
        <v>77</v>
      </c>
    </row>
    <row r="43" customFormat="false" ht="15" hidden="false" customHeight="false" outlineLevel="0" collapsed="false">
      <c r="A43" s="24" t="s">
        <v>78</v>
      </c>
      <c r="B43" s="34" t="n">
        <f aca="false">MIN(Monthly!$C$56:$C$122)</f>
        <v>19.26</v>
      </c>
      <c r="C43" s="32" t="n">
        <f aca="false">INDEX(Monthly!$A$56:$A$122,MATCH(B43,Monthly!$C$56:$C$122,0))</f>
        <v>46293</v>
      </c>
    </row>
    <row r="44" customFormat="false" ht="15" hidden="false" customHeight="false" outlineLevel="0" collapsed="false">
      <c r="A44" s="24" t="s">
        <v>79</v>
      </c>
      <c r="B44" s="33" t="n">
        <f aca="false">MEDIAN(Monthly!$C$56:$C$122)</f>
        <v>22</v>
      </c>
    </row>
    <row r="45" customFormat="false" ht="15" hidden="false" customHeight="false" outlineLevel="0" collapsed="false">
      <c r="A45" s="24" t="s">
        <v>80</v>
      </c>
      <c r="B45" s="34" t="n">
        <f aca="false">SMALL(Monthly!$C$56:$C$122,2)</f>
        <v>19.5</v>
      </c>
      <c r="C45" s="32" t="n">
        <f aca="false">INDEX(Monthly!$A$56:$A$122,MATCH(B45,Monthly!$C$56:$C$122,0))</f>
        <v>44742</v>
      </c>
    </row>
    <row r="46" customFormat="false" ht="15" hidden="false" customHeight="false" outlineLevel="0" collapsed="false">
      <c r="A46" s="24" t="s">
        <v>81</v>
      </c>
      <c r="B46" s="33" t="n">
        <f aca="false">MEDIAN(Monthly!$C$2:$C$55)</f>
        <v>26.35</v>
      </c>
    </row>
    <row r="47" customFormat="false" ht="15" hidden="false" customHeight="false" outlineLevel="0" collapsed="false">
      <c r="A47" s="24" t="s">
        <v>82</v>
      </c>
      <c r="B47" s="33" t="n">
        <f aca="false">B46/$B$11</f>
        <v>21.8653080001258</v>
      </c>
    </row>
    <row r="49" customFormat="false" ht="15" hidden="false" customHeight="false" outlineLevel="0" collapsed="false">
      <c r="A49" s="22" t="s">
        <v>83</v>
      </c>
    </row>
    <row r="50" customFormat="false" ht="15" hidden="false" customHeight="false" outlineLevel="0" collapsed="false">
      <c r="A50" s="19" t="n">
        <f aca="false">Monthly!A2</f>
        <v>42643</v>
      </c>
      <c r="B50" s="40" t="n">
        <f aca="false">Monthly!C122</f>
        <v>19.26</v>
      </c>
    </row>
    <row r="51" customFormat="false" ht="15" hidden="false" customHeight="false" outlineLevel="0" collapsed="false">
      <c r="A51" s="19" t="n">
        <f aca="false">Monthly!A122</f>
        <v>46293</v>
      </c>
      <c r="B51" s="40" t="n">
        <f aca="false">Monthly!C122</f>
        <v>19.26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4"/>
    <col collapsed="false" customWidth="true" hidden="false" outlineLevel="0" max="3" min="3" style="0" width="13"/>
    <col collapsed="false" customWidth="true" hidden="false" outlineLevel="0" max="4" min="4" style="0" width="11"/>
    <col collapsed="false" customWidth="true" hidden="false" outlineLevel="0" max="5" min="5" style="0" width="52"/>
    <col collapsed="false" customWidth="true" hidden="false" outlineLevel="0" max="6" min="6" style="0" width="18"/>
    <col collapsed="false" customWidth="true" hidden="false" outlineLevel="0" max="7" min="7" style="0" width="80"/>
  </cols>
  <sheetData>
    <row r="1" customFormat="false" ht="15" hidden="false" customHeight="false" outlineLevel="0" collapsed="false">
      <c r="A1" s="41" t="s">
        <v>84</v>
      </c>
    </row>
    <row r="2" customFormat="false" ht="15" hidden="false" customHeight="false" outlineLevel="0" collapsed="false">
      <c r="A2" s="42" t="s">
        <v>19</v>
      </c>
      <c r="B2" s="42" t="s">
        <v>85</v>
      </c>
      <c r="C2" s="42" t="s">
        <v>86</v>
      </c>
      <c r="D2" s="42" t="s">
        <v>87</v>
      </c>
      <c r="E2" s="42" t="s">
        <v>86</v>
      </c>
      <c r="F2" s="42" t="s">
        <v>88</v>
      </c>
      <c r="G2" s="42" t="s">
        <v>89</v>
      </c>
    </row>
    <row r="3" customFormat="false" ht="15" hidden="false" customHeight="false" outlineLevel="0" collapsed="false">
      <c r="A3" s="19" t="n">
        <v>42734</v>
      </c>
      <c r="B3" s="25" t="n">
        <v>21.93</v>
      </c>
      <c r="C3" s="25" t="n">
        <v>21.93</v>
      </c>
      <c r="D3" s="43" t="n">
        <f aca="false">ROUND(C3-B3,2)</f>
        <v>0</v>
      </c>
      <c r="E3" s="24" t="s">
        <v>90</v>
      </c>
      <c r="F3" s="24" t="s">
        <v>91</v>
      </c>
      <c r="G3" s="24" t="s">
        <v>92</v>
      </c>
    </row>
    <row r="4" customFormat="false" ht="15" hidden="false" customHeight="false" outlineLevel="0" collapsed="false">
      <c r="A4" s="19" t="n">
        <v>42825</v>
      </c>
      <c r="B4" s="25" t="n">
        <v>23.3</v>
      </c>
      <c r="C4" s="25" t="n">
        <v>23.26</v>
      </c>
      <c r="D4" s="43" t="n">
        <f aca="false">ROUND(C4-B4,2)</f>
        <v>-0.04</v>
      </c>
      <c r="E4" s="24" t="s">
        <v>93</v>
      </c>
      <c r="F4" s="24" t="s">
        <v>94</v>
      </c>
      <c r="G4" s="24" t="s">
        <v>95</v>
      </c>
    </row>
    <row r="5" customFormat="false" ht="15" hidden="false" customHeight="false" outlineLevel="0" collapsed="false">
      <c r="A5" s="19" t="n">
        <v>43098</v>
      </c>
      <c r="B5" s="25" t="n">
        <v>26.92</v>
      </c>
      <c r="C5" s="25" t="n">
        <v>26.92</v>
      </c>
      <c r="D5" s="43" t="n">
        <f aca="false">ROUND(C5-B5,2)</f>
        <v>0</v>
      </c>
      <c r="E5" s="24" t="s">
        <v>93</v>
      </c>
      <c r="F5" s="24" t="s">
        <v>94</v>
      </c>
      <c r="G5" s="24" t="s">
        <v>96</v>
      </c>
    </row>
    <row r="6" customFormat="false" ht="15" hidden="false" customHeight="false" outlineLevel="0" collapsed="false">
      <c r="A6" s="19" t="n">
        <v>43131</v>
      </c>
      <c r="B6" s="25" t="n">
        <v>27.5</v>
      </c>
      <c r="C6" s="25" t="n">
        <v>27.5</v>
      </c>
      <c r="D6" s="43" t="n">
        <f aca="false">ROUND(C6-B6,2)</f>
        <v>0</v>
      </c>
      <c r="E6" s="24" t="s">
        <v>97</v>
      </c>
      <c r="F6" s="24" t="s">
        <v>91</v>
      </c>
      <c r="G6" s="24" t="s">
        <v>98</v>
      </c>
    </row>
    <row r="7" customFormat="false" ht="15" hidden="false" customHeight="false" outlineLevel="0" collapsed="false">
      <c r="A7" s="19" t="n">
        <v>43343</v>
      </c>
      <c r="B7" s="25" t="n">
        <v>28.4</v>
      </c>
      <c r="C7" s="25" t="n">
        <v>28.4</v>
      </c>
      <c r="D7" s="43" t="n">
        <f aca="false">ROUND(C7-B7,2)</f>
        <v>0</v>
      </c>
      <c r="E7" s="24" t="s">
        <v>93</v>
      </c>
      <c r="F7" s="24" t="s">
        <v>94</v>
      </c>
      <c r="G7" s="24" t="s">
        <v>99</v>
      </c>
    </row>
    <row r="8" customFormat="false" ht="15" hidden="false" customHeight="false" outlineLevel="0" collapsed="false">
      <c r="A8" s="19" t="n">
        <v>43465</v>
      </c>
      <c r="B8" s="25" t="n">
        <v>26.17</v>
      </c>
      <c r="C8" s="25" t="n">
        <v>26.17</v>
      </c>
      <c r="D8" s="43" t="n">
        <f aca="false">ROUND(C8-B8,2)</f>
        <v>0</v>
      </c>
      <c r="E8" s="24" t="s">
        <v>93</v>
      </c>
      <c r="F8" s="24" t="s">
        <v>94</v>
      </c>
      <c r="G8" s="24" t="s">
        <v>100</v>
      </c>
    </row>
    <row r="9" customFormat="false" ht="15" hidden="false" customHeight="false" outlineLevel="0" collapsed="false">
      <c r="A9" s="19" t="n">
        <v>43553</v>
      </c>
      <c r="B9" s="25" t="n">
        <v>29</v>
      </c>
      <c r="C9" s="25" t="n">
        <v>29.01</v>
      </c>
      <c r="D9" s="43" t="n">
        <f aca="false">ROUND(C9-B9,2)</f>
        <v>0.01</v>
      </c>
      <c r="E9" s="24" t="s">
        <v>101</v>
      </c>
      <c r="F9" s="24" t="s">
        <v>91</v>
      </c>
      <c r="G9" s="24" t="s">
        <v>102</v>
      </c>
    </row>
    <row r="10" customFormat="false" ht="15" hidden="false" customHeight="false" outlineLevel="0" collapsed="false">
      <c r="A10" s="19" t="n">
        <v>43644</v>
      </c>
      <c r="B10" s="25" t="n">
        <v>29</v>
      </c>
      <c r="C10" s="25" t="n">
        <v>28.98</v>
      </c>
      <c r="D10" s="43" t="n">
        <f aca="false">ROUND(C10-B10,2)</f>
        <v>-0.02</v>
      </c>
      <c r="E10" s="24" t="s">
        <v>93</v>
      </c>
      <c r="F10" s="24" t="s">
        <v>94</v>
      </c>
      <c r="G10" s="24" t="s">
        <v>103</v>
      </c>
    </row>
    <row r="11" customFormat="false" ht="15" hidden="false" customHeight="false" outlineLevel="0" collapsed="false">
      <c r="A11" s="19" t="n">
        <v>43830</v>
      </c>
      <c r="B11" s="25" t="n">
        <v>28.3</v>
      </c>
      <c r="C11" s="25" t="n">
        <v>28.3</v>
      </c>
      <c r="D11" s="43" t="n">
        <f aca="false">ROUND(C11-B11,2)</f>
        <v>0</v>
      </c>
      <c r="E11" s="24" t="s">
        <v>104</v>
      </c>
      <c r="F11" s="24" t="s">
        <v>91</v>
      </c>
      <c r="G11" s="24" t="s">
        <v>105</v>
      </c>
    </row>
    <row r="12" customFormat="false" ht="15" hidden="false" customHeight="false" outlineLevel="0" collapsed="false">
      <c r="A12" s="19" t="n">
        <v>43921</v>
      </c>
      <c r="B12" s="25" t="n">
        <v>19.4</v>
      </c>
      <c r="C12" s="25" t="n">
        <v>19.38</v>
      </c>
      <c r="D12" s="43" t="n">
        <f aca="false">ROUND(C12-B12,2)</f>
        <v>-0.02</v>
      </c>
      <c r="E12" s="24" t="s">
        <v>106</v>
      </c>
      <c r="F12" s="24" t="s">
        <v>91</v>
      </c>
      <c r="G12" s="24" t="s">
        <v>107</v>
      </c>
    </row>
    <row r="13" customFormat="false" ht="15" hidden="false" customHeight="false" outlineLevel="0" collapsed="false">
      <c r="A13" s="19" t="n">
        <v>44012</v>
      </c>
      <c r="B13" s="25" t="n">
        <v>26.3</v>
      </c>
      <c r="C13" s="25" t="n">
        <v>26.32</v>
      </c>
      <c r="D13" s="43" t="n">
        <f aca="false">ROUND(C13-B13,2)</f>
        <v>0.02</v>
      </c>
      <c r="E13" s="24" t="s">
        <v>108</v>
      </c>
      <c r="F13" s="24" t="s">
        <v>91</v>
      </c>
      <c r="G13" s="24" t="s">
        <v>109</v>
      </c>
    </row>
    <row r="14" customFormat="false" ht="15" hidden="false" customHeight="false" outlineLevel="0" collapsed="false">
      <c r="A14" s="19" t="n">
        <v>44196</v>
      </c>
      <c r="B14" s="25" t="n">
        <v>38.45</v>
      </c>
      <c r="C14" s="25" t="n">
        <v>38.45</v>
      </c>
      <c r="D14" s="43" t="n">
        <f aca="false">ROUND(C14-B14,2)</f>
        <v>0</v>
      </c>
      <c r="E14" s="24" t="s">
        <v>110</v>
      </c>
      <c r="F14" s="24" t="s">
        <v>91</v>
      </c>
      <c r="G14" s="24" t="s">
        <v>111</v>
      </c>
    </row>
    <row r="15" customFormat="false" ht="15" hidden="false" customHeight="false" outlineLevel="0" collapsed="false">
      <c r="A15" s="19" t="n">
        <v>44253</v>
      </c>
      <c r="B15" s="25" t="n">
        <v>39.6</v>
      </c>
      <c r="C15" s="25" t="n">
        <v>39.65</v>
      </c>
      <c r="D15" s="43" t="n">
        <f aca="false">ROUND(C15-B15,2)</f>
        <v>0.05</v>
      </c>
      <c r="E15" s="24" t="s">
        <v>112</v>
      </c>
      <c r="F15" s="24" t="s">
        <v>91</v>
      </c>
      <c r="G15" s="24" t="s">
        <v>113</v>
      </c>
    </row>
    <row r="16" customFormat="false" ht="15" hidden="false" customHeight="false" outlineLevel="0" collapsed="false">
      <c r="A16" s="19" t="n">
        <v>44285</v>
      </c>
      <c r="B16" s="25" t="n">
        <v>40.43</v>
      </c>
      <c r="C16" s="25" t="n">
        <v>40.43</v>
      </c>
      <c r="D16" s="43" t="n">
        <f aca="false">ROUND(C16-B16,2)</f>
        <v>0</v>
      </c>
      <c r="E16" s="24" t="s">
        <v>114</v>
      </c>
      <c r="F16" s="24" t="s">
        <v>115</v>
      </c>
      <c r="G16" s="24" t="s">
        <v>116</v>
      </c>
    </row>
    <row r="17" customFormat="false" ht="15" hidden="false" customHeight="false" outlineLevel="0" collapsed="false">
      <c r="A17" s="19" t="n">
        <v>44286</v>
      </c>
      <c r="B17" s="25" t="n">
        <v>33.2</v>
      </c>
      <c r="C17" s="25" t="n">
        <v>33.2</v>
      </c>
      <c r="D17" s="43" t="n">
        <f aca="false">ROUND(C17-B17,2)</f>
        <v>0</v>
      </c>
      <c r="E17" s="24" t="s">
        <v>117</v>
      </c>
      <c r="F17" s="24" t="s">
        <v>91</v>
      </c>
      <c r="G17" s="24" t="s">
        <v>118</v>
      </c>
    </row>
    <row r="18" customFormat="false" ht="15" hidden="false" customHeight="false" outlineLevel="0" collapsed="false">
      <c r="A18" s="19" t="n">
        <v>44498</v>
      </c>
      <c r="B18" s="25" t="n">
        <v>25.7</v>
      </c>
      <c r="C18" s="25" t="n">
        <v>25.71</v>
      </c>
      <c r="D18" s="43" t="n">
        <f aca="false">ROUND(C18-B18,2)</f>
        <v>0.01</v>
      </c>
      <c r="E18" s="24" t="s">
        <v>119</v>
      </c>
      <c r="F18" s="24" t="s">
        <v>91</v>
      </c>
      <c r="G18" s="24" t="s">
        <v>120</v>
      </c>
    </row>
    <row r="19" customFormat="false" ht="15" hidden="false" customHeight="false" outlineLevel="0" collapsed="false">
      <c r="A19" s="19" t="n">
        <v>44742</v>
      </c>
      <c r="B19" s="25" t="n">
        <v>19.5</v>
      </c>
      <c r="C19" s="25" t="n">
        <v>19.5</v>
      </c>
      <c r="D19" s="43" t="n">
        <f aca="false">ROUND(C19-B19,2)</f>
        <v>0</v>
      </c>
      <c r="E19" s="24" t="s">
        <v>93</v>
      </c>
      <c r="F19" s="24" t="s">
        <v>94</v>
      </c>
      <c r="G19" s="24" t="s">
        <v>121</v>
      </c>
    </row>
    <row r="20" customFormat="false" ht="15" hidden="false" customHeight="false" outlineLevel="0" collapsed="false">
      <c r="A20" s="19" t="n">
        <v>44925</v>
      </c>
      <c r="B20" s="25" t="n">
        <v>21.79</v>
      </c>
      <c r="C20" s="25" t="n">
        <v>21.79</v>
      </c>
      <c r="D20" s="43" t="n">
        <f aca="false">ROUND(C20-B20,2)</f>
        <v>0</v>
      </c>
      <c r="E20" s="24" t="s">
        <v>122</v>
      </c>
      <c r="F20" s="24" t="s">
        <v>91</v>
      </c>
      <c r="G20" s="24" t="s">
        <v>123</v>
      </c>
    </row>
    <row r="21" customFormat="false" ht="15" hidden="false" customHeight="false" outlineLevel="0" collapsed="false">
      <c r="A21" s="19" t="n">
        <v>45016</v>
      </c>
      <c r="B21" s="25" t="n">
        <v>20.4</v>
      </c>
      <c r="C21" s="25" t="n">
        <v>20.44</v>
      </c>
      <c r="D21" s="43" t="n">
        <f aca="false">ROUND(C21-B21,2)</f>
        <v>0.04</v>
      </c>
      <c r="E21" s="24" t="s">
        <v>124</v>
      </c>
      <c r="F21" s="24" t="s">
        <v>91</v>
      </c>
      <c r="G21" s="24" t="s">
        <v>125</v>
      </c>
    </row>
    <row r="22" customFormat="false" ht="15" hidden="false" customHeight="false" outlineLevel="0" collapsed="false">
      <c r="A22" s="19" t="n">
        <v>45289</v>
      </c>
      <c r="B22" s="25" t="n">
        <v>23.17</v>
      </c>
      <c r="C22" s="25" t="n">
        <v>23.17</v>
      </c>
      <c r="D22" s="43" t="n">
        <f aca="false">ROUND(C22-B22,2)</f>
        <v>0</v>
      </c>
      <c r="E22" s="24" t="s">
        <v>126</v>
      </c>
      <c r="F22" s="24" t="s">
        <v>91</v>
      </c>
      <c r="G22" s="24" t="s">
        <v>127</v>
      </c>
    </row>
    <row r="23" customFormat="false" ht="15" hidden="false" customHeight="false" outlineLevel="0" collapsed="false">
      <c r="A23" s="19" t="n">
        <v>45565</v>
      </c>
      <c r="B23" s="25" t="n">
        <v>24.3</v>
      </c>
      <c r="C23" s="25" t="n">
        <v>24.26</v>
      </c>
      <c r="D23" s="43" t="n">
        <f aca="false">ROUND(C23-B23,2)</f>
        <v>-0.04</v>
      </c>
      <c r="E23" s="24" t="s">
        <v>128</v>
      </c>
      <c r="F23" s="24" t="s">
        <v>91</v>
      </c>
      <c r="G23" s="24" t="s">
        <v>129</v>
      </c>
    </row>
    <row r="24" customFormat="false" ht="15" hidden="false" customHeight="false" outlineLevel="0" collapsed="false">
      <c r="A24" s="19" t="n">
        <v>45744</v>
      </c>
      <c r="B24" s="25" t="n">
        <v>21.4</v>
      </c>
      <c r="C24" s="25" t="n">
        <v>21.37</v>
      </c>
      <c r="D24" s="43" t="n">
        <f aca="false">ROUND(C24-B24,2)</f>
        <v>-0.03</v>
      </c>
      <c r="E24" s="24" t="s">
        <v>130</v>
      </c>
      <c r="F24" s="24" t="s">
        <v>91</v>
      </c>
      <c r="G24" s="24" t="s">
        <v>131</v>
      </c>
    </row>
    <row r="25" customFormat="false" ht="15" hidden="false" customHeight="false" outlineLevel="0" collapsed="false">
      <c r="A25" s="19" t="n">
        <v>46022</v>
      </c>
      <c r="B25" s="25" t="n">
        <v>22.75</v>
      </c>
      <c r="C25" s="25" t="n">
        <v>22.75</v>
      </c>
      <c r="D25" s="43" t="n">
        <f aca="false">ROUND(C25-B25,2)</f>
        <v>0</v>
      </c>
      <c r="E25" s="24" t="s">
        <v>132</v>
      </c>
      <c r="F25" s="24" t="s">
        <v>91</v>
      </c>
      <c r="G25" s="24" t="s">
        <v>133</v>
      </c>
    </row>
    <row r="26" customFormat="false" ht="15" hidden="false" customHeight="false" outlineLevel="0" collapsed="false">
      <c r="A26" s="19" t="n">
        <v>46111</v>
      </c>
      <c r="B26" s="25" t="n">
        <v>19.6</v>
      </c>
      <c r="C26" s="25" t="n">
        <v>19.62</v>
      </c>
      <c r="D26" s="43" t="n">
        <f aca="false">ROUND(C26-B26,2)</f>
        <v>0.02</v>
      </c>
      <c r="E26" s="24" t="s">
        <v>134</v>
      </c>
      <c r="F26" s="24" t="s">
        <v>91</v>
      </c>
      <c r="G26" s="24" t="s">
        <v>135</v>
      </c>
    </row>
    <row r="27" customFormat="false" ht="15" hidden="false" customHeight="false" outlineLevel="0" collapsed="false">
      <c r="A27" s="19" t="n">
        <v>46234</v>
      </c>
      <c r="B27" s="25" t="n">
        <v>20.7</v>
      </c>
      <c r="C27" s="25" t="n">
        <v>20.78</v>
      </c>
      <c r="D27" s="43" t="n">
        <f aca="false">ROUND(C27-B27,2)</f>
        <v>0.08</v>
      </c>
      <c r="E27" s="24" t="s">
        <v>136</v>
      </c>
      <c r="F27" s="24" t="s">
        <v>94</v>
      </c>
      <c r="G27" s="24" t="s">
        <v>137</v>
      </c>
    </row>
    <row r="28" customFormat="false" ht="15" hidden="false" customHeight="false" outlineLevel="0" collapsed="false">
      <c r="A28" s="19" t="n">
        <v>46265</v>
      </c>
      <c r="B28" s="25" t="n">
        <v>20.4</v>
      </c>
      <c r="C28" s="25" t="n">
        <v>20.36</v>
      </c>
      <c r="D28" s="43" t="n">
        <f aca="false">ROUND(C28-B28,2)</f>
        <v>-0.04</v>
      </c>
      <c r="E28" s="24" t="s">
        <v>138</v>
      </c>
      <c r="F28" s="24" t="s">
        <v>91</v>
      </c>
      <c r="G28" s="24" t="s">
        <v>139</v>
      </c>
    </row>
    <row r="29" customFormat="false" ht="15" hidden="false" customHeight="false" outlineLevel="0" collapsed="false">
      <c r="A29" s="24" t="s">
        <v>140</v>
      </c>
      <c r="D29" s="40" t="n">
        <f aca="false">SUMPRODUCT(MAX(ABS(D3:D28)))</f>
        <v>0.08</v>
      </c>
    </row>
    <row r="30" customFormat="false" ht="15" hidden="false" customHeight="false" outlineLevel="0" collapsed="false">
      <c r="A30" s="22" t="s">
        <v>141</v>
      </c>
    </row>
    <row r="32" customFormat="false" ht="15" hidden="false" customHeight="false" outlineLevel="0" collapsed="false">
      <c r="A32" s="41" t="s">
        <v>142</v>
      </c>
    </row>
    <row r="33" customFormat="false" ht="15" hidden="false" customHeight="false" outlineLevel="0" collapsed="false">
      <c r="A33" s="42" t="s">
        <v>143</v>
      </c>
      <c r="B33" s="42" t="s">
        <v>69</v>
      </c>
      <c r="C33" s="42"/>
      <c r="D33" s="42"/>
      <c r="E33" s="42" t="s">
        <v>144</v>
      </c>
      <c r="F33" s="42"/>
      <c r="G33" s="42" t="s">
        <v>89</v>
      </c>
    </row>
    <row r="34" customFormat="false" ht="15" hidden="false" customHeight="false" outlineLevel="0" collapsed="false">
      <c r="A34" s="24" t="s">
        <v>145</v>
      </c>
      <c r="B34" s="39" t="n">
        <f aca="false">Summary!B9</f>
        <v>1.20510536599111</v>
      </c>
      <c r="E34" s="24" t="s">
        <v>146</v>
      </c>
      <c r="G34" s="24" t="s">
        <v>147</v>
      </c>
    </row>
    <row r="35" customFormat="false" ht="15" hidden="false" customHeight="false" outlineLevel="0" collapsed="false">
      <c r="A35" s="24" t="s">
        <v>148</v>
      </c>
      <c r="B35" s="28" t="n">
        <v>1.16</v>
      </c>
      <c r="E35" s="24" t="s">
        <v>149</v>
      </c>
      <c r="G35" s="24" t="s">
        <v>150</v>
      </c>
    </row>
    <row r="36" customFormat="false" ht="15" hidden="false" customHeight="false" outlineLevel="0" collapsed="false">
      <c r="A36" s="24" t="s">
        <v>151</v>
      </c>
      <c r="B36" s="28" t="n">
        <v>1.14</v>
      </c>
      <c r="E36" s="24" t="s">
        <v>152</v>
      </c>
      <c r="G36" s="24" t="s">
        <v>150</v>
      </c>
    </row>
    <row r="37" customFormat="false" ht="15" hidden="false" customHeight="false" outlineLevel="0" collapsed="false">
      <c r="A37" s="24" t="s">
        <v>153</v>
      </c>
      <c r="B37" s="28" t="n">
        <v>1.137</v>
      </c>
      <c r="E37" s="24" t="s">
        <v>154</v>
      </c>
      <c r="G37" s="24" t="s">
        <v>150</v>
      </c>
    </row>
    <row r="38" customFormat="false" ht="15" hidden="false" customHeight="false" outlineLevel="0" collapsed="false">
      <c r="A38" s="24" t="s">
        <v>155</v>
      </c>
      <c r="B38" s="28" t="n">
        <v>1.05</v>
      </c>
      <c r="E38" s="24" t="s">
        <v>156</v>
      </c>
      <c r="G38" s="24" t="s">
        <v>157</v>
      </c>
    </row>
    <row r="40" customFormat="false" ht="15" hidden="false" customHeight="false" outlineLevel="0" collapsed="false">
      <c r="A40" s="41" t="s">
        <v>158</v>
      </c>
    </row>
    <row r="41" customFormat="false" ht="30" hidden="false" customHeight="true" outlineLevel="0" collapsed="false">
      <c r="A41" s="36" t="s">
        <v>159</v>
      </c>
      <c r="B41" s="36" t="s">
        <v>160</v>
      </c>
      <c r="C41" s="36" t="s">
        <v>161</v>
      </c>
      <c r="D41" s="36" t="s">
        <v>162</v>
      </c>
      <c r="E41" s="36" t="s">
        <v>163</v>
      </c>
    </row>
    <row r="42" customFormat="false" ht="15" hidden="false" customHeight="false" outlineLevel="0" collapsed="false">
      <c r="A42" s="24" t="s">
        <v>164</v>
      </c>
      <c r="B42" s="44" t="n">
        <v>393</v>
      </c>
      <c r="E42" s="24" t="s">
        <v>165</v>
      </c>
    </row>
    <row r="43" customFormat="false" ht="15" hidden="false" customHeight="false" outlineLevel="0" collapsed="false">
      <c r="A43" s="24" t="s">
        <v>166</v>
      </c>
      <c r="B43" s="44" t="n">
        <v>481</v>
      </c>
      <c r="C43" s="10" t="n">
        <f aca="false">INDEX(Monthly!$E:$E,MATCH(DATE(2019,5,31),Monthly!$A:$A,1))</f>
        <v>404.162711864407</v>
      </c>
      <c r="D43" s="40" t="n">
        <f aca="false">C43/B43</f>
        <v>0.84025511822122</v>
      </c>
      <c r="E43" s="24" t="s">
        <v>167</v>
      </c>
    </row>
    <row r="44" customFormat="false" ht="15" hidden="false" customHeight="false" outlineLevel="0" collapsed="false">
      <c r="A44" s="24" t="s">
        <v>168</v>
      </c>
      <c r="B44" s="44" t="n">
        <v>539</v>
      </c>
      <c r="C44" s="10" t="n">
        <f aca="false">INDEX(Monthly!$E:$E,MATCH(DATE(2021,5,31),Monthly!$A:$A,1))</f>
        <v>533.657534246575</v>
      </c>
      <c r="D44" s="40" t="n">
        <f aca="false">C44/B44</f>
        <v>0.9900881896968</v>
      </c>
      <c r="E44" s="24" t="s">
        <v>169</v>
      </c>
    </row>
    <row r="45" customFormat="false" ht="15" hidden="false" customHeight="false" outlineLevel="0" collapsed="false">
      <c r="A45" s="24" t="s">
        <v>170</v>
      </c>
      <c r="B45" s="44" t="n">
        <v>737</v>
      </c>
      <c r="C45" s="10" t="n">
        <f aca="false">INDEX(Monthly!$E:$E,MATCH(DATE(2022,5,31),Monthly!$A:$A,1))</f>
        <v>812.968137254902</v>
      </c>
      <c r="D45" s="40" t="n">
        <f aca="false">C45/B45</f>
        <v>1.10307752680448</v>
      </c>
      <c r="E45" s="24" t="s">
        <v>171</v>
      </c>
    </row>
    <row r="46" customFormat="false" ht="15" hidden="false" customHeight="false" outlineLevel="0" collapsed="false">
      <c r="A46" s="24" t="s">
        <v>172</v>
      </c>
      <c r="B46" s="44" t="n">
        <v>806</v>
      </c>
      <c r="C46" s="10" t="n">
        <f aca="false">INDEX(Monthly!$E:$E,MATCH(DATE(2023,5,31),Monthly!$A:$A,1))</f>
        <v>858.074074074074</v>
      </c>
      <c r="D46" s="40" t="n">
        <f aca="false">C46/B46</f>
        <v>1.06460803234997</v>
      </c>
      <c r="E46" s="24" t="s">
        <v>173</v>
      </c>
    </row>
    <row r="47" customFormat="false" ht="15" hidden="false" customHeight="false" outlineLevel="0" collapsed="false">
      <c r="A47" s="24" t="s">
        <v>174</v>
      </c>
      <c r="B47" s="44" t="n">
        <v>1005</v>
      </c>
      <c r="C47" s="10" t="n">
        <f aca="false">INDEX(Monthly!$E:$E,MATCH(DATE(2024,5,31),Monthly!$A:$A,1))</f>
        <v>1052.83644859813</v>
      </c>
      <c r="D47" s="40" t="n">
        <f aca="false">C47/B47</f>
        <v>1.04759845631655</v>
      </c>
      <c r="E47" s="24" t="s">
        <v>175</v>
      </c>
    </row>
    <row r="48" customFormat="false" ht="15" hidden="false" customHeight="false" outlineLevel="0" collapsed="false">
      <c r="A48" s="24" t="s">
        <v>176</v>
      </c>
      <c r="B48" s="44" t="n">
        <v>1013</v>
      </c>
      <c r="C48" s="10" t="n">
        <f aca="false">INDEX(Monthly!$E:$E,MATCH(DATE(2025,5,31),Monthly!$A:$A,1))</f>
        <v>1109.89686098655</v>
      </c>
      <c r="D48" s="40" t="n">
        <f aca="false">C48/B48</f>
        <v>1.09565336721278</v>
      </c>
      <c r="E48" s="24" t="s">
        <v>177</v>
      </c>
    </row>
    <row r="49" customFormat="false" ht="15" hidden="false" customHeight="false" outlineLevel="0" collapsed="false">
      <c r="A49" s="24" t="s">
        <v>178</v>
      </c>
      <c r="B49" s="44" t="n">
        <v>1065</v>
      </c>
      <c r="C49" s="10" t="n">
        <f aca="false">INDEX(Monthly!$E:$E,MATCH(DATE(2026,5,31),Monthly!$A:$A,1))</f>
        <v>1159.98768472906</v>
      </c>
      <c r="D49" s="40" t="n">
        <f aca="false">C49/B49</f>
        <v>1.08919031429959</v>
      </c>
      <c r="E49" s="24" t="s">
        <v>179</v>
      </c>
    </row>
    <row r="50" customFormat="false" ht="15" hidden="false" customHeight="false" outlineLevel="0" collapsed="false">
      <c r="A50" s="24" t="s">
        <v>180</v>
      </c>
      <c r="B50" s="34" t="n">
        <f aca="false">B49/B42</f>
        <v>2.70992366412214</v>
      </c>
    </row>
    <row r="51" customFormat="false" ht="15" hidden="false" customHeight="false" outlineLevel="0" collapsed="false">
      <c r="A51" s="22"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0"/>
  </cols>
  <sheetData>
    <row r="1" customFormat="false" ht="15" hidden="false" customHeight="false" outlineLevel="0" collapsed="false">
      <c r="A1" s="45" t="s">
        <v>182</v>
      </c>
    </row>
    <row r="2" customFormat="false" ht="23.85" hidden="false" customHeight="false" outlineLevel="0" collapsed="false">
      <c r="A2" s="46" t="s">
        <v>183</v>
      </c>
    </row>
    <row r="3" customFormat="false" ht="35.05" hidden="false" customHeight="false" outlineLevel="0" collapsed="false">
      <c r="A3" s="46" t="s">
        <v>184</v>
      </c>
    </row>
    <row r="4" customFormat="false" ht="15" hidden="false" customHeight="false" outlineLevel="0" collapsed="false">
      <c r="A4" s="46" t="s">
        <v>185</v>
      </c>
    </row>
    <row r="5" customFormat="false" ht="23.85" hidden="false" customHeight="false" outlineLevel="0" collapsed="false">
      <c r="A5" s="46" t="s">
        <v>186</v>
      </c>
    </row>
    <row r="6" customFormat="false" ht="23.85" hidden="false" customHeight="false" outlineLevel="0" collapsed="false">
      <c r="A6" s="46" t="s">
        <v>187</v>
      </c>
    </row>
    <row r="7" customFormat="false" ht="15" hidden="false" customHeight="false" outlineLevel="0" collapsed="false">
      <c r="A7" s="46" t="s">
        <v>188</v>
      </c>
    </row>
    <row r="8" customFormat="false" ht="15" hidden="false" customHeight="false" outlineLevel="0" collapsed="false">
      <c r="A8" s="46"/>
    </row>
    <row r="9" customFormat="false" ht="15" hidden="false" customHeight="false" outlineLevel="0" collapsed="false">
      <c r="A9" s="45" t="s">
        <v>189</v>
      </c>
    </row>
    <row r="10" customFormat="false" ht="23.85" hidden="false" customHeight="false" outlineLevel="0" collapsed="false">
      <c r="A10" s="46" t="s">
        <v>190</v>
      </c>
    </row>
    <row r="11" customFormat="false" ht="23.85" hidden="false" customHeight="false" outlineLevel="0" collapsed="false">
      <c r="A11" s="46" t="s">
        <v>191</v>
      </c>
    </row>
    <row r="12" customFormat="false" ht="15" hidden="false" customHeight="false" outlineLevel="0" collapsed="false">
      <c r="A12" s="46" t="s">
        <v>192</v>
      </c>
    </row>
    <row r="13" customFormat="false" ht="15" hidden="false" customHeight="false" outlineLevel="0" collapsed="false">
      <c r="A13" s="46"/>
    </row>
    <row r="14" customFormat="false" ht="15" hidden="false" customHeight="false" outlineLevel="0" collapsed="false">
      <c r="A14" s="45" t="s">
        <v>193</v>
      </c>
    </row>
    <row r="15" customFormat="false" ht="15" hidden="false" customHeight="false" outlineLevel="0" collapsed="false">
      <c r="A15" s="46" t="s">
        <v>194</v>
      </c>
    </row>
    <row r="16" customFormat="false" ht="15" hidden="false" customHeight="false" outlineLevel="0" collapsed="false">
      <c r="A16" s="46" t="s">
        <v>195</v>
      </c>
    </row>
    <row r="17" customFormat="false" ht="15" hidden="false" customHeight="false" outlineLevel="0" collapsed="false">
      <c r="A17" s="46" t="s">
        <v>196</v>
      </c>
    </row>
    <row r="18" customFormat="false" ht="15" hidden="false" customHeight="false" outlineLevel="0" collapsed="false">
      <c r="A18" s="46" t="s">
        <v>197</v>
      </c>
    </row>
    <row r="19" customFormat="false" ht="15" hidden="false" customHeight="false" outlineLevel="0" collapsed="false">
      <c r="A19" s="46" t="s">
        <v>198</v>
      </c>
    </row>
    <row r="20" customFormat="false" ht="15" hidden="false" customHeight="false" outlineLevel="0" collapsed="false">
      <c r="A20" s="46" t="s">
        <v>199</v>
      </c>
    </row>
    <row r="21" customFormat="false" ht="15" hidden="false" customHeight="false" outlineLevel="0" collapsed="false">
      <c r="A21" s="46" t="s">
        <v>200</v>
      </c>
    </row>
    <row r="22" customFormat="false" ht="15" hidden="false" customHeight="false" outlineLevel="0" collapsed="false">
      <c r="A22" s="46" t="s">
        <v>201</v>
      </c>
    </row>
    <row r="23" customFormat="false" ht="15" hidden="false" customHeight="false" outlineLevel="0" collapsed="false">
      <c r="A23" s="46" t="s">
        <v>202</v>
      </c>
    </row>
    <row r="24" customFormat="false" ht="15" hidden="false" customHeight="false" outlineLevel="0" collapsed="false">
      <c r="A24" s="46"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2026-09-29T16:03:02Z</dcterms:created>
  <dc:creator>openpyxl</dc:creator>
  <dc:description/>
  <dc:language>en-US</dc:language>
  <cp:lastModifiedBy/>
  <dcterms:modified xsi:type="dcterms:W3CDTF">2026-09-29T16:03:04Z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