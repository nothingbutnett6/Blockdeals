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rt" sheetId="1" state="visible" r:id="rId3"/>
    <sheet name="Data" sheetId="2" state="visible" r:id="rId4"/>
    <sheet name="Summary" sheetId="3" state="visible" r:id="rId5"/>
    <sheet name="Validation" sheetId="4" state="visible" r:id="rId6"/>
    <sheet name="Method &amp; Sources" sheetId="5" state="visible" r:id="rId7"/>
  </sheets>
  <definedNames>
    <definedName function="false" hidden="false" localSheetId="0" name="_xlnm.Print_Area" vbProcedure="false">Chart!$A$1:$T$45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Read off the Bloomberg chart image: midpoint of the orange stroke at this date. Blank where the red annotation circle or dashed line hides an edge of the stroke.</t>
        </r>
      </text>
    </comment>
    <comment ref="D1" authorId="0">
      <text>
        <r>
          <rPr>
            <sz val="10"/>
            <rFont val="Arial"/>
            <family val="2"/>
          </rPr>
          <t xml:space="preserve">The true line centre must lie between these two values (stroke edges minus half the stroke width). Blank = that edge is hidden by an annotation.</t>
        </r>
      </text>
    </comment>
    <comment ref="G1" authorId="0">
      <text>
        <r>
          <rPr>
            <sz val="10"/>
            <rFont val="Arial"/>
            <family val="2"/>
          </rPr>
          <t xml:space="preserve">Centred rolling median over 21 trading days of the raw implied EPS. Forward EPS moves slowly, so this removes digitisation noise without shifting the trend.</t>
        </r>
      </text>
    </comment>
  </commentList>
</comments>
</file>

<file path=xl/sharedStrings.xml><?xml version="1.0" encoding="utf-8"?>
<sst xmlns="http://schemas.openxmlformats.org/spreadsheetml/2006/main" count="142" uniqueCount="131">
  <si>
    <t xml:space="preserve">Since June 2020, the Nifty and its expected earnings have both grown about 2.3 times</t>
  </si>
  <si>
    <t xml:space="preserve">That is why the forward P/E is back near 17x, the level Bloomberg flagged as the cheapest since 2020. Top: price and expected earnings, indexed to 100 on 2 Jun 2020.</t>
  </si>
  <si>
    <t xml:space="preserve">Bottom: the 12-month forward P/E, which is price divided by expected earnings.</t>
  </si>
  <si>
    <t xml:space="preserve">Source: Bloomberg (Nifty 50 12-month forward P/E, digitised from Bloomberg's chart; accurate to about ±0.4x), NSE via Yahoo Finance (Nifty 50 closes). Forward EPS = Nifty close ÷ forward P/E, 21-day median. Data to 28 Sep 2026.</t>
  </si>
  <si>
    <t xml:space="preserve">Expected earnings are analyst forecasts for the next 12 months. FY27 consensus fell from ₹1,357 to ₹1,235 in the year to May 2026 (JM Financial, Bloomberg consensus). Actual reported Nifty EPS rose from ₹539 (FY21) to ₹1,065 (FY26), per Motilal Oswal.</t>
  </si>
  <si>
    <t xml:space="preserve">1 Finance | SEBI Registered Investment Advisor. This content is for information and educational purposes only. Please consult a Qualified Financial Advisor before making investment decisions.</t>
  </si>
  <si>
    <t xml:space="preserve">Date</t>
  </si>
  <si>
    <t xml:space="preserve">Nifty 50 close</t>
  </si>
  <si>
    <t xml:space="preserve">Forward P/E, digitised (band midpoint)</t>
  </si>
  <si>
    <t xml:space="preserve">Band: lowest possible P/E</t>
  </si>
  <si>
    <t xml:space="preserve">Band: highest possible P/E</t>
  </si>
  <si>
    <t xml:space="preserve">Implied forward EPS (raw)</t>
  </si>
  <si>
    <t xml:space="preserve">Forward EPS (21-day median)</t>
  </si>
  <si>
    <t xml:space="preserve">Forward P/E (rebuilt = close / forward EPS)</t>
  </si>
  <si>
    <t xml:space="preserve">Nifty 50 index (base = 100)</t>
  </si>
  <si>
    <t xml:space="preserve">Forward EPS index (base = 100)</t>
  </si>
  <si>
    <t xml:space="preserve">Latest P/E (reference line)</t>
  </si>
  <si>
    <t xml:space="preserve">Rebuilt P/E inside chart band?</t>
  </si>
  <si>
    <t xml:space="preserve">Nifty 50: price, forward P/E and forward earnings at key dates</t>
  </si>
  <si>
    <t xml:space="preserve">Blue = input you can change. Everything else is a formula on the Data sheet. Price = forward EPS x forward P/E, so the three multiples in each row reconcile.</t>
  </si>
  <si>
    <t xml:space="preserve">Index base date (input)</t>
  </si>
  <si>
    <t xml:space="preserve">Early June 2020, when the forward P/E was last at today's level (the circled point on the Bloomberg chart).</t>
  </si>
  <si>
    <t xml:space="preserve">Point in time</t>
  </si>
  <si>
    <t xml:space="preserve">Date used</t>
  </si>
  <si>
    <t xml:space="preserve">Nifty 50</t>
  </si>
  <si>
    <t xml:space="preserve">Fwd P/E</t>
  </si>
  <si>
    <t xml:space="preserve">Fwd EPS</t>
  </si>
  <si>
    <t xml:space="preserve">Price multiple to latest</t>
  </si>
  <si>
    <t xml:space="preserve">EPS multiple to latest</t>
  </si>
  <si>
    <t xml:space="preserve">P/E multiple to latest</t>
  </si>
  <si>
    <t xml:space="preserve">Price CAGR to latest</t>
  </si>
  <si>
    <t xml:space="preserve">EPS CAGR to latest</t>
  </si>
  <si>
    <t xml:space="preserve">Start of 2020 (pre-COVID)</t>
  </si>
  <si>
    <t xml:space="preserve">Index base: early June 2020</t>
  </si>
  <si>
    <t xml:space="preserve">Latest</t>
  </si>
  <si>
    <t xml:space="preserve">COVID low (lowest P/E)</t>
  </si>
  <si>
    <t xml:space="preserve">Peak forward P/E</t>
  </si>
  <si>
    <t xml:space="preserve">Mid-2022 low</t>
  </si>
  <si>
    <t xml:space="preserve">Nifty all-time closing high</t>
  </si>
  <si>
    <t xml:space="preserve">End of 2025</t>
  </si>
  <si>
    <t xml:space="preserve">Check: price multiple = EPS multiple x P/E multiple (base row)</t>
  </si>
  <si>
    <t xml:space="preserve">Latest forward P/E vs earlier lows (x)</t>
  </si>
  <si>
    <t xml:space="preserve">Latest minus mid-2022 low</t>
  </si>
  <si>
    <t xml:space="preserve">Differences this small are inside the digitisation error (about ±0.4x), so treat "cheapest since 2020" as Bloomberg's call on its own data.</t>
  </si>
  <si>
    <t xml:space="preserve">Latest minus March-2023 low</t>
  </si>
  <si>
    <t xml:space="preserve">Share of days where the rebuilt P/E sits inside the chart band</t>
  </si>
  <si>
    <t xml:space="preserve">A. Digitised forward P/E vs readings published with a Bloomberg attribution</t>
  </si>
  <si>
    <t xml:space="preserve">Published fwd P/E</t>
  </si>
  <si>
    <t xml:space="preserve">Our rebuilt fwd P/E</t>
  </si>
  <si>
    <t xml:space="preserve">Difference</t>
  </si>
  <si>
    <t xml:space="preserve">Attribution</t>
  </si>
  <si>
    <t xml:space="preserve">Source</t>
  </si>
  <si>
    <t xml:space="preserve">Bloomberg data, via Financial Express</t>
  </si>
  <si>
    <t xml:space="preserve">https://prelaunch.financialexpress.com/market/niftys-premium-valuations-take-hit-slip-below-5-yr-average-1890411/</t>
  </si>
  <si>
    <t xml:space="preserve">Financial Express (18 May 2022 report citing the 18 Oct 2021 peak)</t>
  </si>
  <si>
    <t xml:space="preserve">Financial Express (18 May 2022)</t>
  </si>
  <si>
    <t xml:space="preserve">Financial Express (13 Jun 2022)</t>
  </si>
  <si>
    <t xml:space="preserve">Bloomberg data, via Moneycontrol</t>
  </si>
  <si>
    <t xml:space="preserve">Moneycontrol (4 Sep 2024)</t>
  </si>
  <si>
    <t xml:space="preserve">Bloomberg data, via Paisa Journal</t>
  </si>
  <si>
    <t xml:space="preserve">Paisa Journal (26 Sep 2024)</t>
  </si>
  <si>
    <t xml:space="preserve">Bloomberg, via ThePrint (approximate)</t>
  </si>
  <si>
    <t xml:space="preserve">ThePrint republishing Bloomberg (12 Sep 2026)</t>
  </si>
  <si>
    <t xml:space="preserve">Mean absolute difference</t>
  </si>
  <si>
    <t xml:space="preserve">Excluded: Mint (11 Sep 2020) quoted "Bloomberg data" at 25.5x for 10 Sep 2020; the Bloomberg chart used here shows about 20x that day, so Mint was quoting a different Bloomberg field. Brokerage series (Motilal Oswal, Jefferies, LSEG) run on different earnings estimates and differ by 0.5-2x; they are not used for this check.</t>
  </si>
  <si>
    <t xml:space="preserve">B. Actual Nifty 50 EPS as reported by Motilal Oswal (fiscal years ending March)</t>
  </si>
  <si>
    <t xml:space="preserve">Fiscal year</t>
  </si>
  <si>
    <t xml:space="preserve">EPS (₹)</t>
  </si>
  <si>
    <t xml:space="preserve">YoY growth</t>
  </si>
  <si>
    <t xml:space="preserve">Status</t>
  </si>
  <si>
    <t xml:space="preserve">Note</t>
  </si>
  <si>
    <t xml:space="preserve">FY21</t>
  </si>
  <si>
    <t xml:space="preserve">actual</t>
  </si>
  <si>
    <t xml:space="preserve">+14.2% YoY as reported</t>
  </si>
  <si>
    <t xml:space="preserve">Mint (Jun 2021), MOFSL</t>
  </si>
  <si>
    <t xml:space="preserve">FY22</t>
  </si>
  <si>
    <t xml:space="preserve">actual (interim)</t>
  </si>
  <si>
    <t xml:space="preserve">From the 4QFY22 review; final print not found</t>
  </si>
  <si>
    <t xml:space="preserve">Zee Business / PTI (May 2022), MOFSL</t>
  </si>
  <si>
    <t xml:space="preserve">FY23</t>
  </si>
  <si>
    <t xml:space="preserve">MOFSL via BQ Prime (Jul 2023)</t>
  </si>
  <si>
    <t xml:space="preserve">FY24</t>
  </si>
  <si>
    <t xml:space="preserve">+24% YoY as reported</t>
  </si>
  <si>
    <t xml:space="preserve">Motilal Oswal (31 May 2024)</t>
  </si>
  <si>
    <t xml:space="preserve">FY25</t>
  </si>
  <si>
    <t xml:space="preserve">+1% YoY as reported</t>
  </si>
  <si>
    <t xml:space="preserve">Motilal Oswal (Jun 2025)</t>
  </si>
  <si>
    <t xml:space="preserve">FY26</t>
  </si>
  <si>
    <t xml:space="preserve">+5% YoY as reported</t>
  </si>
  <si>
    <t xml:space="preserve">MOFSL via The Adviser Times / ET Now (Jun 2026)</t>
  </si>
  <si>
    <t xml:space="preserve">FY27E</t>
  </si>
  <si>
    <t xml:space="preserve">estimate</t>
  </si>
  <si>
    <t xml:space="preserve">MOFSL Aug 2026; consensus was 1,357 a year earlier (JM Financial / Bloomberg)</t>
  </si>
  <si>
    <t xml:space="preserve">Motilal Oswal (Aug 2026)</t>
  </si>
  <si>
    <t xml:space="preserve">FY28E</t>
  </si>
  <si>
    <t xml:space="preserve">FY21 to FY26 actual EPS multiple</t>
  </si>
  <si>
    <t xml:space="preserve">FY21 to FY26 actual EPS CAGR</t>
  </si>
  <si>
    <t xml:space="preserve">Forward EPS multiple, base date to latest (from Summary)</t>
  </si>
  <si>
    <t xml:space="preserve">FY20 actual EPS is not cleanly reported: MOFSL's FY21 figure implies about ₹472, other houses put FY20 near ₹400, because constituents and consolidation differ. So the comparison starts at FY21.</t>
  </si>
  <si>
    <t xml:space="preserve">C. Consensus FY27 EPS and the 12-month forward blend</t>
  </si>
  <si>
    <t xml:space="preserve">Consensus FY27 EPS, mid-2025 (₹)</t>
  </si>
  <si>
    <t xml:space="preserve">JM Financial Nifty50 Analyser (Bloomberg consensus), via Moneycontrol / 5paisa, 3 Jun 2026</t>
  </si>
  <si>
    <t xml:space="preserve">Consensus FY27 EPS, May 2026 (₹)</t>
  </si>
  <si>
    <t xml:space="preserve">Same source</t>
  </si>
  <si>
    <t xml:space="preserve">Cut in consensus FY27 EPS</t>
  </si>
  <si>
    <t xml:space="preserve">50/50 blend of MOFSL FY27E and FY28E (₹): what a 12-month forward figure looks like in late September</t>
  </si>
  <si>
    <t xml:space="preserve">Latest implied forward EPS on the Data sheet (₹)</t>
  </si>
  <si>
    <t xml:space="preserve">Actual EPS roughly doubled FY21-FY26; the rest of the 2.3x rise in forward EPS is forecast, since the late-September 12-month window is about half FY27 and half FY28.</t>
  </si>
  <si>
    <t xml:space="preserve">How this workbook was built</t>
  </si>
  <si>
    <t xml:space="preserve">1. Nifty 50 daily closes (31 Oct 2019 to 28 Sep 2026) come from Yahoo Finance (^NSEI, NSE data). Two people-independent transcriptions of every page were diffed; all 1,728 rows matched exactly, and every month-end close matches Yahoo's monthly table.</t>
  </si>
  <si>
    <t xml:space="preserve">2. The 12-month forward P/E is Bloomberg's series from the chart "Indian Stocks Cheapest Since 2020 by Forward P/E" (Source: Bloomberg). Bloomberg does not publish this series openly, so it was digitised from the chart image (4096 x 2223 px).</t>
  </si>
  <si>
    <t xml:space="preserve">   Y scale: seven gridlines (12 to 24) fitted linearly, largest residual 0.003x. X scale: seven year ticks fitted linearly, largest residual 0.24 days; the COVID low lands on 22-23 Mar 2020.</t>
  </si>
  <si>
    <t xml:space="preserve">   For each trading day the top and bottom edge of the orange stroke are read. Half the stroke width (4.25 px, about 0.03x) is taken off each edge, which leaves the range the true value must lie in.</t>
  </si>
  <si>
    <t xml:space="preserve">3. Implied forward EPS = Nifty close / digitised forward P/E, then a centred 21-trading-day median (forward EPS moves slowly; the median removes reading noise).</t>
  </si>
  <si>
    <t xml:space="preserve">4. Rebuilt forward P/E = Nifty close / smoothed forward EPS. This puts back the real day-to-day moves from actual prices. It sits inside the chart band on about 86% of days; when outside, the median miss is 0.03x and the worst is 0.26x.</t>
  </si>
  <si>
    <t xml:space="preserve">5. Against seven readings published with a Bloomberg attribution (Validation sheet), the rebuilt series differs by -0.36x to +0.34x. Treat every P/E here as accurate to about ±0.4x.</t>
  </si>
  <si>
    <t xml:space="preserve">6. The last Bloomberg point is 28 Sep 2026 (the final downward tick of the line, the day Nifty fell 1.6%). Nothing is extrapolated past the chart.</t>
  </si>
  <si>
    <t xml:space="preserve">7. Indices: price and forward EPS are rebased to 100 on the base date on the Summary sheet (2 Jun 2020). Change that date and the chart and table update.</t>
  </si>
  <si>
    <t xml:space="preserve">What the numbers are, and what they are not</t>
  </si>
  <si>
    <t xml:space="preserve">Forward EPS is analysts' consensus estimate of the next 12 months' earnings, as Bloomberg aggregates it. It is not reported profit. As a cross-check, Motilal Oswal's tally of actual Nifty EPS rose from ₹539 (FY21) to ₹1,065 (FY26), about 2x, in line with the forward series.</t>
  </si>
  <si>
    <t xml:space="preserve">Forward P/E readings differ by provider (Bloomberg, LSEG, Motilal Oswal, Jefferies) because each uses its own estimates. Compare levels only within one series.</t>
  </si>
  <si>
    <t xml:space="preserve">Nifty 50 here is the price index, without dividends.</t>
  </si>
  <si>
    <t xml:space="preserve">Sources</t>
  </si>
  <si>
    <t xml:space="preserve">Bloomberg chart supplied by the user: "Indian Stocks Cheapest Since 2020 by Forward P/E", Nifty 50 12-month forward P/E ratio.</t>
  </si>
  <si>
    <t xml:space="preserve">Yahoo Finance, NIFTY 50 (^NSEI) historical data: https://finance.yahoo.com/quote/%5ENSEI/history/</t>
  </si>
  <si>
    <t xml:space="preserve">Financial Express, 6 Mar 2020: "Nifty's premium valuations take hit, slip below 5-yr average" (Bloomberg data, 16.6x).</t>
  </si>
  <si>
    <t xml:space="preserve">Financial Express, May and Jun 2022 reports citing Bloomberg forward P/E (22.74x peak on 18 Oct 2021; 17.93x; 17.40x).</t>
  </si>
  <si>
    <t xml:space="preserve">Moneycontrol, 4 Sep 2024 (21.05x, Bloomberg); Paisa Journal, 26 Sep 2024 (21.4x, Bloomberg); ThePrint/Bloomberg, 12 Sep 2026 (~17.6x).</t>
  </si>
  <si>
    <t xml:space="preserve">Motilal Oswal Financial Services, India Strategy and Nifty earnings reviews (FY21-FY26 EPS; FY27E/FY28E).</t>
  </si>
  <si>
    <t xml:space="preserve">Business Standard / CNBC-TV18, 28 Sep 2026 (Nifty close 22,780.25); Indian Express, 2 Jan 2026 (all-time closing high 26,328.55).</t>
  </si>
  <si>
    <t xml:space="preserve">Business Today / PTI, Sep 2026 (FPI net equity outflow of about ₹2.45 lakh crore in calendar 2026 to date).</t>
  </si>
</sst>
</file>

<file path=xl/styles.xml><?xml version="1.0" encoding="utf-8"?>
<styleSheet xmlns="http://schemas.openxmlformats.org/spreadsheetml/2006/main">
  <numFmts count="15">
    <numFmt numFmtId="164" formatCode="General"/>
    <numFmt numFmtId="165" formatCode="0"/>
    <numFmt numFmtId="166" formatCode="0\x"/>
    <numFmt numFmtId="167" formatCode="dd\-mmm\-yyyy"/>
    <numFmt numFmtId="168" formatCode="#,##0.00"/>
    <numFmt numFmtId="169" formatCode="0.00"/>
    <numFmt numFmtId="170" formatCode="#,##0.0"/>
    <numFmt numFmtId="171" formatCode="0.0\x"/>
    <numFmt numFmtId="172" formatCode="0.0"/>
    <numFmt numFmtId="173" formatCode="#,##0"/>
    <numFmt numFmtId="174" formatCode="\₹#,##0"/>
    <numFmt numFmtId="175" formatCode="0.00\x"/>
    <numFmt numFmtId="176" formatCode="0.0%"/>
    <numFmt numFmtId="177" formatCode="\+0.00;\-0.00"/>
    <numFmt numFmtId="178" formatCode="0%"/>
  </numFmts>
  <fonts count="24">
    <font>
      <sz val="11"/>
      <color theme="1"/>
      <name val="Calibri"/>
      <family val="2"/>
      <charset val="1"/>
    </font>
    <font>
      <sz val="10"/>
      <name val="Arial"/>
      <family val="0"/>
    </font>
    <font>
      <sz val="10"/>
      <name val="Arial"/>
      <family val="0"/>
    </font>
    <font>
      <sz val="10"/>
      <name val="Arial"/>
      <family val="0"/>
    </font>
    <font>
      <b val="true"/>
      <sz val="20"/>
      <color rgb="FF272623"/>
      <name val="Fira Sans"/>
      <family val="0"/>
      <charset val="1"/>
    </font>
    <font>
      <sz val="11"/>
      <color rgb="FF6C6A62"/>
      <name val="Fira Sans"/>
      <family val="0"/>
      <charset val="1"/>
    </font>
    <font>
      <b val="true"/>
      <sz val="12"/>
      <color rgb="FF272623"/>
      <name val="Fira Sans"/>
      <family val="0"/>
      <charset val="1"/>
    </font>
    <font>
      <sz val="8"/>
      <color rgb="FF8E8C81"/>
      <name val="Fira Sans"/>
      <family val="0"/>
      <charset val="1"/>
    </font>
    <font>
      <i val="true"/>
      <sz val="8"/>
      <color rgb="FF8E8C81"/>
      <name val="Fira Sans"/>
      <family val="0"/>
      <charset val="1"/>
    </font>
    <font>
      <sz val="9"/>
      <color rgb="FF6C6A62"/>
      <name val="Fira Sans"/>
      <family val="2"/>
    </font>
    <font>
      <sz val="10"/>
      <color rgb="FF272623"/>
      <name val="Fira Sans"/>
      <family val="2"/>
    </font>
    <font>
      <b val="true"/>
      <sz val="10"/>
      <color rgb="FF272623"/>
      <name val="Fira Sans"/>
      <family val="2"/>
    </font>
    <font>
      <b val="true"/>
      <sz val="10"/>
      <color rgb="FF272623"/>
      <name val="Arial"/>
      <family val="0"/>
      <charset val="1"/>
    </font>
    <font>
      <sz val="10"/>
      <color rgb="FF0000FF"/>
      <name val="Arial"/>
      <family val="0"/>
      <charset val="1"/>
    </font>
    <font>
      <sz val="10"/>
      <color rgb="FF000000"/>
      <name val="Arial"/>
      <family val="0"/>
      <charset val="1"/>
    </font>
    <font>
      <sz val="10"/>
      <name val="Arial"/>
      <family val="2"/>
    </font>
    <font>
      <b val="true"/>
      <sz val="13"/>
      <color rgb="FF272623"/>
      <name val="Arial"/>
      <family val="0"/>
      <charset val="1"/>
    </font>
    <font>
      <i val="true"/>
      <sz val="9"/>
      <color rgb="FF6C6A62"/>
      <name val="Arial"/>
      <family val="0"/>
      <charset val="1"/>
    </font>
    <font>
      <b val="true"/>
      <sz val="10"/>
      <color rgb="FF0000FF"/>
      <name val="Arial"/>
      <family val="0"/>
      <charset val="1"/>
    </font>
    <font>
      <sz val="9"/>
      <color rgb="FF6C6A62"/>
      <name val="Arial"/>
      <family val="0"/>
      <charset val="1"/>
    </font>
    <font>
      <sz val="10"/>
      <color rgb="FF272623"/>
      <name val="Arial"/>
      <family val="0"/>
      <charset val="1"/>
    </font>
    <font>
      <b val="true"/>
      <sz val="12"/>
      <color rgb="FF272623"/>
      <name val="Arial"/>
      <family val="0"/>
      <charset val="1"/>
    </font>
    <font>
      <b val="true"/>
      <sz val="10"/>
      <name val="Arial"/>
      <family val="0"/>
      <charset val="1"/>
    </font>
    <font>
      <b val="true"/>
      <sz val="11"/>
      <color rgb="FF272623"/>
      <name val="Arial"/>
      <family val="0"/>
      <charset val="1"/>
    </font>
  </fonts>
  <fills count="3">
    <fill>
      <patternFill patternType="none"/>
    </fill>
    <fill>
      <patternFill patternType="gray125"/>
    </fill>
    <fill>
      <patternFill patternType="solid">
        <fgColor rgb="FFF6F6FC"/>
        <bgColor rgb="FFFFFFCC"/>
      </patternFill>
    </fill>
  </fills>
  <borders count="5">
    <border diagonalUp="false" diagonalDown="false">
      <left/>
      <right/>
      <top/>
      <bottom/>
      <diagonal/>
    </border>
    <border diagonalUp="false" diagonalDown="false">
      <left/>
      <right/>
      <top style="thick">
        <color rgb="FF6D57AA"/>
      </top>
      <bottom/>
      <diagonal/>
    </border>
    <border diagonalUp="false" diagonalDown="false">
      <left/>
      <right/>
      <top style="thick">
        <color rgb="FFCF6827"/>
      </top>
      <bottom/>
      <diagonal/>
    </border>
    <border diagonalUp="false" diagonalDown="false">
      <left/>
      <right/>
      <top style="thick">
        <color rgb="FF356494"/>
      </top>
      <bottom/>
      <diagonal/>
    </border>
    <border diagonalUp="false" diagonalDown="false">
      <left/>
      <right/>
      <top/>
      <bottom style="thin">
        <color rgb="FFD4D4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6" fillId="0" borderId="3"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2" borderId="4" xfId="0" applyFont="true" applyBorder="true" applyAlignment="true" applyProtection="false">
      <alignment horizontal="general" vertical="center"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73" fontId="14" fillId="0" borderId="0" xfId="0" applyFont="true" applyBorder="false" applyAlignment="false" applyProtection="false">
      <alignment horizontal="general" vertical="bottom" textRotation="0" wrapText="false" indent="0" shrinkToFit="false"/>
      <protection locked="true" hidden="false"/>
    </xf>
    <xf numFmtId="174" fontId="14" fillId="0" borderId="0" xfId="0" applyFont="true" applyBorder="false" applyAlignment="false" applyProtection="false">
      <alignment horizontal="general" vertical="bottom" textRotation="0" wrapText="false" indent="0" shrinkToFit="false"/>
      <protection locked="true" hidden="false"/>
    </xf>
    <xf numFmtId="175" fontId="14" fillId="0" borderId="0" xfId="0" applyFont="true" applyBorder="fals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7" fontId="14" fillId="0" borderId="0" xfId="0" applyFont="true" applyBorder="false" applyAlignment="false" applyProtection="false">
      <alignment horizontal="general" vertical="bottom" textRotation="0" wrapText="false" indent="0" shrinkToFit="false"/>
      <protection locked="true" hidden="false"/>
    </xf>
    <xf numFmtId="178" fontId="14"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6F6FC"/>
      <rgbColor rgb="FFFF0000"/>
      <rgbColor rgb="FF00FF00"/>
      <rgbColor rgb="FF0000FF"/>
      <rgbColor rgb="FFFFFF00"/>
      <rgbColor rgb="FFFF00FF"/>
      <rgbColor rgb="FF00FFFF"/>
      <rgbColor rgb="FF800000"/>
      <rgbColor rgb="FF008000"/>
      <rgbColor rgb="FF000080"/>
      <rgbColor rgb="FF808000"/>
      <rgbColor rgb="FF800080"/>
      <rgbColor rgb="FF008080"/>
      <rgbColor rgb="FFBCBCB5"/>
      <rgbColor rgb="FF6C6A62"/>
      <rgbColor rgb="FF9999FF"/>
      <rgbColor rgb="FF993366"/>
      <rgbColor rgb="FFFFFFCC"/>
      <rgbColor rgb="FFCCFFFF"/>
      <rgbColor rgb="FF660066"/>
      <rgbColor rgb="FFFF8080"/>
      <rgbColor rgb="FF356494"/>
      <rgbColor rgb="FFD4D4CF"/>
      <rgbColor rgb="FF000080"/>
      <rgbColor rgb="FFFF00FF"/>
      <rgbColor rgb="FFFFFF00"/>
      <rgbColor rgb="FF00FFFF"/>
      <rgbColor rgb="FF800080"/>
      <rgbColor rgb="FF800000"/>
      <rgbColor rgb="FF008080"/>
      <rgbColor rgb="FF0000FF"/>
      <rgbColor rgb="FF00CCFF"/>
      <rgbColor rgb="FFCCFFFF"/>
      <rgbColor rgb="FFE4E4E0"/>
      <rgbColor rgb="FFFFFF99"/>
      <rgbColor rgb="FF99CCFF"/>
      <rgbColor rgb="FFFF99CC"/>
      <rgbColor rgb="FFCC99FF"/>
      <rgbColor rgb="FFFFCC99"/>
      <rgbColor rgb="FF3366FF"/>
      <rgbColor rgb="FF33CCCC"/>
      <rgbColor rgb="FF99CC00"/>
      <rgbColor rgb="FFFFCC00"/>
      <rgbColor rgb="FFFF9900"/>
      <rgbColor rgb="FFCF6827"/>
      <rgbColor rgb="FF6D57AA"/>
      <rgbColor rgb="FF8E8C81"/>
      <rgbColor rgb="FF003366"/>
      <rgbColor rgb="FF339966"/>
      <rgbColor rgb="FF003300"/>
      <rgbColor rgb="FF333300"/>
      <rgbColor rgb="FF993300"/>
      <rgbColor rgb="FF993366"/>
      <rgbColor rgb="FF333399"/>
      <rgbColor rgb="FF272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"Nifty 50 (price)"</c:f>
              <c:strCache>
                <c:ptCount val="1"/>
                <c:pt idx="0">
                  <c:v>Nifty 50 (price)</c:v>
                </c:pt>
              </c:strCache>
            </c:strRef>
          </c:tx>
          <c:spPr>
            <a:solidFill>
              <a:srgbClr val="6d57aa"/>
            </a:solidFill>
            <a:ln w="22320">
              <a:solidFill>
                <a:srgbClr val="6d57a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Data!$A$44:$A$1711</c:f>
              <c:numCache>
                <c:formatCode>yyyy</c:formatCode>
                <c:ptCount val="1668"/>
                <c:pt idx="0">
                  <c:v>01-Jan-2020</c:v>
                </c:pt>
                <c:pt idx="1">
                  <c:v>02-Jan-2020</c:v>
                </c:pt>
                <c:pt idx="2">
                  <c:v>03-Jan-2020</c:v>
                </c:pt>
                <c:pt idx="3">
                  <c:v>06-Jan-2020</c:v>
                </c:pt>
                <c:pt idx="4">
                  <c:v>07-Jan-2020</c:v>
                </c:pt>
                <c:pt idx="5">
                  <c:v>08-Jan-2020</c:v>
                </c:pt>
                <c:pt idx="6">
                  <c:v>09-Jan-2020</c:v>
                </c:pt>
                <c:pt idx="7">
                  <c:v>10-Jan-2020</c:v>
                </c:pt>
                <c:pt idx="8">
                  <c:v>13-Jan-2020</c:v>
                </c:pt>
                <c:pt idx="9">
                  <c:v>14-Jan-2020</c:v>
                </c:pt>
                <c:pt idx="10">
                  <c:v>15-Jan-2020</c:v>
                </c:pt>
                <c:pt idx="11">
                  <c:v>16-Jan-2020</c:v>
                </c:pt>
                <c:pt idx="12">
                  <c:v>17-Jan-2020</c:v>
                </c:pt>
                <c:pt idx="13">
                  <c:v>20-Jan-2020</c:v>
                </c:pt>
                <c:pt idx="14">
                  <c:v>21-Jan-2020</c:v>
                </c:pt>
                <c:pt idx="15">
                  <c:v>22-Jan-2020</c:v>
                </c:pt>
                <c:pt idx="16">
                  <c:v>23-Jan-2020</c:v>
                </c:pt>
                <c:pt idx="17">
                  <c:v>24-Jan-2020</c:v>
                </c:pt>
                <c:pt idx="18">
                  <c:v>27-Jan-2020</c:v>
                </c:pt>
                <c:pt idx="19">
                  <c:v>28-Jan-2020</c:v>
                </c:pt>
                <c:pt idx="20">
                  <c:v>29-Jan-2020</c:v>
                </c:pt>
                <c:pt idx="21">
                  <c:v>30-Jan-2020</c:v>
                </c:pt>
                <c:pt idx="22">
                  <c:v>31-Jan-2020</c:v>
                </c:pt>
                <c:pt idx="23">
                  <c:v>03-Feb-2020</c:v>
                </c:pt>
                <c:pt idx="24">
                  <c:v>04-Feb-2020</c:v>
                </c:pt>
                <c:pt idx="25">
                  <c:v>05-Feb-2020</c:v>
                </c:pt>
                <c:pt idx="26">
                  <c:v>06-Feb-2020</c:v>
                </c:pt>
                <c:pt idx="27">
                  <c:v>07-Feb-2020</c:v>
                </c:pt>
                <c:pt idx="28">
                  <c:v>10-Feb-2020</c:v>
                </c:pt>
                <c:pt idx="29">
                  <c:v>11-Feb-2020</c:v>
                </c:pt>
                <c:pt idx="30">
                  <c:v>12-Feb-2020</c:v>
                </c:pt>
                <c:pt idx="31">
                  <c:v>13-Feb-2020</c:v>
                </c:pt>
                <c:pt idx="32">
                  <c:v>14-Feb-2020</c:v>
                </c:pt>
                <c:pt idx="33">
                  <c:v>17-Feb-2020</c:v>
                </c:pt>
                <c:pt idx="34">
                  <c:v>18-Feb-2020</c:v>
                </c:pt>
                <c:pt idx="35">
                  <c:v>19-Feb-2020</c:v>
                </c:pt>
                <c:pt idx="36">
                  <c:v>20-Feb-2020</c:v>
                </c:pt>
                <c:pt idx="37">
                  <c:v>24-Feb-2020</c:v>
                </c:pt>
                <c:pt idx="38">
                  <c:v>25-Feb-2020</c:v>
                </c:pt>
                <c:pt idx="39">
                  <c:v>26-Feb-2020</c:v>
                </c:pt>
                <c:pt idx="40">
                  <c:v>27-Feb-2020</c:v>
                </c:pt>
                <c:pt idx="41">
                  <c:v>28-Feb-2020</c:v>
                </c:pt>
                <c:pt idx="42">
                  <c:v>02-Mar-2020</c:v>
                </c:pt>
                <c:pt idx="43">
                  <c:v>03-Mar-2020</c:v>
                </c:pt>
                <c:pt idx="44">
                  <c:v>04-Mar-2020</c:v>
                </c:pt>
                <c:pt idx="45">
                  <c:v>05-Mar-2020</c:v>
                </c:pt>
                <c:pt idx="46">
                  <c:v>06-Mar-2020</c:v>
                </c:pt>
                <c:pt idx="47">
                  <c:v>09-Mar-2020</c:v>
                </c:pt>
                <c:pt idx="48">
                  <c:v>11-Mar-2020</c:v>
                </c:pt>
                <c:pt idx="49">
                  <c:v>12-Mar-2020</c:v>
                </c:pt>
                <c:pt idx="50">
                  <c:v>13-Mar-2020</c:v>
                </c:pt>
                <c:pt idx="51">
                  <c:v>16-Mar-2020</c:v>
                </c:pt>
                <c:pt idx="52">
                  <c:v>17-Mar-2020</c:v>
                </c:pt>
                <c:pt idx="53">
                  <c:v>18-Mar-2020</c:v>
                </c:pt>
                <c:pt idx="54">
                  <c:v>19-Mar-2020</c:v>
                </c:pt>
                <c:pt idx="55">
                  <c:v>20-Mar-2020</c:v>
                </c:pt>
                <c:pt idx="56">
                  <c:v>23-Mar-2020</c:v>
                </c:pt>
                <c:pt idx="57">
                  <c:v>24-Mar-2020</c:v>
                </c:pt>
                <c:pt idx="58">
                  <c:v>25-Mar-2020</c:v>
                </c:pt>
                <c:pt idx="59">
                  <c:v>26-Mar-2020</c:v>
                </c:pt>
                <c:pt idx="60">
                  <c:v>27-Mar-2020</c:v>
                </c:pt>
                <c:pt idx="61">
                  <c:v>30-Mar-2020</c:v>
                </c:pt>
                <c:pt idx="62">
                  <c:v>31-Mar-2020</c:v>
                </c:pt>
                <c:pt idx="63">
                  <c:v>01-Apr-2020</c:v>
                </c:pt>
                <c:pt idx="64">
                  <c:v>03-Apr-2020</c:v>
                </c:pt>
                <c:pt idx="65">
                  <c:v>07-Apr-2020</c:v>
                </c:pt>
                <c:pt idx="66">
                  <c:v>08-Apr-2020</c:v>
                </c:pt>
                <c:pt idx="67">
                  <c:v>09-Apr-2020</c:v>
                </c:pt>
                <c:pt idx="68">
                  <c:v>13-Apr-2020</c:v>
                </c:pt>
                <c:pt idx="69">
                  <c:v>15-Apr-2020</c:v>
                </c:pt>
                <c:pt idx="70">
                  <c:v>16-Apr-2020</c:v>
                </c:pt>
                <c:pt idx="71">
                  <c:v>17-Apr-2020</c:v>
                </c:pt>
                <c:pt idx="72">
                  <c:v>20-Apr-2020</c:v>
                </c:pt>
                <c:pt idx="73">
                  <c:v>21-Apr-2020</c:v>
                </c:pt>
                <c:pt idx="74">
                  <c:v>22-Apr-2020</c:v>
                </c:pt>
                <c:pt idx="75">
                  <c:v>23-Apr-2020</c:v>
                </c:pt>
                <c:pt idx="76">
                  <c:v>24-Apr-2020</c:v>
                </c:pt>
                <c:pt idx="77">
                  <c:v>27-Apr-2020</c:v>
                </c:pt>
                <c:pt idx="78">
                  <c:v>28-Apr-2020</c:v>
                </c:pt>
                <c:pt idx="79">
                  <c:v>29-Apr-2020</c:v>
                </c:pt>
                <c:pt idx="80">
                  <c:v>30-Apr-2020</c:v>
                </c:pt>
                <c:pt idx="81">
                  <c:v>04-May-2020</c:v>
                </c:pt>
                <c:pt idx="82">
                  <c:v>05-May-2020</c:v>
                </c:pt>
                <c:pt idx="83">
                  <c:v>06-May-2020</c:v>
                </c:pt>
                <c:pt idx="84">
                  <c:v>07-May-2020</c:v>
                </c:pt>
                <c:pt idx="85">
                  <c:v>08-May-2020</c:v>
                </c:pt>
                <c:pt idx="86">
                  <c:v>11-May-2020</c:v>
                </c:pt>
                <c:pt idx="87">
                  <c:v>12-May-2020</c:v>
                </c:pt>
                <c:pt idx="88">
                  <c:v>13-May-2020</c:v>
                </c:pt>
                <c:pt idx="89">
                  <c:v>14-May-2020</c:v>
                </c:pt>
                <c:pt idx="90">
                  <c:v>15-May-2020</c:v>
                </c:pt>
                <c:pt idx="91">
                  <c:v>18-May-2020</c:v>
                </c:pt>
                <c:pt idx="92">
                  <c:v>19-May-2020</c:v>
                </c:pt>
                <c:pt idx="93">
                  <c:v>20-May-2020</c:v>
                </c:pt>
                <c:pt idx="94">
                  <c:v>21-May-2020</c:v>
                </c:pt>
                <c:pt idx="95">
                  <c:v>22-May-2020</c:v>
                </c:pt>
                <c:pt idx="96">
                  <c:v>26-May-2020</c:v>
                </c:pt>
                <c:pt idx="97">
                  <c:v>27-May-2020</c:v>
                </c:pt>
                <c:pt idx="98">
                  <c:v>28-May-2020</c:v>
                </c:pt>
                <c:pt idx="99">
                  <c:v>29-May-2020</c:v>
                </c:pt>
                <c:pt idx="100">
                  <c:v>01-Jun-2020</c:v>
                </c:pt>
                <c:pt idx="101">
                  <c:v>02-Jun-2020</c:v>
                </c:pt>
                <c:pt idx="102">
                  <c:v>03-Jun-2020</c:v>
                </c:pt>
                <c:pt idx="103">
                  <c:v>04-Jun-2020</c:v>
                </c:pt>
                <c:pt idx="104">
                  <c:v>05-Jun-2020</c:v>
                </c:pt>
                <c:pt idx="105">
                  <c:v>08-Jun-2020</c:v>
                </c:pt>
                <c:pt idx="106">
                  <c:v>09-Jun-2020</c:v>
                </c:pt>
                <c:pt idx="107">
                  <c:v>10-Jun-2020</c:v>
                </c:pt>
                <c:pt idx="108">
                  <c:v>11-Jun-2020</c:v>
                </c:pt>
                <c:pt idx="109">
                  <c:v>12-Jun-2020</c:v>
                </c:pt>
                <c:pt idx="110">
                  <c:v>15-Jun-2020</c:v>
                </c:pt>
                <c:pt idx="111">
                  <c:v>16-Jun-2020</c:v>
                </c:pt>
                <c:pt idx="112">
                  <c:v>17-Jun-2020</c:v>
                </c:pt>
                <c:pt idx="113">
                  <c:v>18-Jun-2020</c:v>
                </c:pt>
                <c:pt idx="114">
                  <c:v>19-Jun-2020</c:v>
                </c:pt>
                <c:pt idx="115">
                  <c:v>22-Jun-2020</c:v>
                </c:pt>
                <c:pt idx="116">
                  <c:v>23-Jun-2020</c:v>
                </c:pt>
                <c:pt idx="117">
                  <c:v>24-Jun-2020</c:v>
                </c:pt>
                <c:pt idx="118">
                  <c:v>25-Jun-2020</c:v>
                </c:pt>
                <c:pt idx="119">
                  <c:v>26-Jun-2020</c:v>
                </c:pt>
                <c:pt idx="120">
                  <c:v>29-Jun-2020</c:v>
                </c:pt>
                <c:pt idx="121">
                  <c:v>30-Jun-2020</c:v>
                </c:pt>
                <c:pt idx="122">
                  <c:v>01-Jul-2020</c:v>
                </c:pt>
                <c:pt idx="123">
                  <c:v>02-Jul-2020</c:v>
                </c:pt>
                <c:pt idx="124">
                  <c:v>03-Jul-2020</c:v>
                </c:pt>
                <c:pt idx="125">
                  <c:v>06-Jul-2020</c:v>
                </c:pt>
                <c:pt idx="126">
                  <c:v>07-Jul-2020</c:v>
                </c:pt>
                <c:pt idx="127">
                  <c:v>08-Jul-2020</c:v>
                </c:pt>
                <c:pt idx="128">
                  <c:v>09-Jul-2020</c:v>
                </c:pt>
                <c:pt idx="129">
                  <c:v>10-Jul-2020</c:v>
                </c:pt>
                <c:pt idx="130">
                  <c:v>13-Jul-2020</c:v>
                </c:pt>
                <c:pt idx="131">
                  <c:v>14-Jul-2020</c:v>
                </c:pt>
                <c:pt idx="132">
                  <c:v>15-Jul-2020</c:v>
                </c:pt>
                <c:pt idx="133">
                  <c:v>16-Jul-2020</c:v>
                </c:pt>
                <c:pt idx="134">
                  <c:v>17-Jul-2020</c:v>
                </c:pt>
                <c:pt idx="135">
                  <c:v>20-Jul-2020</c:v>
                </c:pt>
                <c:pt idx="136">
                  <c:v>21-Jul-2020</c:v>
                </c:pt>
                <c:pt idx="137">
                  <c:v>22-Jul-2020</c:v>
                </c:pt>
                <c:pt idx="138">
                  <c:v>23-Jul-2020</c:v>
                </c:pt>
                <c:pt idx="139">
                  <c:v>24-Jul-2020</c:v>
                </c:pt>
                <c:pt idx="140">
                  <c:v>27-Jul-2020</c:v>
                </c:pt>
                <c:pt idx="141">
                  <c:v>28-Jul-2020</c:v>
                </c:pt>
                <c:pt idx="142">
                  <c:v>29-Jul-2020</c:v>
                </c:pt>
                <c:pt idx="143">
                  <c:v>30-Jul-2020</c:v>
                </c:pt>
                <c:pt idx="144">
                  <c:v>31-Jul-2020</c:v>
                </c:pt>
                <c:pt idx="145">
                  <c:v>03-Aug-2020</c:v>
                </c:pt>
                <c:pt idx="146">
                  <c:v>04-Aug-2020</c:v>
                </c:pt>
                <c:pt idx="147">
                  <c:v>05-Aug-2020</c:v>
                </c:pt>
                <c:pt idx="148">
                  <c:v>06-Aug-2020</c:v>
                </c:pt>
                <c:pt idx="149">
                  <c:v>07-Aug-2020</c:v>
                </c:pt>
                <c:pt idx="150">
                  <c:v>10-Aug-2020</c:v>
                </c:pt>
                <c:pt idx="151">
                  <c:v>11-Aug-2020</c:v>
                </c:pt>
                <c:pt idx="152">
                  <c:v>12-Aug-2020</c:v>
                </c:pt>
                <c:pt idx="153">
                  <c:v>13-Aug-2020</c:v>
                </c:pt>
                <c:pt idx="154">
                  <c:v>14-Aug-2020</c:v>
                </c:pt>
                <c:pt idx="155">
                  <c:v>17-Aug-2020</c:v>
                </c:pt>
                <c:pt idx="156">
                  <c:v>18-Aug-2020</c:v>
                </c:pt>
                <c:pt idx="157">
                  <c:v>19-Aug-2020</c:v>
                </c:pt>
                <c:pt idx="158">
                  <c:v>20-Aug-2020</c:v>
                </c:pt>
                <c:pt idx="159">
                  <c:v>21-Aug-2020</c:v>
                </c:pt>
                <c:pt idx="160">
                  <c:v>24-Aug-2020</c:v>
                </c:pt>
                <c:pt idx="161">
                  <c:v>25-Aug-2020</c:v>
                </c:pt>
                <c:pt idx="162">
                  <c:v>26-Aug-2020</c:v>
                </c:pt>
                <c:pt idx="163">
                  <c:v>27-Aug-2020</c:v>
                </c:pt>
                <c:pt idx="164">
                  <c:v>28-Aug-2020</c:v>
                </c:pt>
                <c:pt idx="165">
                  <c:v>31-Aug-2020</c:v>
                </c:pt>
                <c:pt idx="166">
                  <c:v>01-Sep-2020</c:v>
                </c:pt>
                <c:pt idx="167">
                  <c:v>02-Sep-2020</c:v>
                </c:pt>
                <c:pt idx="168">
                  <c:v>03-Sep-2020</c:v>
                </c:pt>
                <c:pt idx="169">
                  <c:v>04-Sep-2020</c:v>
                </c:pt>
                <c:pt idx="170">
                  <c:v>07-Sep-2020</c:v>
                </c:pt>
                <c:pt idx="171">
                  <c:v>08-Sep-2020</c:v>
                </c:pt>
                <c:pt idx="172">
                  <c:v>09-Sep-2020</c:v>
                </c:pt>
                <c:pt idx="173">
                  <c:v>10-Sep-2020</c:v>
                </c:pt>
                <c:pt idx="174">
                  <c:v>11-Sep-2020</c:v>
                </c:pt>
                <c:pt idx="175">
                  <c:v>14-Sep-2020</c:v>
                </c:pt>
                <c:pt idx="176">
                  <c:v>15-Sep-2020</c:v>
                </c:pt>
                <c:pt idx="177">
                  <c:v>16-Sep-2020</c:v>
                </c:pt>
                <c:pt idx="178">
                  <c:v>17-Sep-2020</c:v>
                </c:pt>
                <c:pt idx="179">
                  <c:v>18-Sep-2020</c:v>
                </c:pt>
                <c:pt idx="180">
                  <c:v>21-Sep-2020</c:v>
                </c:pt>
                <c:pt idx="181">
                  <c:v>22-Sep-2020</c:v>
                </c:pt>
                <c:pt idx="182">
                  <c:v>23-Sep-2020</c:v>
                </c:pt>
                <c:pt idx="183">
                  <c:v>24-Sep-2020</c:v>
                </c:pt>
                <c:pt idx="184">
                  <c:v>25-Sep-2020</c:v>
                </c:pt>
                <c:pt idx="185">
                  <c:v>28-Sep-2020</c:v>
                </c:pt>
                <c:pt idx="186">
                  <c:v>29-Sep-2020</c:v>
                </c:pt>
                <c:pt idx="187">
                  <c:v>30-Sep-2020</c:v>
                </c:pt>
                <c:pt idx="188">
                  <c:v>01-Oct-2020</c:v>
                </c:pt>
                <c:pt idx="189">
                  <c:v>05-Oct-2020</c:v>
                </c:pt>
                <c:pt idx="190">
                  <c:v>06-Oct-2020</c:v>
                </c:pt>
                <c:pt idx="191">
                  <c:v>07-Oct-2020</c:v>
                </c:pt>
                <c:pt idx="192">
                  <c:v>08-Oct-2020</c:v>
                </c:pt>
                <c:pt idx="193">
                  <c:v>09-Oct-2020</c:v>
                </c:pt>
                <c:pt idx="194">
                  <c:v>12-Oct-2020</c:v>
                </c:pt>
                <c:pt idx="195">
                  <c:v>13-Oct-2020</c:v>
                </c:pt>
                <c:pt idx="196">
                  <c:v>14-Oct-2020</c:v>
                </c:pt>
                <c:pt idx="197">
                  <c:v>15-Oct-2020</c:v>
                </c:pt>
                <c:pt idx="198">
                  <c:v>16-Oct-2020</c:v>
                </c:pt>
                <c:pt idx="199">
                  <c:v>19-Oct-2020</c:v>
                </c:pt>
                <c:pt idx="200">
                  <c:v>20-Oct-2020</c:v>
                </c:pt>
                <c:pt idx="201">
                  <c:v>21-Oct-2020</c:v>
                </c:pt>
                <c:pt idx="202">
                  <c:v>22-Oct-2020</c:v>
                </c:pt>
                <c:pt idx="203">
                  <c:v>23-Oct-2020</c:v>
                </c:pt>
                <c:pt idx="204">
                  <c:v>26-Oct-2020</c:v>
                </c:pt>
                <c:pt idx="205">
                  <c:v>27-Oct-2020</c:v>
                </c:pt>
                <c:pt idx="206">
                  <c:v>28-Oct-2020</c:v>
                </c:pt>
                <c:pt idx="207">
                  <c:v>29-Oct-2020</c:v>
                </c:pt>
                <c:pt idx="208">
                  <c:v>30-Oct-2020</c:v>
                </c:pt>
                <c:pt idx="209">
                  <c:v>02-Nov-2020</c:v>
                </c:pt>
                <c:pt idx="210">
                  <c:v>03-Nov-2020</c:v>
                </c:pt>
                <c:pt idx="211">
                  <c:v>04-Nov-2020</c:v>
                </c:pt>
                <c:pt idx="212">
                  <c:v>05-Nov-2020</c:v>
                </c:pt>
                <c:pt idx="213">
                  <c:v>06-Nov-2020</c:v>
                </c:pt>
                <c:pt idx="214">
                  <c:v>09-Nov-2020</c:v>
                </c:pt>
                <c:pt idx="215">
                  <c:v>10-Nov-2020</c:v>
                </c:pt>
                <c:pt idx="216">
                  <c:v>11-Nov-2020</c:v>
                </c:pt>
                <c:pt idx="217">
                  <c:v>12-Nov-2020</c:v>
                </c:pt>
                <c:pt idx="218">
                  <c:v>13-Nov-2020</c:v>
                </c:pt>
                <c:pt idx="219">
                  <c:v>17-Nov-2020</c:v>
                </c:pt>
                <c:pt idx="220">
                  <c:v>18-Nov-2020</c:v>
                </c:pt>
                <c:pt idx="221">
                  <c:v>19-Nov-2020</c:v>
                </c:pt>
                <c:pt idx="222">
                  <c:v>20-Nov-2020</c:v>
                </c:pt>
                <c:pt idx="223">
                  <c:v>23-Nov-2020</c:v>
                </c:pt>
                <c:pt idx="224">
                  <c:v>24-Nov-2020</c:v>
                </c:pt>
                <c:pt idx="225">
                  <c:v>25-Nov-2020</c:v>
                </c:pt>
                <c:pt idx="226">
                  <c:v>26-Nov-2020</c:v>
                </c:pt>
                <c:pt idx="227">
                  <c:v>27-Nov-2020</c:v>
                </c:pt>
                <c:pt idx="228">
                  <c:v>01-Dec-2020</c:v>
                </c:pt>
                <c:pt idx="229">
                  <c:v>02-Dec-2020</c:v>
                </c:pt>
                <c:pt idx="230">
                  <c:v>03-Dec-2020</c:v>
                </c:pt>
                <c:pt idx="231">
                  <c:v>04-Dec-2020</c:v>
                </c:pt>
                <c:pt idx="232">
                  <c:v>07-Dec-2020</c:v>
                </c:pt>
                <c:pt idx="233">
                  <c:v>08-Dec-2020</c:v>
                </c:pt>
                <c:pt idx="234">
                  <c:v>09-Dec-2020</c:v>
                </c:pt>
                <c:pt idx="235">
                  <c:v>10-Dec-2020</c:v>
                </c:pt>
                <c:pt idx="236">
                  <c:v>11-Dec-2020</c:v>
                </c:pt>
                <c:pt idx="237">
                  <c:v>14-Dec-2020</c:v>
                </c:pt>
                <c:pt idx="238">
                  <c:v>15-Dec-2020</c:v>
                </c:pt>
                <c:pt idx="239">
                  <c:v>16-Dec-2020</c:v>
                </c:pt>
                <c:pt idx="240">
                  <c:v>17-Dec-2020</c:v>
                </c:pt>
                <c:pt idx="241">
                  <c:v>18-Dec-2020</c:v>
                </c:pt>
                <c:pt idx="242">
                  <c:v>21-Dec-2020</c:v>
                </c:pt>
                <c:pt idx="243">
                  <c:v>22-Dec-2020</c:v>
                </c:pt>
                <c:pt idx="244">
                  <c:v>23-Dec-2020</c:v>
                </c:pt>
                <c:pt idx="245">
                  <c:v>24-Dec-2020</c:v>
                </c:pt>
                <c:pt idx="246">
                  <c:v>28-Dec-2020</c:v>
                </c:pt>
                <c:pt idx="247">
                  <c:v>29-Dec-2020</c:v>
                </c:pt>
                <c:pt idx="248">
                  <c:v>30-Dec-2020</c:v>
                </c:pt>
                <c:pt idx="249">
                  <c:v>31-Dec-2020</c:v>
                </c:pt>
                <c:pt idx="250">
                  <c:v>01-Jan-2021</c:v>
                </c:pt>
                <c:pt idx="251">
                  <c:v>04-Jan-2021</c:v>
                </c:pt>
                <c:pt idx="252">
                  <c:v>05-Jan-2021</c:v>
                </c:pt>
                <c:pt idx="253">
                  <c:v>06-Jan-2021</c:v>
                </c:pt>
                <c:pt idx="254">
                  <c:v>07-Jan-2021</c:v>
                </c:pt>
                <c:pt idx="255">
                  <c:v>08-Jan-2021</c:v>
                </c:pt>
                <c:pt idx="256">
                  <c:v>11-Jan-2021</c:v>
                </c:pt>
                <c:pt idx="257">
                  <c:v>12-Jan-2021</c:v>
                </c:pt>
                <c:pt idx="258">
                  <c:v>13-Jan-2021</c:v>
                </c:pt>
                <c:pt idx="259">
                  <c:v>14-Jan-2021</c:v>
                </c:pt>
                <c:pt idx="260">
                  <c:v>15-Jan-2021</c:v>
                </c:pt>
                <c:pt idx="261">
                  <c:v>18-Jan-2021</c:v>
                </c:pt>
                <c:pt idx="262">
                  <c:v>19-Jan-2021</c:v>
                </c:pt>
                <c:pt idx="263">
                  <c:v>20-Jan-2021</c:v>
                </c:pt>
                <c:pt idx="264">
                  <c:v>21-Jan-2021</c:v>
                </c:pt>
                <c:pt idx="265">
                  <c:v>22-Jan-2021</c:v>
                </c:pt>
                <c:pt idx="266">
                  <c:v>25-Jan-2021</c:v>
                </c:pt>
                <c:pt idx="267">
                  <c:v>27-Jan-2021</c:v>
                </c:pt>
                <c:pt idx="268">
                  <c:v>28-Jan-2021</c:v>
                </c:pt>
                <c:pt idx="269">
                  <c:v>29-Jan-2021</c:v>
                </c:pt>
                <c:pt idx="270">
                  <c:v>01-Feb-2021</c:v>
                </c:pt>
                <c:pt idx="271">
                  <c:v>02-Feb-2021</c:v>
                </c:pt>
                <c:pt idx="272">
                  <c:v>03-Feb-2021</c:v>
                </c:pt>
                <c:pt idx="273">
                  <c:v>04-Feb-2021</c:v>
                </c:pt>
                <c:pt idx="274">
                  <c:v>05-Feb-2021</c:v>
                </c:pt>
                <c:pt idx="275">
                  <c:v>08-Feb-2021</c:v>
                </c:pt>
                <c:pt idx="276">
                  <c:v>09-Feb-2021</c:v>
                </c:pt>
                <c:pt idx="277">
                  <c:v>10-Feb-2021</c:v>
                </c:pt>
                <c:pt idx="278">
                  <c:v>11-Feb-2021</c:v>
                </c:pt>
                <c:pt idx="279">
                  <c:v>12-Feb-2021</c:v>
                </c:pt>
                <c:pt idx="280">
                  <c:v>15-Feb-2021</c:v>
                </c:pt>
                <c:pt idx="281">
                  <c:v>16-Feb-2021</c:v>
                </c:pt>
                <c:pt idx="282">
                  <c:v>17-Feb-2021</c:v>
                </c:pt>
                <c:pt idx="283">
                  <c:v>18-Feb-2021</c:v>
                </c:pt>
                <c:pt idx="284">
                  <c:v>19-Feb-2021</c:v>
                </c:pt>
                <c:pt idx="285">
                  <c:v>22-Feb-2021</c:v>
                </c:pt>
                <c:pt idx="286">
                  <c:v>23-Feb-2021</c:v>
                </c:pt>
                <c:pt idx="287">
                  <c:v>24-Feb-2021</c:v>
                </c:pt>
                <c:pt idx="288">
                  <c:v>25-Feb-2021</c:v>
                </c:pt>
                <c:pt idx="289">
                  <c:v>26-Feb-2021</c:v>
                </c:pt>
                <c:pt idx="290">
                  <c:v>01-Mar-2021</c:v>
                </c:pt>
                <c:pt idx="291">
                  <c:v>02-Mar-2021</c:v>
                </c:pt>
                <c:pt idx="292">
                  <c:v>03-Mar-2021</c:v>
                </c:pt>
                <c:pt idx="293">
                  <c:v>04-Mar-2021</c:v>
                </c:pt>
                <c:pt idx="294">
                  <c:v>05-Mar-2021</c:v>
                </c:pt>
                <c:pt idx="295">
                  <c:v>08-Mar-2021</c:v>
                </c:pt>
                <c:pt idx="296">
                  <c:v>09-Mar-2021</c:v>
                </c:pt>
                <c:pt idx="297">
                  <c:v>10-Mar-2021</c:v>
                </c:pt>
                <c:pt idx="298">
                  <c:v>12-Mar-2021</c:v>
                </c:pt>
                <c:pt idx="299">
                  <c:v>15-Mar-2021</c:v>
                </c:pt>
                <c:pt idx="300">
                  <c:v>16-Mar-2021</c:v>
                </c:pt>
                <c:pt idx="301">
                  <c:v>17-Mar-2021</c:v>
                </c:pt>
                <c:pt idx="302">
                  <c:v>18-Mar-2021</c:v>
                </c:pt>
                <c:pt idx="303">
                  <c:v>19-Mar-2021</c:v>
                </c:pt>
                <c:pt idx="304">
                  <c:v>22-Mar-2021</c:v>
                </c:pt>
                <c:pt idx="305">
                  <c:v>23-Mar-2021</c:v>
                </c:pt>
                <c:pt idx="306">
                  <c:v>24-Mar-2021</c:v>
                </c:pt>
                <c:pt idx="307">
                  <c:v>25-Mar-2021</c:v>
                </c:pt>
                <c:pt idx="308">
                  <c:v>26-Mar-2021</c:v>
                </c:pt>
                <c:pt idx="309">
                  <c:v>30-Mar-2021</c:v>
                </c:pt>
                <c:pt idx="310">
                  <c:v>31-Mar-2021</c:v>
                </c:pt>
                <c:pt idx="311">
                  <c:v>01-Apr-2021</c:v>
                </c:pt>
                <c:pt idx="312">
                  <c:v>05-Apr-2021</c:v>
                </c:pt>
                <c:pt idx="313">
                  <c:v>06-Apr-2021</c:v>
                </c:pt>
                <c:pt idx="314">
                  <c:v>07-Apr-2021</c:v>
                </c:pt>
                <c:pt idx="315">
                  <c:v>08-Apr-2021</c:v>
                </c:pt>
                <c:pt idx="316">
                  <c:v>09-Apr-2021</c:v>
                </c:pt>
                <c:pt idx="317">
                  <c:v>12-Apr-2021</c:v>
                </c:pt>
                <c:pt idx="318">
                  <c:v>13-Apr-2021</c:v>
                </c:pt>
                <c:pt idx="319">
                  <c:v>15-Apr-2021</c:v>
                </c:pt>
                <c:pt idx="320">
                  <c:v>16-Apr-2021</c:v>
                </c:pt>
                <c:pt idx="321">
                  <c:v>19-Apr-2021</c:v>
                </c:pt>
                <c:pt idx="322">
                  <c:v>20-Apr-2021</c:v>
                </c:pt>
                <c:pt idx="323">
                  <c:v>22-Apr-2021</c:v>
                </c:pt>
                <c:pt idx="324">
                  <c:v>23-Apr-2021</c:v>
                </c:pt>
                <c:pt idx="325">
                  <c:v>26-Apr-2021</c:v>
                </c:pt>
                <c:pt idx="326">
                  <c:v>27-Apr-2021</c:v>
                </c:pt>
                <c:pt idx="327">
                  <c:v>28-Apr-2021</c:v>
                </c:pt>
                <c:pt idx="328">
                  <c:v>29-Apr-2021</c:v>
                </c:pt>
                <c:pt idx="329">
                  <c:v>30-Apr-2021</c:v>
                </c:pt>
                <c:pt idx="330">
                  <c:v>03-May-2021</c:v>
                </c:pt>
                <c:pt idx="331">
                  <c:v>04-May-2021</c:v>
                </c:pt>
                <c:pt idx="332">
                  <c:v>05-May-2021</c:v>
                </c:pt>
                <c:pt idx="333">
                  <c:v>06-May-2021</c:v>
                </c:pt>
                <c:pt idx="334">
                  <c:v>07-May-2021</c:v>
                </c:pt>
                <c:pt idx="335">
                  <c:v>10-May-2021</c:v>
                </c:pt>
                <c:pt idx="336">
                  <c:v>11-May-2021</c:v>
                </c:pt>
                <c:pt idx="337">
                  <c:v>12-May-2021</c:v>
                </c:pt>
                <c:pt idx="338">
                  <c:v>14-May-2021</c:v>
                </c:pt>
                <c:pt idx="339">
                  <c:v>17-May-2021</c:v>
                </c:pt>
                <c:pt idx="340">
                  <c:v>18-May-2021</c:v>
                </c:pt>
                <c:pt idx="341">
                  <c:v>19-May-2021</c:v>
                </c:pt>
                <c:pt idx="342">
                  <c:v>20-May-2021</c:v>
                </c:pt>
                <c:pt idx="343">
                  <c:v>21-May-2021</c:v>
                </c:pt>
                <c:pt idx="344">
                  <c:v>24-May-2021</c:v>
                </c:pt>
                <c:pt idx="345">
                  <c:v>25-May-2021</c:v>
                </c:pt>
                <c:pt idx="346">
                  <c:v>26-May-2021</c:v>
                </c:pt>
                <c:pt idx="347">
                  <c:v>27-May-2021</c:v>
                </c:pt>
                <c:pt idx="348">
                  <c:v>28-May-2021</c:v>
                </c:pt>
                <c:pt idx="349">
                  <c:v>31-May-2021</c:v>
                </c:pt>
                <c:pt idx="350">
                  <c:v>01-Jun-2021</c:v>
                </c:pt>
                <c:pt idx="351">
                  <c:v>02-Jun-2021</c:v>
                </c:pt>
                <c:pt idx="352">
                  <c:v>03-Jun-2021</c:v>
                </c:pt>
                <c:pt idx="353">
                  <c:v>04-Jun-2021</c:v>
                </c:pt>
                <c:pt idx="354">
                  <c:v>07-Jun-2021</c:v>
                </c:pt>
                <c:pt idx="355">
                  <c:v>08-Jun-2021</c:v>
                </c:pt>
                <c:pt idx="356">
                  <c:v>09-Jun-2021</c:v>
                </c:pt>
                <c:pt idx="357">
                  <c:v>10-Jun-2021</c:v>
                </c:pt>
                <c:pt idx="358">
                  <c:v>11-Jun-2021</c:v>
                </c:pt>
                <c:pt idx="359">
                  <c:v>14-Jun-2021</c:v>
                </c:pt>
                <c:pt idx="360">
                  <c:v>15-Jun-2021</c:v>
                </c:pt>
                <c:pt idx="361">
                  <c:v>16-Jun-2021</c:v>
                </c:pt>
                <c:pt idx="362">
                  <c:v>17-Jun-2021</c:v>
                </c:pt>
                <c:pt idx="363">
                  <c:v>18-Jun-2021</c:v>
                </c:pt>
                <c:pt idx="364">
                  <c:v>21-Jun-2021</c:v>
                </c:pt>
                <c:pt idx="365">
                  <c:v>22-Jun-2021</c:v>
                </c:pt>
                <c:pt idx="366">
                  <c:v>23-Jun-2021</c:v>
                </c:pt>
                <c:pt idx="367">
                  <c:v>24-Jun-2021</c:v>
                </c:pt>
                <c:pt idx="368">
                  <c:v>25-Jun-2021</c:v>
                </c:pt>
                <c:pt idx="369">
                  <c:v>28-Jun-2021</c:v>
                </c:pt>
                <c:pt idx="370">
                  <c:v>29-Jun-2021</c:v>
                </c:pt>
                <c:pt idx="371">
                  <c:v>30-Jun-2021</c:v>
                </c:pt>
                <c:pt idx="372">
                  <c:v>01-Jul-2021</c:v>
                </c:pt>
                <c:pt idx="373">
                  <c:v>02-Jul-2021</c:v>
                </c:pt>
                <c:pt idx="374">
                  <c:v>05-Jul-2021</c:v>
                </c:pt>
                <c:pt idx="375">
                  <c:v>06-Jul-2021</c:v>
                </c:pt>
                <c:pt idx="376">
                  <c:v>07-Jul-2021</c:v>
                </c:pt>
                <c:pt idx="377">
                  <c:v>08-Jul-2021</c:v>
                </c:pt>
                <c:pt idx="378">
                  <c:v>09-Jul-2021</c:v>
                </c:pt>
                <c:pt idx="379">
                  <c:v>12-Jul-2021</c:v>
                </c:pt>
                <c:pt idx="380">
                  <c:v>13-Jul-2021</c:v>
                </c:pt>
                <c:pt idx="381">
                  <c:v>14-Jul-2021</c:v>
                </c:pt>
                <c:pt idx="382">
                  <c:v>15-Jul-2021</c:v>
                </c:pt>
                <c:pt idx="383">
                  <c:v>16-Jul-2021</c:v>
                </c:pt>
                <c:pt idx="384">
                  <c:v>19-Jul-2021</c:v>
                </c:pt>
                <c:pt idx="385">
                  <c:v>20-Jul-2021</c:v>
                </c:pt>
                <c:pt idx="386">
                  <c:v>22-Jul-2021</c:v>
                </c:pt>
                <c:pt idx="387">
                  <c:v>23-Jul-2021</c:v>
                </c:pt>
                <c:pt idx="388">
                  <c:v>26-Jul-2021</c:v>
                </c:pt>
                <c:pt idx="389">
                  <c:v>27-Jul-2021</c:v>
                </c:pt>
                <c:pt idx="390">
                  <c:v>28-Jul-2021</c:v>
                </c:pt>
                <c:pt idx="391">
                  <c:v>29-Jul-2021</c:v>
                </c:pt>
                <c:pt idx="392">
                  <c:v>30-Jul-2021</c:v>
                </c:pt>
                <c:pt idx="393">
                  <c:v>02-Aug-2021</c:v>
                </c:pt>
                <c:pt idx="394">
                  <c:v>03-Aug-2021</c:v>
                </c:pt>
                <c:pt idx="395">
                  <c:v>04-Aug-2021</c:v>
                </c:pt>
                <c:pt idx="396">
                  <c:v>05-Aug-2021</c:v>
                </c:pt>
                <c:pt idx="397">
                  <c:v>06-Aug-2021</c:v>
                </c:pt>
                <c:pt idx="398">
                  <c:v>09-Aug-2021</c:v>
                </c:pt>
                <c:pt idx="399">
                  <c:v>10-Aug-2021</c:v>
                </c:pt>
                <c:pt idx="400">
                  <c:v>11-Aug-2021</c:v>
                </c:pt>
                <c:pt idx="401">
                  <c:v>12-Aug-2021</c:v>
                </c:pt>
                <c:pt idx="402">
                  <c:v>13-Aug-2021</c:v>
                </c:pt>
                <c:pt idx="403">
                  <c:v>16-Aug-2021</c:v>
                </c:pt>
                <c:pt idx="404">
                  <c:v>17-Aug-2021</c:v>
                </c:pt>
                <c:pt idx="405">
                  <c:v>18-Aug-2021</c:v>
                </c:pt>
                <c:pt idx="406">
                  <c:v>20-Aug-2021</c:v>
                </c:pt>
                <c:pt idx="407">
                  <c:v>23-Aug-2021</c:v>
                </c:pt>
                <c:pt idx="408">
                  <c:v>24-Aug-2021</c:v>
                </c:pt>
                <c:pt idx="409">
                  <c:v>25-Aug-2021</c:v>
                </c:pt>
                <c:pt idx="410">
                  <c:v>26-Aug-2021</c:v>
                </c:pt>
                <c:pt idx="411">
                  <c:v>27-Aug-2021</c:v>
                </c:pt>
                <c:pt idx="412">
                  <c:v>30-Aug-2021</c:v>
                </c:pt>
                <c:pt idx="413">
                  <c:v>31-Aug-2021</c:v>
                </c:pt>
                <c:pt idx="414">
                  <c:v>01-Sep-2021</c:v>
                </c:pt>
                <c:pt idx="415">
                  <c:v>02-Sep-2021</c:v>
                </c:pt>
                <c:pt idx="416">
                  <c:v>03-Sep-2021</c:v>
                </c:pt>
                <c:pt idx="417">
                  <c:v>06-Sep-2021</c:v>
                </c:pt>
                <c:pt idx="418">
                  <c:v>07-Sep-2021</c:v>
                </c:pt>
                <c:pt idx="419">
                  <c:v>08-Sep-2021</c:v>
                </c:pt>
                <c:pt idx="420">
                  <c:v>09-Sep-2021</c:v>
                </c:pt>
                <c:pt idx="421">
                  <c:v>13-Sep-2021</c:v>
                </c:pt>
                <c:pt idx="422">
                  <c:v>14-Sep-2021</c:v>
                </c:pt>
                <c:pt idx="423">
                  <c:v>15-Sep-2021</c:v>
                </c:pt>
                <c:pt idx="424">
                  <c:v>16-Sep-2021</c:v>
                </c:pt>
                <c:pt idx="425">
                  <c:v>17-Sep-2021</c:v>
                </c:pt>
                <c:pt idx="426">
                  <c:v>20-Sep-2021</c:v>
                </c:pt>
                <c:pt idx="427">
                  <c:v>21-Sep-2021</c:v>
                </c:pt>
                <c:pt idx="428">
                  <c:v>22-Sep-2021</c:v>
                </c:pt>
                <c:pt idx="429">
                  <c:v>23-Sep-2021</c:v>
                </c:pt>
                <c:pt idx="430">
                  <c:v>24-Sep-2021</c:v>
                </c:pt>
                <c:pt idx="431">
                  <c:v>27-Sep-2021</c:v>
                </c:pt>
                <c:pt idx="432">
                  <c:v>28-Sep-2021</c:v>
                </c:pt>
                <c:pt idx="433">
                  <c:v>29-Sep-2021</c:v>
                </c:pt>
                <c:pt idx="434">
                  <c:v>30-Sep-2021</c:v>
                </c:pt>
                <c:pt idx="435">
                  <c:v>01-Oct-2021</c:v>
                </c:pt>
                <c:pt idx="436">
                  <c:v>04-Oct-2021</c:v>
                </c:pt>
                <c:pt idx="437">
                  <c:v>05-Oct-2021</c:v>
                </c:pt>
                <c:pt idx="438">
                  <c:v>06-Oct-2021</c:v>
                </c:pt>
                <c:pt idx="439">
                  <c:v>07-Oct-2021</c:v>
                </c:pt>
                <c:pt idx="440">
                  <c:v>08-Oct-2021</c:v>
                </c:pt>
                <c:pt idx="441">
                  <c:v>11-Oct-2021</c:v>
                </c:pt>
                <c:pt idx="442">
                  <c:v>12-Oct-2021</c:v>
                </c:pt>
                <c:pt idx="443">
                  <c:v>13-Oct-2021</c:v>
                </c:pt>
                <c:pt idx="444">
                  <c:v>14-Oct-2021</c:v>
                </c:pt>
                <c:pt idx="445">
                  <c:v>18-Oct-2021</c:v>
                </c:pt>
                <c:pt idx="446">
                  <c:v>19-Oct-2021</c:v>
                </c:pt>
                <c:pt idx="447">
                  <c:v>20-Oct-2021</c:v>
                </c:pt>
                <c:pt idx="448">
                  <c:v>21-Oct-2021</c:v>
                </c:pt>
                <c:pt idx="449">
                  <c:v>22-Oct-2021</c:v>
                </c:pt>
                <c:pt idx="450">
                  <c:v>25-Oct-2021</c:v>
                </c:pt>
                <c:pt idx="451">
                  <c:v>26-Oct-2021</c:v>
                </c:pt>
                <c:pt idx="452">
                  <c:v>27-Oct-2021</c:v>
                </c:pt>
                <c:pt idx="453">
                  <c:v>28-Oct-2021</c:v>
                </c:pt>
                <c:pt idx="454">
                  <c:v>29-Oct-2021</c:v>
                </c:pt>
                <c:pt idx="455">
                  <c:v>01-Nov-2021</c:v>
                </c:pt>
                <c:pt idx="456">
                  <c:v>02-Nov-2021</c:v>
                </c:pt>
                <c:pt idx="457">
                  <c:v>03-Nov-2021</c:v>
                </c:pt>
                <c:pt idx="458">
                  <c:v>04-Nov-2021</c:v>
                </c:pt>
                <c:pt idx="459">
                  <c:v>08-Nov-2021</c:v>
                </c:pt>
                <c:pt idx="460">
                  <c:v>09-Nov-2021</c:v>
                </c:pt>
                <c:pt idx="461">
                  <c:v>10-Nov-2021</c:v>
                </c:pt>
                <c:pt idx="462">
                  <c:v>11-Nov-2021</c:v>
                </c:pt>
                <c:pt idx="463">
                  <c:v>12-Nov-2021</c:v>
                </c:pt>
                <c:pt idx="464">
                  <c:v>15-Nov-2021</c:v>
                </c:pt>
                <c:pt idx="465">
                  <c:v>16-Nov-2021</c:v>
                </c:pt>
                <c:pt idx="466">
                  <c:v>17-Nov-2021</c:v>
                </c:pt>
                <c:pt idx="467">
                  <c:v>18-Nov-2021</c:v>
                </c:pt>
                <c:pt idx="468">
                  <c:v>22-Nov-2021</c:v>
                </c:pt>
                <c:pt idx="469">
                  <c:v>23-Nov-2021</c:v>
                </c:pt>
                <c:pt idx="470">
                  <c:v>24-Nov-2021</c:v>
                </c:pt>
                <c:pt idx="471">
                  <c:v>25-Nov-2021</c:v>
                </c:pt>
                <c:pt idx="472">
                  <c:v>26-Nov-2021</c:v>
                </c:pt>
                <c:pt idx="473">
                  <c:v>29-Nov-2021</c:v>
                </c:pt>
                <c:pt idx="474">
                  <c:v>30-Nov-2021</c:v>
                </c:pt>
                <c:pt idx="475">
                  <c:v>01-Dec-2021</c:v>
                </c:pt>
                <c:pt idx="476">
                  <c:v>02-Dec-2021</c:v>
                </c:pt>
                <c:pt idx="477">
                  <c:v>03-Dec-2021</c:v>
                </c:pt>
                <c:pt idx="478">
                  <c:v>06-Dec-2021</c:v>
                </c:pt>
                <c:pt idx="479">
                  <c:v>07-Dec-2021</c:v>
                </c:pt>
                <c:pt idx="480">
                  <c:v>08-Dec-2021</c:v>
                </c:pt>
                <c:pt idx="481">
                  <c:v>09-Dec-2021</c:v>
                </c:pt>
                <c:pt idx="482">
                  <c:v>10-Dec-2021</c:v>
                </c:pt>
                <c:pt idx="483">
                  <c:v>13-Dec-2021</c:v>
                </c:pt>
                <c:pt idx="484">
                  <c:v>14-Dec-2021</c:v>
                </c:pt>
                <c:pt idx="485">
                  <c:v>15-Dec-2021</c:v>
                </c:pt>
                <c:pt idx="486">
                  <c:v>16-Dec-2021</c:v>
                </c:pt>
                <c:pt idx="487">
                  <c:v>17-Dec-2021</c:v>
                </c:pt>
                <c:pt idx="488">
                  <c:v>20-Dec-2021</c:v>
                </c:pt>
                <c:pt idx="489">
                  <c:v>21-Dec-2021</c:v>
                </c:pt>
                <c:pt idx="490">
                  <c:v>22-Dec-2021</c:v>
                </c:pt>
                <c:pt idx="491">
                  <c:v>23-Dec-2021</c:v>
                </c:pt>
                <c:pt idx="492">
                  <c:v>24-Dec-2021</c:v>
                </c:pt>
                <c:pt idx="493">
                  <c:v>27-Dec-2021</c:v>
                </c:pt>
                <c:pt idx="494">
                  <c:v>28-Dec-2021</c:v>
                </c:pt>
                <c:pt idx="495">
                  <c:v>29-Dec-2021</c:v>
                </c:pt>
                <c:pt idx="496">
                  <c:v>30-Dec-2021</c:v>
                </c:pt>
                <c:pt idx="497">
                  <c:v>31-Dec-2021</c:v>
                </c:pt>
                <c:pt idx="498">
                  <c:v>03-Jan-2022</c:v>
                </c:pt>
                <c:pt idx="499">
                  <c:v>04-Jan-2022</c:v>
                </c:pt>
                <c:pt idx="500">
                  <c:v>05-Jan-2022</c:v>
                </c:pt>
                <c:pt idx="501">
                  <c:v>06-Jan-2022</c:v>
                </c:pt>
                <c:pt idx="502">
                  <c:v>07-Jan-2022</c:v>
                </c:pt>
                <c:pt idx="503">
                  <c:v>10-Jan-2022</c:v>
                </c:pt>
                <c:pt idx="504">
                  <c:v>11-Jan-2022</c:v>
                </c:pt>
                <c:pt idx="505">
                  <c:v>12-Jan-2022</c:v>
                </c:pt>
                <c:pt idx="506">
                  <c:v>13-Jan-2022</c:v>
                </c:pt>
                <c:pt idx="507">
                  <c:v>14-Jan-2022</c:v>
                </c:pt>
                <c:pt idx="508">
                  <c:v>17-Jan-2022</c:v>
                </c:pt>
                <c:pt idx="509">
                  <c:v>18-Jan-2022</c:v>
                </c:pt>
                <c:pt idx="510">
                  <c:v>19-Jan-2022</c:v>
                </c:pt>
                <c:pt idx="511">
                  <c:v>20-Jan-2022</c:v>
                </c:pt>
                <c:pt idx="512">
                  <c:v>21-Jan-2022</c:v>
                </c:pt>
                <c:pt idx="513">
                  <c:v>24-Jan-2022</c:v>
                </c:pt>
                <c:pt idx="514">
                  <c:v>25-Jan-2022</c:v>
                </c:pt>
                <c:pt idx="515">
                  <c:v>27-Jan-2022</c:v>
                </c:pt>
                <c:pt idx="516">
                  <c:v>28-Jan-2022</c:v>
                </c:pt>
                <c:pt idx="517">
                  <c:v>31-Jan-2022</c:v>
                </c:pt>
                <c:pt idx="518">
                  <c:v>01-Feb-2022</c:v>
                </c:pt>
                <c:pt idx="519">
                  <c:v>02-Feb-2022</c:v>
                </c:pt>
                <c:pt idx="520">
                  <c:v>03-Feb-2022</c:v>
                </c:pt>
                <c:pt idx="521">
                  <c:v>04-Feb-2022</c:v>
                </c:pt>
                <c:pt idx="522">
                  <c:v>07-Feb-2022</c:v>
                </c:pt>
                <c:pt idx="523">
                  <c:v>08-Feb-2022</c:v>
                </c:pt>
                <c:pt idx="524">
                  <c:v>09-Feb-2022</c:v>
                </c:pt>
                <c:pt idx="525">
                  <c:v>10-Feb-2022</c:v>
                </c:pt>
                <c:pt idx="526">
                  <c:v>11-Feb-2022</c:v>
                </c:pt>
                <c:pt idx="527">
                  <c:v>14-Feb-2022</c:v>
                </c:pt>
                <c:pt idx="528">
                  <c:v>15-Feb-2022</c:v>
                </c:pt>
                <c:pt idx="529">
                  <c:v>16-Feb-2022</c:v>
                </c:pt>
                <c:pt idx="530">
                  <c:v>17-Feb-2022</c:v>
                </c:pt>
                <c:pt idx="531">
                  <c:v>18-Feb-2022</c:v>
                </c:pt>
                <c:pt idx="532">
                  <c:v>21-Feb-2022</c:v>
                </c:pt>
                <c:pt idx="533">
                  <c:v>22-Feb-2022</c:v>
                </c:pt>
                <c:pt idx="534">
                  <c:v>23-Feb-2022</c:v>
                </c:pt>
                <c:pt idx="535">
                  <c:v>24-Feb-2022</c:v>
                </c:pt>
                <c:pt idx="536">
                  <c:v>25-Feb-2022</c:v>
                </c:pt>
                <c:pt idx="537">
                  <c:v>28-Feb-2022</c:v>
                </c:pt>
                <c:pt idx="538">
                  <c:v>02-Mar-2022</c:v>
                </c:pt>
                <c:pt idx="539">
                  <c:v>03-Mar-2022</c:v>
                </c:pt>
                <c:pt idx="540">
                  <c:v>04-Mar-2022</c:v>
                </c:pt>
                <c:pt idx="541">
                  <c:v>07-Mar-2022</c:v>
                </c:pt>
                <c:pt idx="542">
                  <c:v>08-Mar-2022</c:v>
                </c:pt>
                <c:pt idx="543">
                  <c:v>09-Mar-2022</c:v>
                </c:pt>
                <c:pt idx="544">
                  <c:v>10-Mar-2022</c:v>
                </c:pt>
                <c:pt idx="545">
                  <c:v>11-Mar-2022</c:v>
                </c:pt>
                <c:pt idx="546">
                  <c:v>14-Mar-2022</c:v>
                </c:pt>
                <c:pt idx="547">
                  <c:v>15-Mar-2022</c:v>
                </c:pt>
                <c:pt idx="548">
                  <c:v>16-Mar-2022</c:v>
                </c:pt>
                <c:pt idx="549">
                  <c:v>17-Mar-2022</c:v>
                </c:pt>
                <c:pt idx="550">
                  <c:v>21-Mar-2022</c:v>
                </c:pt>
                <c:pt idx="551">
                  <c:v>22-Mar-2022</c:v>
                </c:pt>
                <c:pt idx="552">
                  <c:v>23-Mar-2022</c:v>
                </c:pt>
                <c:pt idx="553">
                  <c:v>24-Mar-2022</c:v>
                </c:pt>
                <c:pt idx="554">
                  <c:v>25-Mar-2022</c:v>
                </c:pt>
                <c:pt idx="555">
                  <c:v>28-Mar-2022</c:v>
                </c:pt>
                <c:pt idx="556">
                  <c:v>29-Mar-2022</c:v>
                </c:pt>
                <c:pt idx="557">
                  <c:v>30-Mar-2022</c:v>
                </c:pt>
                <c:pt idx="558">
                  <c:v>31-Mar-2022</c:v>
                </c:pt>
                <c:pt idx="559">
                  <c:v>01-Apr-2022</c:v>
                </c:pt>
                <c:pt idx="560">
                  <c:v>04-Apr-2022</c:v>
                </c:pt>
                <c:pt idx="561">
                  <c:v>05-Apr-2022</c:v>
                </c:pt>
                <c:pt idx="562">
                  <c:v>06-Apr-2022</c:v>
                </c:pt>
                <c:pt idx="563">
                  <c:v>07-Apr-2022</c:v>
                </c:pt>
                <c:pt idx="564">
                  <c:v>08-Apr-2022</c:v>
                </c:pt>
                <c:pt idx="565">
                  <c:v>11-Apr-2022</c:v>
                </c:pt>
                <c:pt idx="566">
                  <c:v>12-Apr-2022</c:v>
                </c:pt>
                <c:pt idx="567">
                  <c:v>13-Apr-2022</c:v>
                </c:pt>
                <c:pt idx="568">
                  <c:v>18-Apr-2022</c:v>
                </c:pt>
                <c:pt idx="569">
                  <c:v>19-Apr-2022</c:v>
                </c:pt>
                <c:pt idx="570">
                  <c:v>20-Apr-2022</c:v>
                </c:pt>
                <c:pt idx="571">
                  <c:v>21-Apr-2022</c:v>
                </c:pt>
                <c:pt idx="572">
                  <c:v>22-Apr-2022</c:v>
                </c:pt>
                <c:pt idx="573">
                  <c:v>25-Apr-2022</c:v>
                </c:pt>
                <c:pt idx="574">
                  <c:v>26-Apr-2022</c:v>
                </c:pt>
                <c:pt idx="575">
                  <c:v>27-Apr-2022</c:v>
                </c:pt>
                <c:pt idx="576">
                  <c:v>28-Apr-2022</c:v>
                </c:pt>
                <c:pt idx="577">
                  <c:v>29-Apr-2022</c:v>
                </c:pt>
                <c:pt idx="578">
                  <c:v>02-May-2022</c:v>
                </c:pt>
                <c:pt idx="579">
                  <c:v>04-May-2022</c:v>
                </c:pt>
                <c:pt idx="580">
                  <c:v>05-May-2022</c:v>
                </c:pt>
                <c:pt idx="581">
                  <c:v>06-May-2022</c:v>
                </c:pt>
                <c:pt idx="582">
                  <c:v>09-May-2022</c:v>
                </c:pt>
                <c:pt idx="583">
                  <c:v>10-May-2022</c:v>
                </c:pt>
                <c:pt idx="584">
                  <c:v>11-May-2022</c:v>
                </c:pt>
                <c:pt idx="585">
                  <c:v>12-May-2022</c:v>
                </c:pt>
                <c:pt idx="586">
                  <c:v>13-May-2022</c:v>
                </c:pt>
                <c:pt idx="587">
                  <c:v>16-May-2022</c:v>
                </c:pt>
                <c:pt idx="588">
                  <c:v>17-May-2022</c:v>
                </c:pt>
                <c:pt idx="589">
                  <c:v>18-May-2022</c:v>
                </c:pt>
                <c:pt idx="590">
                  <c:v>19-May-2022</c:v>
                </c:pt>
                <c:pt idx="591">
                  <c:v>20-May-2022</c:v>
                </c:pt>
                <c:pt idx="592">
                  <c:v>23-May-2022</c:v>
                </c:pt>
                <c:pt idx="593">
                  <c:v>24-May-2022</c:v>
                </c:pt>
                <c:pt idx="594">
                  <c:v>25-May-2022</c:v>
                </c:pt>
                <c:pt idx="595">
                  <c:v>26-May-2022</c:v>
                </c:pt>
                <c:pt idx="596">
                  <c:v>27-May-2022</c:v>
                </c:pt>
                <c:pt idx="597">
                  <c:v>30-May-2022</c:v>
                </c:pt>
                <c:pt idx="598">
                  <c:v>31-May-2022</c:v>
                </c:pt>
                <c:pt idx="599">
                  <c:v>01-Jun-2022</c:v>
                </c:pt>
                <c:pt idx="600">
                  <c:v>02-Jun-2022</c:v>
                </c:pt>
                <c:pt idx="601">
                  <c:v>03-Jun-2022</c:v>
                </c:pt>
                <c:pt idx="602">
                  <c:v>06-Jun-2022</c:v>
                </c:pt>
                <c:pt idx="603">
                  <c:v>07-Jun-2022</c:v>
                </c:pt>
                <c:pt idx="604">
                  <c:v>08-Jun-2022</c:v>
                </c:pt>
                <c:pt idx="605">
                  <c:v>09-Jun-2022</c:v>
                </c:pt>
                <c:pt idx="606">
                  <c:v>10-Jun-2022</c:v>
                </c:pt>
                <c:pt idx="607">
                  <c:v>13-Jun-2022</c:v>
                </c:pt>
                <c:pt idx="608">
                  <c:v>14-Jun-2022</c:v>
                </c:pt>
                <c:pt idx="609">
                  <c:v>15-Jun-2022</c:v>
                </c:pt>
                <c:pt idx="610">
                  <c:v>16-Jun-2022</c:v>
                </c:pt>
                <c:pt idx="611">
                  <c:v>17-Jun-2022</c:v>
                </c:pt>
                <c:pt idx="612">
                  <c:v>20-Jun-2022</c:v>
                </c:pt>
                <c:pt idx="613">
                  <c:v>21-Jun-2022</c:v>
                </c:pt>
                <c:pt idx="614">
                  <c:v>22-Jun-2022</c:v>
                </c:pt>
                <c:pt idx="615">
                  <c:v>23-Jun-2022</c:v>
                </c:pt>
                <c:pt idx="616">
                  <c:v>24-Jun-2022</c:v>
                </c:pt>
                <c:pt idx="617">
                  <c:v>27-Jun-2022</c:v>
                </c:pt>
                <c:pt idx="618">
                  <c:v>28-Jun-2022</c:v>
                </c:pt>
                <c:pt idx="619">
                  <c:v>29-Jun-2022</c:v>
                </c:pt>
                <c:pt idx="620">
                  <c:v>30-Jun-2022</c:v>
                </c:pt>
                <c:pt idx="621">
                  <c:v>01-Jul-2022</c:v>
                </c:pt>
                <c:pt idx="622">
                  <c:v>04-Jul-2022</c:v>
                </c:pt>
                <c:pt idx="623">
                  <c:v>05-Jul-2022</c:v>
                </c:pt>
                <c:pt idx="624">
                  <c:v>06-Jul-2022</c:v>
                </c:pt>
                <c:pt idx="625">
                  <c:v>07-Jul-2022</c:v>
                </c:pt>
                <c:pt idx="626">
                  <c:v>08-Jul-2022</c:v>
                </c:pt>
                <c:pt idx="627">
                  <c:v>11-Jul-2022</c:v>
                </c:pt>
                <c:pt idx="628">
                  <c:v>12-Jul-2022</c:v>
                </c:pt>
                <c:pt idx="629">
                  <c:v>13-Jul-2022</c:v>
                </c:pt>
                <c:pt idx="630">
                  <c:v>14-Jul-2022</c:v>
                </c:pt>
                <c:pt idx="631">
                  <c:v>15-Jul-2022</c:v>
                </c:pt>
                <c:pt idx="632">
                  <c:v>18-Jul-2022</c:v>
                </c:pt>
                <c:pt idx="633">
                  <c:v>19-Jul-2022</c:v>
                </c:pt>
                <c:pt idx="634">
                  <c:v>20-Jul-2022</c:v>
                </c:pt>
                <c:pt idx="635">
                  <c:v>21-Jul-2022</c:v>
                </c:pt>
                <c:pt idx="636">
                  <c:v>22-Jul-2022</c:v>
                </c:pt>
                <c:pt idx="637">
                  <c:v>25-Jul-2022</c:v>
                </c:pt>
                <c:pt idx="638">
                  <c:v>26-Jul-2022</c:v>
                </c:pt>
                <c:pt idx="639">
                  <c:v>27-Jul-2022</c:v>
                </c:pt>
                <c:pt idx="640">
                  <c:v>28-Jul-2022</c:v>
                </c:pt>
                <c:pt idx="641">
                  <c:v>29-Jul-2022</c:v>
                </c:pt>
                <c:pt idx="642">
                  <c:v>01-Aug-2022</c:v>
                </c:pt>
                <c:pt idx="643">
                  <c:v>02-Aug-2022</c:v>
                </c:pt>
                <c:pt idx="644">
                  <c:v>03-Aug-2022</c:v>
                </c:pt>
                <c:pt idx="645">
                  <c:v>04-Aug-2022</c:v>
                </c:pt>
                <c:pt idx="646">
                  <c:v>05-Aug-2022</c:v>
                </c:pt>
                <c:pt idx="647">
                  <c:v>08-Aug-2022</c:v>
                </c:pt>
                <c:pt idx="648">
                  <c:v>10-Aug-2022</c:v>
                </c:pt>
                <c:pt idx="649">
                  <c:v>11-Aug-2022</c:v>
                </c:pt>
                <c:pt idx="650">
                  <c:v>12-Aug-2022</c:v>
                </c:pt>
                <c:pt idx="651">
                  <c:v>16-Aug-2022</c:v>
                </c:pt>
                <c:pt idx="652">
                  <c:v>17-Aug-2022</c:v>
                </c:pt>
                <c:pt idx="653">
                  <c:v>18-Aug-2022</c:v>
                </c:pt>
                <c:pt idx="654">
                  <c:v>19-Aug-2022</c:v>
                </c:pt>
                <c:pt idx="655">
                  <c:v>22-Aug-2022</c:v>
                </c:pt>
                <c:pt idx="656">
                  <c:v>23-Aug-2022</c:v>
                </c:pt>
                <c:pt idx="657">
                  <c:v>24-Aug-2022</c:v>
                </c:pt>
                <c:pt idx="658">
                  <c:v>25-Aug-2022</c:v>
                </c:pt>
                <c:pt idx="659">
                  <c:v>26-Aug-2022</c:v>
                </c:pt>
                <c:pt idx="660">
                  <c:v>29-Aug-2022</c:v>
                </c:pt>
                <c:pt idx="661">
                  <c:v>30-Aug-2022</c:v>
                </c:pt>
                <c:pt idx="662">
                  <c:v>01-Sep-2022</c:v>
                </c:pt>
                <c:pt idx="663">
                  <c:v>02-Sep-2022</c:v>
                </c:pt>
                <c:pt idx="664">
                  <c:v>05-Sep-2022</c:v>
                </c:pt>
                <c:pt idx="665">
                  <c:v>06-Sep-2022</c:v>
                </c:pt>
                <c:pt idx="666">
                  <c:v>07-Sep-2022</c:v>
                </c:pt>
                <c:pt idx="667">
                  <c:v>08-Sep-2022</c:v>
                </c:pt>
                <c:pt idx="668">
                  <c:v>09-Sep-2022</c:v>
                </c:pt>
                <c:pt idx="669">
                  <c:v>12-Sep-2022</c:v>
                </c:pt>
                <c:pt idx="670">
                  <c:v>13-Sep-2022</c:v>
                </c:pt>
                <c:pt idx="671">
                  <c:v>14-Sep-2022</c:v>
                </c:pt>
                <c:pt idx="672">
                  <c:v>15-Sep-2022</c:v>
                </c:pt>
                <c:pt idx="673">
                  <c:v>16-Sep-2022</c:v>
                </c:pt>
                <c:pt idx="674">
                  <c:v>19-Sep-2022</c:v>
                </c:pt>
                <c:pt idx="675">
                  <c:v>20-Sep-2022</c:v>
                </c:pt>
                <c:pt idx="676">
                  <c:v>21-Sep-2022</c:v>
                </c:pt>
                <c:pt idx="677">
                  <c:v>22-Sep-2022</c:v>
                </c:pt>
                <c:pt idx="678">
                  <c:v>23-Sep-2022</c:v>
                </c:pt>
                <c:pt idx="679">
                  <c:v>26-Sep-2022</c:v>
                </c:pt>
                <c:pt idx="680">
                  <c:v>27-Sep-2022</c:v>
                </c:pt>
                <c:pt idx="681">
                  <c:v>28-Sep-2022</c:v>
                </c:pt>
                <c:pt idx="682">
                  <c:v>29-Sep-2022</c:v>
                </c:pt>
                <c:pt idx="683">
                  <c:v>30-Sep-2022</c:v>
                </c:pt>
                <c:pt idx="684">
                  <c:v>03-Oct-2022</c:v>
                </c:pt>
                <c:pt idx="685">
                  <c:v>04-Oct-2022</c:v>
                </c:pt>
                <c:pt idx="686">
                  <c:v>06-Oct-2022</c:v>
                </c:pt>
                <c:pt idx="687">
                  <c:v>07-Oct-2022</c:v>
                </c:pt>
                <c:pt idx="688">
                  <c:v>10-Oct-2022</c:v>
                </c:pt>
                <c:pt idx="689">
                  <c:v>11-Oct-2022</c:v>
                </c:pt>
                <c:pt idx="690">
                  <c:v>12-Oct-2022</c:v>
                </c:pt>
                <c:pt idx="691">
                  <c:v>13-Oct-2022</c:v>
                </c:pt>
                <c:pt idx="692">
                  <c:v>14-Oct-2022</c:v>
                </c:pt>
                <c:pt idx="693">
                  <c:v>17-Oct-2022</c:v>
                </c:pt>
                <c:pt idx="694">
                  <c:v>18-Oct-2022</c:v>
                </c:pt>
                <c:pt idx="695">
                  <c:v>19-Oct-2022</c:v>
                </c:pt>
                <c:pt idx="696">
                  <c:v>20-Oct-2022</c:v>
                </c:pt>
                <c:pt idx="697">
                  <c:v>21-Oct-2022</c:v>
                </c:pt>
                <c:pt idx="698">
                  <c:v>24-Oct-2022</c:v>
                </c:pt>
                <c:pt idx="699">
                  <c:v>25-Oct-2022</c:v>
                </c:pt>
                <c:pt idx="700">
                  <c:v>27-Oct-2022</c:v>
                </c:pt>
                <c:pt idx="701">
                  <c:v>28-Oct-2022</c:v>
                </c:pt>
                <c:pt idx="702">
                  <c:v>31-Oct-2022</c:v>
                </c:pt>
                <c:pt idx="703">
                  <c:v>01-Nov-2022</c:v>
                </c:pt>
                <c:pt idx="704">
                  <c:v>02-Nov-2022</c:v>
                </c:pt>
                <c:pt idx="705">
                  <c:v>03-Nov-2022</c:v>
                </c:pt>
                <c:pt idx="706">
                  <c:v>04-Nov-2022</c:v>
                </c:pt>
                <c:pt idx="707">
                  <c:v>07-Nov-2022</c:v>
                </c:pt>
                <c:pt idx="708">
                  <c:v>09-Nov-2022</c:v>
                </c:pt>
                <c:pt idx="709">
                  <c:v>10-Nov-2022</c:v>
                </c:pt>
                <c:pt idx="710">
                  <c:v>11-Nov-2022</c:v>
                </c:pt>
                <c:pt idx="711">
                  <c:v>14-Nov-2022</c:v>
                </c:pt>
                <c:pt idx="712">
                  <c:v>15-Nov-2022</c:v>
                </c:pt>
                <c:pt idx="713">
                  <c:v>16-Nov-2022</c:v>
                </c:pt>
                <c:pt idx="714">
                  <c:v>17-Nov-2022</c:v>
                </c:pt>
                <c:pt idx="715">
                  <c:v>18-Nov-2022</c:v>
                </c:pt>
                <c:pt idx="716">
                  <c:v>21-Nov-2022</c:v>
                </c:pt>
                <c:pt idx="717">
                  <c:v>22-Nov-2022</c:v>
                </c:pt>
                <c:pt idx="718">
                  <c:v>23-Nov-2022</c:v>
                </c:pt>
                <c:pt idx="719">
                  <c:v>24-Nov-2022</c:v>
                </c:pt>
                <c:pt idx="720">
                  <c:v>25-Nov-2022</c:v>
                </c:pt>
                <c:pt idx="721">
                  <c:v>28-Nov-2022</c:v>
                </c:pt>
                <c:pt idx="722">
                  <c:v>29-Nov-2022</c:v>
                </c:pt>
                <c:pt idx="723">
                  <c:v>30-Nov-2022</c:v>
                </c:pt>
                <c:pt idx="724">
                  <c:v>01-Dec-2022</c:v>
                </c:pt>
                <c:pt idx="725">
                  <c:v>02-Dec-2022</c:v>
                </c:pt>
                <c:pt idx="726">
                  <c:v>05-Dec-2022</c:v>
                </c:pt>
                <c:pt idx="727">
                  <c:v>06-Dec-2022</c:v>
                </c:pt>
                <c:pt idx="728">
                  <c:v>07-Dec-2022</c:v>
                </c:pt>
                <c:pt idx="729">
                  <c:v>08-Dec-2022</c:v>
                </c:pt>
                <c:pt idx="730">
                  <c:v>09-Dec-2022</c:v>
                </c:pt>
                <c:pt idx="731">
                  <c:v>12-Dec-2022</c:v>
                </c:pt>
                <c:pt idx="732">
                  <c:v>13-Dec-2022</c:v>
                </c:pt>
                <c:pt idx="733">
                  <c:v>14-Dec-2022</c:v>
                </c:pt>
                <c:pt idx="734">
                  <c:v>15-Dec-2022</c:v>
                </c:pt>
                <c:pt idx="735">
                  <c:v>16-Dec-2022</c:v>
                </c:pt>
                <c:pt idx="736">
                  <c:v>19-Dec-2022</c:v>
                </c:pt>
                <c:pt idx="737">
                  <c:v>20-Dec-2022</c:v>
                </c:pt>
                <c:pt idx="738">
                  <c:v>21-Dec-2022</c:v>
                </c:pt>
                <c:pt idx="739">
                  <c:v>22-Dec-2022</c:v>
                </c:pt>
                <c:pt idx="740">
                  <c:v>23-Dec-2022</c:v>
                </c:pt>
                <c:pt idx="741">
                  <c:v>26-Dec-2022</c:v>
                </c:pt>
                <c:pt idx="742">
                  <c:v>27-Dec-2022</c:v>
                </c:pt>
                <c:pt idx="743">
                  <c:v>28-Dec-2022</c:v>
                </c:pt>
                <c:pt idx="744">
                  <c:v>29-Dec-2022</c:v>
                </c:pt>
                <c:pt idx="745">
                  <c:v>30-Dec-2022</c:v>
                </c:pt>
                <c:pt idx="746">
                  <c:v>02-Jan-2023</c:v>
                </c:pt>
                <c:pt idx="747">
                  <c:v>03-Jan-2023</c:v>
                </c:pt>
                <c:pt idx="748">
                  <c:v>04-Jan-2023</c:v>
                </c:pt>
                <c:pt idx="749">
                  <c:v>05-Jan-2023</c:v>
                </c:pt>
                <c:pt idx="750">
                  <c:v>06-Jan-2023</c:v>
                </c:pt>
                <c:pt idx="751">
                  <c:v>09-Jan-2023</c:v>
                </c:pt>
                <c:pt idx="752">
                  <c:v>10-Jan-2023</c:v>
                </c:pt>
                <c:pt idx="753">
                  <c:v>11-Jan-2023</c:v>
                </c:pt>
                <c:pt idx="754">
                  <c:v>12-Jan-2023</c:v>
                </c:pt>
                <c:pt idx="755">
                  <c:v>13-Jan-2023</c:v>
                </c:pt>
                <c:pt idx="756">
                  <c:v>16-Jan-2023</c:v>
                </c:pt>
                <c:pt idx="757">
                  <c:v>17-Jan-2023</c:v>
                </c:pt>
                <c:pt idx="758">
                  <c:v>18-Jan-2023</c:v>
                </c:pt>
                <c:pt idx="759">
                  <c:v>19-Jan-2023</c:v>
                </c:pt>
                <c:pt idx="760">
                  <c:v>20-Jan-2023</c:v>
                </c:pt>
                <c:pt idx="761">
                  <c:v>23-Jan-2023</c:v>
                </c:pt>
                <c:pt idx="762">
                  <c:v>24-Jan-2023</c:v>
                </c:pt>
                <c:pt idx="763">
                  <c:v>25-Jan-2023</c:v>
                </c:pt>
                <c:pt idx="764">
                  <c:v>27-Jan-2023</c:v>
                </c:pt>
                <c:pt idx="765">
                  <c:v>30-Jan-2023</c:v>
                </c:pt>
                <c:pt idx="766">
                  <c:v>31-Jan-2023</c:v>
                </c:pt>
                <c:pt idx="767">
                  <c:v>01-Feb-2023</c:v>
                </c:pt>
                <c:pt idx="768">
                  <c:v>02-Feb-2023</c:v>
                </c:pt>
                <c:pt idx="769">
                  <c:v>03-Feb-2023</c:v>
                </c:pt>
                <c:pt idx="770">
                  <c:v>06-Feb-2023</c:v>
                </c:pt>
                <c:pt idx="771">
                  <c:v>07-Feb-2023</c:v>
                </c:pt>
                <c:pt idx="772">
                  <c:v>08-Feb-2023</c:v>
                </c:pt>
                <c:pt idx="773">
                  <c:v>09-Feb-2023</c:v>
                </c:pt>
                <c:pt idx="774">
                  <c:v>10-Feb-2023</c:v>
                </c:pt>
                <c:pt idx="775">
                  <c:v>13-Feb-2023</c:v>
                </c:pt>
                <c:pt idx="776">
                  <c:v>14-Feb-2023</c:v>
                </c:pt>
                <c:pt idx="777">
                  <c:v>15-Feb-2023</c:v>
                </c:pt>
                <c:pt idx="778">
                  <c:v>16-Feb-2023</c:v>
                </c:pt>
                <c:pt idx="779">
                  <c:v>17-Feb-2023</c:v>
                </c:pt>
                <c:pt idx="780">
                  <c:v>20-Feb-2023</c:v>
                </c:pt>
                <c:pt idx="781">
                  <c:v>21-Feb-2023</c:v>
                </c:pt>
                <c:pt idx="782">
                  <c:v>22-Feb-2023</c:v>
                </c:pt>
                <c:pt idx="783">
                  <c:v>23-Feb-2023</c:v>
                </c:pt>
                <c:pt idx="784">
                  <c:v>24-Feb-2023</c:v>
                </c:pt>
                <c:pt idx="785">
                  <c:v>27-Feb-2023</c:v>
                </c:pt>
                <c:pt idx="786">
                  <c:v>28-Feb-2023</c:v>
                </c:pt>
                <c:pt idx="787">
                  <c:v>01-Mar-2023</c:v>
                </c:pt>
                <c:pt idx="788">
                  <c:v>02-Mar-2023</c:v>
                </c:pt>
                <c:pt idx="789">
                  <c:v>03-Mar-2023</c:v>
                </c:pt>
                <c:pt idx="790">
                  <c:v>06-Mar-2023</c:v>
                </c:pt>
                <c:pt idx="791">
                  <c:v>08-Mar-2023</c:v>
                </c:pt>
                <c:pt idx="792">
                  <c:v>09-Mar-2023</c:v>
                </c:pt>
                <c:pt idx="793">
                  <c:v>10-Mar-2023</c:v>
                </c:pt>
                <c:pt idx="794">
                  <c:v>13-Mar-2023</c:v>
                </c:pt>
                <c:pt idx="795">
                  <c:v>14-Mar-2023</c:v>
                </c:pt>
                <c:pt idx="796">
                  <c:v>15-Mar-2023</c:v>
                </c:pt>
                <c:pt idx="797">
                  <c:v>16-Mar-2023</c:v>
                </c:pt>
                <c:pt idx="798">
                  <c:v>17-Mar-2023</c:v>
                </c:pt>
                <c:pt idx="799">
                  <c:v>20-Mar-2023</c:v>
                </c:pt>
                <c:pt idx="800">
                  <c:v>21-Mar-2023</c:v>
                </c:pt>
                <c:pt idx="801">
                  <c:v>22-Mar-2023</c:v>
                </c:pt>
                <c:pt idx="802">
                  <c:v>23-Mar-2023</c:v>
                </c:pt>
                <c:pt idx="803">
                  <c:v>24-Mar-2023</c:v>
                </c:pt>
                <c:pt idx="804">
                  <c:v>27-Mar-2023</c:v>
                </c:pt>
                <c:pt idx="805">
                  <c:v>28-Mar-2023</c:v>
                </c:pt>
                <c:pt idx="806">
                  <c:v>29-Mar-2023</c:v>
                </c:pt>
                <c:pt idx="807">
                  <c:v>31-Mar-2023</c:v>
                </c:pt>
                <c:pt idx="808">
                  <c:v>03-Apr-2023</c:v>
                </c:pt>
                <c:pt idx="809">
                  <c:v>05-Apr-2023</c:v>
                </c:pt>
                <c:pt idx="810">
                  <c:v>06-Apr-2023</c:v>
                </c:pt>
                <c:pt idx="811">
                  <c:v>10-Apr-2023</c:v>
                </c:pt>
                <c:pt idx="812">
                  <c:v>11-Apr-2023</c:v>
                </c:pt>
                <c:pt idx="813">
                  <c:v>12-Apr-2023</c:v>
                </c:pt>
                <c:pt idx="814">
                  <c:v>13-Apr-2023</c:v>
                </c:pt>
                <c:pt idx="815">
                  <c:v>17-Apr-2023</c:v>
                </c:pt>
                <c:pt idx="816">
                  <c:v>18-Apr-2023</c:v>
                </c:pt>
                <c:pt idx="817">
                  <c:v>19-Apr-2023</c:v>
                </c:pt>
                <c:pt idx="818">
                  <c:v>20-Apr-2023</c:v>
                </c:pt>
                <c:pt idx="819">
                  <c:v>21-Apr-2023</c:v>
                </c:pt>
                <c:pt idx="820">
                  <c:v>24-Apr-2023</c:v>
                </c:pt>
                <c:pt idx="821">
                  <c:v>25-Apr-2023</c:v>
                </c:pt>
                <c:pt idx="822">
                  <c:v>26-Apr-2023</c:v>
                </c:pt>
                <c:pt idx="823">
                  <c:v>27-Apr-2023</c:v>
                </c:pt>
                <c:pt idx="824">
                  <c:v>28-Apr-2023</c:v>
                </c:pt>
                <c:pt idx="825">
                  <c:v>02-May-2023</c:v>
                </c:pt>
                <c:pt idx="826">
                  <c:v>03-May-2023</c:v>
                </c:pt>
                <c:pt idx="827">
                  <c:v>04-May-2023</c:v>
                </c:pt>
                <c:pt idx="828">
                  <c:v>05-May-2023</c:v>
                </c:pt>
                <c:pt idx="829">
                  <c:v>08-May-2023</c:v>
                </c:pt>
                <c:pt idx="830">
                  <c:v>09-May-2023</c:v>
                </c:pt>
                <c:pt idx="831">
                  <c:v>10-May-2023</c:v>
                </c:pt>
                <c:pt idx="832">
                  <c:v>11-May-2023</c:v>
                </c:pt>
                <c:pt idx="833">
                  <c:v>12-May-2023</c:v>
                </c:pt>
                <c:pt idx="834">
                  <c:v>15-May-2023</c:v>
                </c:pt>
                <c:pt idx="835">
                  <c:v>16-May-2023</c:v>
                </c:pt>
                <c:pt idx="836">
                  <c:v>17-May-2023</c:v>
                </c:pt>
                <c:pt idx="837">
                  <c:v>18-May-2023</c:v>
                </c:pt>
                <c:pt idx="838">
                  <c:v>19-May-2023</c:v>
                </c:pt>
                <c:pt idx="839">
                  <c:v>22-May-2023</c:v>
                </c:pt>
                <c:pt idx="840">
                  <c:v>23-May-2023</c:v>
                </c:pt>
                <c:pt idx="841">
                  <c:v>24-May-2023</c:v>
                </c:pt>
                <c:pt idx="842">
                  <c:v>25-May-2023</c:v>
                </c:pt>
                <c:pt idx="843">
                  <c:v>26-May-2023</c:v>
                </c:pt>
                <c:pt idx="844">
                  <c:v>29-May-2023</c:v>
                </c:pt>
                <c:pt idx="845">
                  <c:v>30-May-2023</c:v>
                </c:pt>
                <c:pt idx="846">
                  <c:v>31-May-2023</c:v>
                </c:pt>
                <c:pt idx="847">
                  <c:v>01-Jun-2023</c:v>
                </c:pt>
                <c:pt idx="848">
                  <c:v>02-Jun-2023</c:v>
                </c:pt>
                <c:pt idx="849">
                  <c:v>05-Jun-2023</c:v>
                </c:pt>
                <c:pt idx="850">
                  <c:v>06-Jun-2023</c:v>
                </c:pt>
                <c:pt idx="851">
                  <c:v>07-Jun-2023</c:v>
                </c:pt>
                <c:pt idx="852">
                  <c:v>08-Jun-2023</c:v>
                </c:pt>
                <c:pt idx="853">
                  <c:v>09-Jun-2023</c:v>
                </c:pt>
                <c:pt idx="854">
                  <c:v>12-Jun-2023</c:v>
                </c:pt>
                <c:pt idx="855">
                  <c:v>13-Jun-2023</c:v>
                </c:pt>
                <c:pt idx="856">
                  <c:v>14-Jun-2023</c:v>
                </c:pt>
                <c:pt idx="857">
                  <c:v>15-Jun-2023</c:v>
                </c:pt>
                <c:pt idx="858">
                  <c:v>16-Jun-2023</c:v>
                </c:pt>
                <c:pt idx="859">
                  <c:v>19-Jun-2023</c:v>
                </c:pt>
                <c:pt idx="860">
                  <c:v>20-Jun-2023</c:v>
                </c:pt>
                <c:pt idx="861">
                  <c:v>21-Jun-2023</c:v>
                </c:pt>
                <c:pt idx="862">
                  <c:v>22-Jun-2023</c:v>
                </c:pt>
                <c:pt idx="863">
                  <c:v>23-Jun-2023</c:v>
                </c:pt>
                <c:pt idx="864">
                  <c:v>26-Jun-2023</c:v>
                </c:pt>
                <c:pt idx="865">
                  <c:v>27-Jun-2023</c:v>
                </c:pt>
                <c:pt idx="866">
                  <c:v>28-Jun-2023</c:v>
                </c:pt>
                <c:pt idx="867">
                  <c:v>30-Jun-2023</c:v>
                </c:pt>
                <c:pt idx="868">
                  <c:v>03-Jul-2023</c:v>
                </c:pt>
                <c:pt idx="869">
                  <c:v>04-Jul-2023</c:v>
                </c:pt>
                <c:pt idx="870">
                  <c:v>05-Jul-2023</c:v>
                </c:pt>
                <c:pt idx="871">
                  <c:v>06-Jul-2023</c:v>
                </c:pt>
                <c:pt idx="872">
                  <c:v>07-Jul-2023</c:v>
                </c:pt>
                <c:pt idx="873">
                  <c:v>10-Jul-2023</c:v>
                </c:pt>
                <c:pt idx="874">
                  <c:v>11-Jul-2023</c:v>
                </c:pt>
                <c:pt idx="875">
                  <c:v>12-Jul-2023</c:v>
                </c:pt>
                <c:pt idx="876">
                  <c:v>13-Jul-2023</c:v>
                </c:pt>
                <c:pt idx="877">
                  <c:v>14-Jul-2023</c:v>
                </c:pt>
                <c:pt idx="878">
                  <c:v>17-Jul-2023</c:v>
                </c:pt>
                <c:pt idx="879">
                  <c:v>18-Jul-2023</c:v>
                </c:pt>
                <c:pt idx="880">
                  <c:v>19-Jul-2023</c:v>
                </c:pt>
                <c:pt idx="881">
                  <c:v>20-Jul-2023</c:v>
                </c:pt>
                <c:pt idx="882">
                  <c:v>21-Jul-2023</c:v>
                </c:pt>
                <c:pt idx="883">
                  <c:v>24-Jul-2023</c:v>
                </c:pt>
                <c:pt idx="884">
                  <c:v>25-Jul-2023</c:v>
                </c:pt>
                <c:pt idx="885">
                  <c:v>26-Jul-2023</c:v>
                </c:pt>
                <c:pt idx="886">
                  <c:v>27-Jul-2023</c:v>
                </c:pt>
                <c:pt idx="887">
                  <c:v>28-Jul-2023</c:v>
                </c:pt>
                <c:pt idx="888">
                  <c:v>31-Jul-2023</c:v>
                </c:pt>
                <c:pt idx="889">
                  <c:v>01-Aug-2023</c:v>
                </c:pt>
                <c:pt idx="890">
                  <c:v>02-Aug-2023</c:v>
                </c:pt>
                <c:pt idx="891">
                  <c:v>03-Aug-2023</c:v>
                </c:pt>
                <c:pt idx="892">
                  <c:v>04-Aug-2023</c:v>
                </c:pt>
                <c:pt idx="893">
                  <c:v>07-Aug-2023</c:v>
                </c:pt>
                <c:pt idx="894">
                  <c:v>08-Aug-2023</c:v>
                </c:pt>
                <c:pt idx="895">
                  <c:v>09-Aug-2023</c:v>
                </c:pt>
                <c:pt idx="896">
                  <c:v>10-Aug-2023</c:v>
                </c:pt>
                <c:pt idx="897">
                  <c:v>11-Aug-2023</c:v>
                </c:pt>
                <c:pt idx="898">
                  <c:v>14-Aug-2023</c:v>
                </c:pt>
                <c:pt idx="899">
                  <c:v>16-Aug-2023</c:v>
                </c:pt>
                <c:pt idx="900">
                  <c:v>17-Aug-2023</c:v>
                </c:pt>
                <c:pt idx="901">
                  <c:v>18-Aug-2023</c:v>
                </c:pt>
                <c:pt idx="902">
                  <c:v>21-Aug-2023</c:v>
                </c:pt>
                <c:pt idx="903">
                  <c:v>22-Aug-2023</c:v>
                </c:pt>
                <c:pt idx="904">
                  <c:v>23-Aug-2023</c:v>
                </c:pt>
                <c:pt idx="905">
                  <c:v>24-Aug-2023</c:v>
                </c:pt>
                <c:pt idx="906">
                  <c:v>25-Aug-2023</c:v>
                </c:pt>
                <c:pt idx="907">
                  <c:v>28-Aug-2023</c:v>
                </c:pt>
                <c:pt idx="908">
                  <c:v>29-Aug-2023</c:v>
                </c:pt>
                <c:pt idx="909">
                  <c:v>30-Aug-2023</c:v>
                </c:pt>
                <c:pt idx="910">
                  <c:v>31-Aug-2023</c:v>
                </c:pt>
                <c:pt idx="911">
                  <c:v>01-Sep-2023</c:v>
                </c:pt>
                <c:pt idx="912">
                  <c:v>04-Sep-2023</c:v>
                </c:pt>
                <c:pt idx="913">
                  <c:v>05-Sep-2023</c:v>
                </c:pt>
                <c:pt idx="914">
                  <c:v>06-Sep-2023</c:v>
                </c:pt>
                <c:pt idx="915">
                  <c:v>07-Sep-2023</c:v>
                </c:pt>
                <c:pt idx="916">
                  <c:v>08-Sep-2023</c:v>
                </c:pt>
                <c:pt idx="917">
                  <c:v>11-Sep-2023</c:v>
                </c:pt>
                <c:pt idx="918">
                  <c:v>12-Sep-2023</c:v>
                </c:pt>
                <c:pt idx="919">
                  <c:v>13-Sep-2023</c:v>
                </c:pt>
                <c:pt idx="920">
                  <c:v>14-Sep-2023</c:v>
                </c:pt>
                <c:pt idx="921">
                  <c:v>15-Sep-2023</c:v>
                </c:pt>
                <c:pt idx="922">
                  <c:v>18-Sep-2023</c:v>
                </c:pt>
                <c:pt idx="923">
                  <c:v>20-Sep-2023</c:v>
                </c:pt>
                <c:pt idx="924">
                  <c:v>21-Sep-2023</c:v>
                </c:pt>
                <c:pt idx="925">
                  <c:v>22-Sep-2023</c:v>
                </c:pt>
                <c:pt idx="926">
                  <c:v>25-Sep-2023</c:v>
                </c:pt>
                <c:pt idx="927">
                  <c:v>26-Sep-2023</c:v>
                </c:pt>
                <c:pt idx="928">
                  <c:v>27-Sep-2023</c:v>
                </c:pt>
                <c:pt idx="929">
                  <c:v>28-Sep-2023</c:v>
                </c:pt>
                <c:pt idx="930">
                  <c:v>29-Sep-2023</c:v>
                </c:pt>
                <c:pt idx="931">
                  <c:v>03-Oct-2023</c:v>
                </c:pt>
                <c:pt idx="932">
                  <c:v>04-Oct-2023</c:v>
                </c:pt>
                <c:pt idx="933">
                  <c:v>05-Oct-2023</c:v>
                </c:pt>
                <c:pt idx="934">
                  <c:v>06-Oct-2023</c:v>
                </c:pt>
                <c:pt idx="935">
                  <c:v>09-Oct-2023</c:v>
                </c:pt>
                <c:pt idx="936">
                  <c:v>10-Oct-2023</c:v>
                </c:pt>
                <c:pt idx="937">
                  <c:v>11-Oct-2023</c:v>
                </c:pt>
                <c:pt idx="938">
                  <c:v>12-Oct-2023</c:v>
                </c:pt>
                <c:pt idx="939">
                  <c:v>13-Oct-2023</c:v>
                </c:pt>
                <c:pt idx="940">
                  <c:v>16-Oct-2023</c:v>
                </c:pt>
                <c:pt idx="941">
                  <c:v>17-Oct-2023</c:v>
                </c:pt>
                <c:pt idx="942">
                  <c:v>18-Oct-2023</c:v>
                </c:pt>
                <c:pt idx="943">
                  <c:v>19-Oct-2023</c:v>
                </c:pt>
                <c:pt idx="944">
                  <c:v>20-Oct-2023</c:v>
                </c:pt>
                <c:pt idx="945">
                  <c:v>23-Oct-2023</c:v>
                </c:pt>
                <c:pt idx="946">
                  <c:v>25-Oct-2023</c:v>
                </c:pt>
                <c:pt idx="947">
                  <c:v>26-Oct-2023</c:v>
                </c:pt>
                <c:pt idx="948">
                  <c:v>27-Oct-2023</c:v>
                </c:pt>
                <c:pt idx="949">
                  <c:v>30-Oct-2023</c:v>
                </c:pt>
                <c:pt idx="950">
                  <c:v>31-Oct-2023</c:v>
                </c:pt>
                <c:pt idx="951">
                  <c:v>01-Nov-2023</c:v>
                </c:pt>
                <c:pt idx="952">
                  <c:v>02-Nov-2023</c:v>
                </c:pt>
                <c:pt idx="953">
                  <c:v>03-Nov-2023</c:v>
                </c:pt>
                <c:pt idx="954">
                  <c:v>06-Nov-2023</c:v>
                </c:pt>
                <c:pt idx="955">
                  <c:v>07-Nov-2023</c:v>
                </c:pt>
                <c:pt idx="956">
                  <c:v>08-Nov-2023</c:v>
                </c:pt>
                <c:pt idx="957">
                  <c:v>09-Nov-2023</c:v>
                </c:pt>
                <c:pt idx="958">
                  <c:v>10-Nov-2023</c:v>
                </c:pt>
                <c:pt idx="959">
                  <c:v>13-Nov-2023</c:v>
                </c:pt>
                <c:pt idx="960">
                  <c:v>15-Nov-2023</c:v>
                </c:pt>
                <c:pt idx="961">
                  <c:v>16-Nov-2023</c:v>
                </c:pt>
                <c:pt idx="962">
                  <c:v>17-Nov-2023</c:v>
                </c:pt>
                <c:pt idx="963">
                  <c:v>20-Nov-2023</c:v>
                </c:pt>
                <c:pt idx="964">
                  <c:v>21-Nov-2023</c:v>
                </c:pt>
                <c:pt idx="965">
                  <c:v>22-Nov-2023</c:v>
                </c:pt>
                <c:pt idx="966">
                  <c:v>23-Nov-2023</c:v>
                </c:pt>
                <c:pt idx="967">
                  <c:v>24-Nov-2023</c:v>
                </c:pt>
                <c:pt idx="968">
                  <c:v>28-Nov-2023</c:v>
                </c:pt>
                <c:pt idx="969">
                  <c:v>29-Nov-2023</c:v>
                </c:pt>
                <c:pt idx="970">
                  <c:v>30-Nov-2023</c:v>
                </c:pt>
                <c:pt idx="971">
                  <c:v>01-Dec-2023</c:v>
                </c:pt>
                <c:pt idx="972">
                  <c:v>04-Dec-2023</c:v>
                </c:pt>
                <c:pt idx="973">
                  <c:v>05-Dec-2023</c:v>
                </c:pt>
                <c:pt idx="974">
                  <c:v>06-Dec-2023</c:v>
                </c:pt>
                <c:pt idx="975">
                  <c:v>07-Dec-2023</c:v>
                </c:pt>
                <c:pt idx="976">
                  <c:v>08-Dec-2023</c:v>
                </c:pt>
                <c:pt idx="977">
                  <c:v>11-Dec-2023</c:v>
                </c:pt>
                <c:pt idx="978">
                  <c:v>12-Dec-2023</c:v>
                </c:pt>
                <c:pt idx="979">
                  <c:v>13-Dec-2023</c:v>
                </c:pt>
                <c:pt idx="980">
                  <c:v>14-Dec-2023</c:v>
                </c:pt>
                <c:pt idx="981">
                  <c:v>15-Dec-2023</c:v>
                </c:pt>
                <c:pt idx="982">
                  <c:v>18-Dec-2023</c:v>
                </c:pt>
                <c:pt idx="983">
                  <c:v>19-Dec-2023</c:v>
                </c:pt>
                <c:pt idx="984">
                  <c:v>20-Dec-2023</c:v>
                </c:pt>
                <c:pt idx="985">
                  <c:v>21-Dec-2023</c:v>
                </c:pt>
                <c:pt idx="986">
                  <c:v>22-Dec-2023</c:v>
                </c:pt>
                <c:pt idx="987">
                  <c:v>26-Dec-2023</c:v>
                </c:pt>
                <c:pt idx="988">
                  <c:v>27-Dec-2023</c:v>
                </c:pt>
                <c:pt idx="989">
                  <c:v>28-Dec-2023</c:v>
                </c:pt>
                <c:pt idx="990">
                  <c:v>29-Dec-2023</c:v>
                </c:pt>
                <c:pt idx="991">
                  <c:v>01-Jan-2024</c:v>
                </c:pt>
                <c:pt idx="992">
                  <c:v>02-Jan-2024</c:v>
                </c:pt>
                <c:pt idx="993">
                  <c:v>03-Jan-2024</c:v>
                </c:pt>
                <c:pt idx="994">
                  <c:v>04-Jan-2024</c:v>
                </c:pt>
                <c:pt idx="995">
                  <c:v>05-Jan-2024</c:v>
                </c:pt>
                <c:pt idx="996">
                  <c:v>08-Jan-2024</c:v>
                </c:pt>
                <c:pt idx="997">
                  <c:v>09-Jan-2024</c:v>
                </c:pt>
                <c:pt idx="998">
                  <c:v>10-Jan-2024</c:v>
                </c:pt>
                <c:pt idx="999">
                  <c:v>11-Jan-2024</c:v>
                </c:pt>
                <c:pt idx="1000">
                  <c:v>12-Jan-2024</c:v>
                </c:pt>
                <c:pt idx="1001">
                  <c:v>15-Jan-2024</c:v>
                </c:pt>
                <c:pt idx="1002">
                  <c:v>16-Jan-2024</c:v>
                </c:pt>
                <c:pt idx="1003">
                  <c:v>17-Jan-2024</c:v>
                </c:pt>
                <c:pt idx="1004">
                  <c:v>18-Jan-2024</c:v>
                </c:pt>
                <c:pt idx="1005">
                  <c:v>19-Jan-2024</c:v>
                </c:pt>
                <c:pt idx="1006">
                  <c:v>23-Jan-2024</c:v>
                </c:pt>
                <c:pt idx="1007">
                  <c:v>24-Jan-2024</c:v>
                </c:pt>
                <c:pt idx="1008">
                  <c:v>25-Jan-2024</c:v>
                </c:pt>
                <c:pt idx="1009">
                  <c:v>29-Jan-2024</c:v>
                </c:pt>
                <c:pt idx="1010">
                  <c:v>30-Jan-2024</c:v>
                </c:pt>
                <c:pt idx="1011">
                  <c:v>31-Jan-2024</c:v>
                </c:pt>
                <c:pt idx="1012">
                  <c:v>01-Feb-2024</c:v>
                </c:pt>
                <c:pt idx="1013">
                  <c:v>02-Feb-2024</c:v>
                </c:pt>
                <c:pt idx="1014">
                  <c:v>05-Feb-2024</c:v>
                </c:pt>
                <c:pt idx="1015">
                  <c:v>06-Feb-2024</c:v>
                </c:pt>
                <c:pt idx="1016">
                  <c:v>07-Feb-2024</c:v>
                </c:pt>
                <c:pt idx="1017">
                  <c:v>08-Feb-2024</c:v>
                </c:pt>
                <c:pt idx="1018">
                  <c:v>09-Feb-2024</c:v>
                </c:pt>
                <c:pt idx="1019">
                  <c:v>12-Feb-2024</c:v>
                </c:pt>
                <c:pt idx="1020">
                  <c:v>13-Feb-2024</c:v>
                </c:pt>
                <c:pt idx="1021">
                  <c:v>14-Feb-2024</c:v>
                </c:pt>
                <c:pt idx="1022">
                  <c:v>15-Feb-2024</c:v>
                </c:pt>
                <c:pt idx="1023">
                  <c:v>16-Feb-2024</c:v>
                </c:pt>
                <c:pt idx="1024">
                  <c:v>19-Feb-2024</c:v>
                </c:pt>
                <c:pt idx="1025">
                  <c:v>20-Feb-2024</c:v>
                </c:pt>
                <c:pt idx="1026">
                  <c:v>21-Feb-2024</c:v>
                </c:pt>
                <c:pt idx="1027">
                  <c:v>22-Feb-2024</c:v>
                </c:pt>
                <c:pt idx="1028">
                  <c:v>23-Feb-2024</c:v>
                </c:pt>
                <c:pt idx="1029">
                  <c:v>26-Feb-2024</c:v>
                </c:pt>
                <c:pt idx="1030">
                  <c:v>27-Feb-2024</c:v>
                </c:pt>
                <c:pt idx="1031">
                  <c:v>28-Feb-2024</c:v>
                </c:pt>
                <c:pt idx="1032">
                  <c:v>29-Feb-2024</c:v>
                </c:pt>
                <c:pt idx="1033">
                  <c:v>01-Mar-2024</c:v>
                </c:pt>
                <c:pt idx="1034">
                  <c:v>04-Mar-2024</c:v>
                </c:pt>
                <c:pt idx="1035">
                  <c:v>05-Mar-2024</c:v>
                </c:pt>
                <c:pt idx="1036">
                  <c:v>06-Mar-2024</c:v>
                </c:pt>
                <c:pt idx="1037">
                  <c:v>07-Mar-2024</c:v>
                </c:pt>
                <c:pt idx="1038">
                  <c:v>11-Mar-2024</c:v>
                </c:pt>
                <c:pt idx="1039">
                  <c:v>12-Mar-2024</c:v>
                </c:pt>
                <c:pt idx="1040">
                  <c:v>13-Mar-2024</c:v>
                </c:pt>
                <c:pt idx="1041">
                  <c:v>14-Mar-2024</c:v>
                </c:pt>
                <c:pt idx="1042">
                  <c:v>15-Mar-2024</c:v>
                </c:pt>
                <c:pt idx="1043">
                  <c:v>18-Mar-2024</c:v>
                </c:pt>
                <c:pt idx="1044">
                  <c:v>19-Mar-2024</c:v>
                </c:pt>
                <c:pt idx="1045">
                  <c:v>20-Mar-2024</c:v>
                </c:pt>
                <c:pt idx="1046">
                  <c:v>21-Mar-2024</c:v>
                </c:pt>
                <c:pt idx="1047">
                  <c:v>22-Mar-2024</c:v>
                </c:pt>
                <c:pt idx="1048">
                  <c:v>26-Mar-2024</c:v>
                </c:pt>
                <c:pt idx="1049">
                  <c:v>27-Mar-2024</c:v>
                </c:pt>
                <c:pt idx="1050">
                  <c:v>28-Mar-2024</c:v>
                </c:pt>
                <c:pt idx="1051">
                  <c:v>01-Apr-2024</c:v>
                </c:pt>
                <c:pt idx="1052">
                  <c:v>02-Apr-2024</c:v>
                </c:pt>
                <c:pt idx="1053">
                  <c:v>03-Apr-2024</c:v>
                </c:pt>
                <c:pt idx="1054">
                  <c:v>04-Apr-2024</c:v>
                </c:pt>
                <c:pt idx="1055">
                  <c:v>05-Apr-2024</c:v>
                </c:pt>
                <c:pt idx="1056">
                  <c:v>08-Apr-2024</c:v>
                </c:pt>
                <c:pt idx="1057">
                  <c:v>09-Apr-2024</c:v>
                </c:pt>
                <c:pt idx="1058">
                  <c:v>10-Apr-2024</c:v>
                </c:pt>
                <c:pt idx="1059">
                  <c:v>12-Apr-2024</c:v>
                </c:pt>
                <c:pt idx="1060">
                  <c:v>15-Apr-2024</c:v>
                </c:pt>
                <c:pt idx="1061">
                  <c:v>16-Apr-2024</c:v>
                </c:pt>
                <c:pt idx="1062">
                  <c:v>18-Apr-2024</c:v>
                </c:pt>
                <c:pt idx="1063">
                  <c:v>19-Apr-2024</c:v>
                </c:pt>
                <c:pt idx="1064">
                  <c:v>22-Apr-2024</c:v>
                </c:pt>
                <c:pt idx="1065">
                  <c:v>23-Apr-2024</c:v>
                </c:pt>
                <c:pt idx="1066">
                  <c:v>24-Apr-2024</c:v>
                </c:pt>
                <c:pt idx="1067">
                  <c:v>25-Apr-2024</c:v>
                </c:pt>
                <c:pt idx="1068">
                  <c:v>26-Apr-2024</c:v>
                </c:pt>
                <c:pt idx="1069">
                  <c:v>29-Apr-2024</c:v>
                </c:pt>
                <c:pt idx="1070">
                  <c:v>30-Apr-2024</c:v>
                </c:pt>
                <c:pt idx="1071">
                  <c:v>02-May-2024</c:v>
                </c:pt>
                <c:pt idx="1072">
                  <c:v>03-May-2024</c:v>
                </c:pt>
                <c:pt idx="1073">
                  <c:v>06-May-2024</c:v>
                </c:pt>
                <c:pt idx="1074">
                  <c:v>07-May-2024</c:v>
                </c:pt>
                <c:pt idx="1075">
                  <c:v>08-May-2024</c:v>
                </c:pt>
                <c:pt idx="1076">
                  <c:v>09-May-2024</c:v>
                </c:pt>
                <c:pt idx="1077">
                  <c:v>10-May-2024</c:v>
                </c:pt>
                <c:pt idx="1078">
                  <c:v>13-May-2024</c:v>
                </c:pt>
                <c:pt idx="1079">
                  <c:v>14-May-2024</c:v>
                </c:pt>
                <c:pt idx="1080">
                  <c:v>15-May-2024</c:v>
                </c:pt>
                <c:pt idx="1081">
                  <c:v>16-May-2024</c:v>
                </c:pt>
                <c:pt idx="1082">
                  <c:v>17-May-2024</c:v>
                </c:pt>
                <c:pt idx="1083">
                  <c:v>21-May-2024</c:v>
                </c:pt>
                <c:pt idx="1084">
                  <c:v>22-May-2024</c:v>
                </c:pt>
                <c:pt idx="1085">
                  <c:v>23-May-2024</c:v>
                </c:pt>
                <c:pt idx="1086">
                  <c:v>24-May-2024</c:v>
                </c:pt>
                <c:pt idx="1087">
                  <c:v>27-May-2024</c:v>
                </c:pt>
                <c:pt idx="1088">
                  <c:v>28-May-2024</c:v>
                </c:pt>
                <c:pt idx="1089">
                  <c:v>29-May-2024</c:v>
                </c:pt>
                <c:pt idx="1090">
                  <c:v>30-May-2024</c:v>
                </c:pt>
                <c:pt idx="1091">
                  <c:v>31-May-2024</c:v>
                </c:pt>
                <c:pt idx="1092">
                  <c:v>03-Jun-2024</c:v>
                </c:pt>
                <c:pt idx="1093">
                  <c:v>04-Jun-2024</c:v>
                </c:pt>
                <c:pt idx="1094">
                  <c:v>05-Jun-2024</c:v>
                </c:pt>
                <c:pt idx="1095">
                  <c:v>06-Jun-2024</c:v>
                </c:pt>
                <c:pt idx="1096">
                  <c:v>07-Jun-2024</c:v>
                </c:pt>
                <c:pt idx="1097">
                  <c:v>10-Jun-2024</c:v>
                </c:pt>
                <c:pt idx="1098">
                  <c:v>11-Jun-2024</c:v>
                </c:pt>
                <c:pt idx="1099">
                  <c:v>12-Jun-2024</c:v>
                </c:pt>
                <c:pt idx="1100">
                  <c:v>13-Jun-2024</c:v>
                </c:pt>
                <c:pt idx="1101">
                  <c:v>14-Jun-2024</c:v>
                </c:pt>
                <c:pt idx="1102">
                  <c:v>18-Jun-2024</c:v>
                </c:pt>
                <c:pt idx="1103">
                  <c:v>19-Jun-2024</c:v>
                </c:pt>
                <c:pt idx="1104">
                  <c:v>20-Jun-2024</c:v>
                </c:pt>
                <c:pt idx="1105">
                  <c:v>21-Jun-2024</c:v>
                </c:pt>
                <c:pt idx="1106">
                  <c:v>24-Jun-2024</c:v>
                </c:pt>
                <c:pt idx="1107">
                  <c:v>25-Jun-2024</c:v>
                </c:pt>
                <c:pt idx="1108">
                  <c:v>26-Jun-2024</c:v>
                </c:pt>
                <c:pt idx="1109">
                  <c:v>27-Jun-2024</c:v>
                </c:pt>
                <c:pt idx="1110">
                  <c:v>28-Jun-2024</c:v>
                </c:pt>
                <c:pt idx="1111">
                  <c:v>01-Jul-2024</c:v>
                </c:pt>
                <c:pt idx="1112">
                  <c:v>02-Jul-2024</c:v>
                </c:pt>
                <c:pt idx="1113">
                  <c:v>03-Jul-2024</c:v>
                </c:pt>
                <c:pt idx="1114">
                  <c:v>04-Jul-2024</c:v>
                </c:pt>
                <c:pt idx="1115">
                  <c:v>05-Jul-2024</c:v>
                </c:pt>
                <c:pt idx="1116">
                  <c:v>08-Jul-2024</c:v>
                </c:pt>
                <c:pt idx="1117">
                  <c:v>09-Jul-2024</c:v>
                </c:pt>
                <c:pt idx="1118">
                  <c:v>10-Jul-2024</c:v>
                </c:pt>
                <c:pt idx="1119">
                  <c:v>11-Jul-2024</c:v>
                </c:pt>
                <c:pt idx="1120">
                  <c:v>12-Jul-2024</c:v>
                </c:pt>
                <c:pt idx="1121">
                  <c:v>15-Jul-2024</c:v>
                </c:pt>
                <c:pt idx="1122">
                  <c:v>16-Jul-2024</c:v>
                </c:pt>
                <c:pt idx="1123">
                  <c:v>18-Jul-2024</c:v>
                </c:pt>
                <c:pt idx="1124">
                  <c:v>19-Jul-2024</c:v>
                </c:pt>
                <c:pt idx="1125">
                  <c:v>22-Jul-2024</c:v>
                </c:pt>
                <c:pt idx="1126">
                  <c:v>23-Jul-2024</c:v>
                </c:pt>
                <c:pt idx="1127">
                  <c:v>24-Jul-2024</c:v>
                </c:pt>
                <c:pt idx="1128">
                  <c:v>25-Jul-2024</c:v>
                </c:pt>
                <c:pt idx="1129">
                  <c:v>26-Jul-2024</c:v>
                </c:pt>
                <c:pt idx="1130">
                  <c:v>29-Jul-2024</c:v>
                </c:pt>
                <c:pt idx="1131">
                  <c:v>30-Jul-2024</c:v>
                </c:pt>
                <c:pt idx="1132">
                  <c:v>31-Jul-2024</c:v>
                </c:pt>
                <c:pt idx="1133">
                  <c:v>01-Aug-2024</c:v>
                </c:pt>
                <c:pt idx="1134">
                  <c:v>02-Aug-2024</c:v>
                </c:pt>
                <c:pt idx="1135">
                  <c:v>05-Aug-2024</c:v>
                </c:pt>
                <c:pt idx="1136">
                  <c:v>06-Aug-2024</c:v>
                </c:pt>
                <c:pt idx="1137">
                  <c:v>07-Aug-2024</c:v>
                </c:pt>
                <c:pt idx="1138">
                  <c:v>08-Aug-2024</c:v>
                </c:pt>
                <c:pt idx="1139">
                  <c:v>09-Aug-2024</c:v>
                </c:pt>
                <c:pt idx="1140">
                  <c:v>12-Aug-2024</c:v>
                </c:pt>
                <c:pt idx="1141">
                  <c:v>13-Aug-2024</c:v>
                </c:pt>
                <c:pt idx="1142">
                  <c:v>14-Aug-2024</c:v>
                </c:pt>
                <c:pt idx="1143">
                  <c:v>16-Aug-2024</c:v>
                </c:pt>
                <c:pt idx="1144">
                  <c:v>19-Aug-2024</c:v>
                </c:pt>
                <c:pt idx="1145">
                  <c:v>20-Aug-2024</c:v>
                </c:pt>
                <c:pt idx="1146">
                  <c:v>21-Aug-2024</c:v>
                </c:pt>
                <c:pt idx="1147">
                  <c:v>22-Aug-2024</c:v>
                </c:pt>
                <c:pt idx="1148">
                  <c:v>23-Aug-2024</c:v>
                </c:pt>
                <c:pt idx="1149">
                  <c:v>26-Aug-2024</c:v>
                </c:pt>
                <c:pt idx="1150">
                  <c:v>27-Aug-2024</c:v>
                </c:pt>
                <c:pt idx="1151">
                  <c:v>28-Aug-2024</c:v>
                </c:pt>
                <c:pt idx="1152">
                  <c:v>29-Aug-2024</c:v>
                </c:pt>
                <c:pt idx="1153">
                  <c:v>30-Aug-2024</c:v>
                </c:pt>
                <c:pt idx="1154">
                  <c:v>02-Sep-2024</c:v>
                </c:pt>
                <c:pt idx="1155">
                  <c:v>03-Sep-2024</c:v>
                </c:pt>
                <c:pt idx="1156">
                  <c:v>04-Sep-2024</c:v>
                </c:pt>
                <c:pt idx="1157">
                  <c:v>05-Sep-2024</c:v>
                </c:pt>
                <c:pt idx="1158">
                  <c:v>06-Sep-2024</c:v>
                </c:pt>
                <c:pt idx="1159">
                  <c:v>09-Sep-2024</c:v>
                </c:pt>
                <c:pt idx="1160">
                  <c:v>10-Sep-2024</c:v>
                </c:pt>
                <c:pt idx="1161">
                  <c:v>11-Sep-2024</c:v>
                </c:pt>
                <c:pt idx="1162">
                  <c:v>12-Sep-2024</c:v>
                </c:pt>
                <c:pt idx="1163">
                  <c:v>13-Sep-2024</c:v>
                </c:pt>
                <c:pt idx="1164">
                  <c:v>16-Sep-2024</c:v>
                </c:pt>
                <c:pt idx="1165">
                  <c:v>17-Sep-2024</c:v>
                </c:pt>
                <c:pt idx="1166">
                  <c:v>18-Sep-2024</c:v>
                </c:pt>
                <c:pt idx="1167">
                  <c:v>19-Sep-2024</c:v>
                </c:pt>
                <c:pt idx="1168">
                  <c:v>20-Sep-2024</c:v>
                </c:pt>
                <c:pt idx="1169">
                  <c:v>23-Sep-2024</c:v>
                </c:pt>
                <c:pt idx="1170">
                  <c:v>24-Sep-2024</c:v>
                </c:pt>
                <c:pt idx="1171">
                  <c:v>25-Sep-2024</c:v>
                </c:pt>
                <c:pt idx="1172">
                  <c:v>26-Sep-2024</c:v>
                </c:pt>
                <c:pt idx="1173">
                  <c:v>27-Sep-2024</c:v>
                </c:pt>
                <c:pt idx="1174">
                  <c:v>30-Sep-2024</c:v>
                </c:pt>
                <c:pt idx="1175">
                  <c:v>01-Oct-2024</c:v>
                </c:pt>
                <c:pt idx="1176">
                  <c:v>03-Oct-2024</c:v>
                </c:pt>
                <c:pt idx="1177">
                  <c:v>04-Oct-2024</c:v>
                </c:pt>
                <c:pt idx="1178">
                  <c:v>07-Oct-2024</c:v>
                </c:pt>
                <c:pt idx="1179">
                  <c:v>08-Oct-2024</c:v>
                </c:pt>
                <c:pt idx="1180">
                  <c:v>09-Oct-2024</c:v>
                </c:pt>
                <c:pt idx="1181">
                  <c:v>10-Oct-2024</c:v>
                </c:pt>
                <c:pt idx="1182">
                  <c:v>11-Oct-2024</c:v>
                </c:pt>
                <c:pt idx="1183">
                  <c:v>14-Oct-2024</c:v>
                </c:pt>
                <c:pt idx="1184">
                  <c:v>15-Oct-2024</c:v>
                </c:pt>
                <c:pt idx="1185">
                  <c:v>16-Oct-2024</c:v>
                </c:pt>
                <c:pt idx="1186">
                  <c:v>17-Oct-2024</c:v>
                </c:pt>
                <c:pt idx="1187">
                  <c:v>18-Oct-2024</c:v>
                </c:pt>
                <c:pt idx="1188">
                  <c:v>21-Oct-2024</c:v>
                </c:pt>
                <c:pt idx="1189">
                  <c:v>22-Oct-2024</c:v>
                </c:pt>
                <c:pt idx="1190">
                  <c:v>23-Oct-2024</c:v>
                </c:pt>
                <c:pt idx="1191">
                  <c:v>24-Oct-2024</c:v>
                </c:pt>
                <c:pt idx="1192">
                  <c:v>25-Oct-2024</c:v>
                </c:pt>
                <c:pt idx="1193">
                  <c:v>28-Oct-2024</c:v>
                </c:pt>
                <c:pt idx="1194">
                  <c:v>29-Oct-2024</c:v>
                </c:pt>
                <c:pt idx="1195">
                  <c:v>30-Oct-2024</c:v>
                </c:pt>
                <c:pt idx="1196">
                  <c:v>31-Oct-2024</c:v>
                </c:pt>
                <c:pt idx="1197">
                  <c:v>01-Nov-2024</c:v>
                </c:pt>
                <c:pt idx="1198">
                  <c:v>04-Nov-2024</c:v>
                </c:pt>
                <c:pt idx="1199">
                  <c:v>05-Nov-2024</c:v>
                </c:pt>
                <c:pt idx="1200">
                  <c:v>06-Nov-2024</c:v>
                </c:pt>
                <c:pt idx="1201">
                  <c:v>07-Nov-2024</c:v>
                </c:pt>
                <c:pt idx="1202">
                  <c:v>08-Nov-2024</c:v>
                </c:pt>
                <c:pt idx="1203">
                  <c:v>11-Nov-2024</c:v>
                </c:pt>
                <c:pt idx="1204">
                  <c:v>12-Nov-2024</c:v>
                </c:pt>
                <c:pt idx="1205">
                  <c:v>13-Nov-2024</c:v>
                </c:pt>
                <c:pt idx="1206">
                  <c:v>14-Nov-2024</c:v>
                </c:pt>
                <c:pt idx="1207">
                  <c:v>18-Nov-2024</c:v>
                </c:pt>
                <c:pt idx="1208">
                  <c:v>19-Nov-2024</c:v>
                </c:pt>
                <c:pt idx="1209">
                  <c:v>21-Nov-2024</c:v>
                </c:pt>
                <c:pt idx="1210">
                  <c:v>22-Nov-2024</c:v>
                </c:pt>
                <c:pt idx="1211">
                  <c:v>25-Nov-2024</c:v>
                </c:pt>
                <c:pt idx="1212">
                  <c:v>26-Nov-2024</c:v>
                </c:pt>
                <c:pt idx="1213">
                  <c:v>27-Nov-2024</c:v>
                </c:pt>
                <c:pt idx="1214">
                  <c:v>28-Nov-2024</c:v>
                </c:pt>
                <c:pt idx="1215">
                  <c:v>29-Nov-2024</c:v>
                </c:pt>
                <c:pt idx="1216">
                  <c:v>02-Dec-2024</c:v>
                </c:pt>
                <c:pt idx="1217">
                  <c:v>03-Dec-2024</c:v>
                </c:pt>
                <c:pt idx="1218">
                  <c:v>04-Dec-2024</c:v>
                </c:pt>
                <c:pt idx="1219">
                  <c:v>05-Dec-2024</c:v>
                </c:pt>
                <c:pt idx="1220">
                  <c:v>06-Dec-2024</c:v>
                </c:pt>
                <c:pt idx="1221">
                  <c:v>09-Dec-2024</c:v>
                </c:pt>
                <c:pt idx="1222">
                  <c:v>10-Dec-2024</c:v>
                </c:pt>
                <c:pt idx="1223">
                  <c:v>11-Dec-2024</c:v>
                </c:pt>
                <c:pt idx="1224">
                  <c:v>12-Dec-2024</c:v>
                </c:pt>
                <c:pt idx="1225">
                  <c:v>13-Dec-2024</c:v>
                </c:pt>
                <c:pt idx="1226">
                  <c:v>16-Dec-2024</c:v>
                </c:pt>
                <c:pt idx="1227">
                  <c:v>17-Dec-2024</c:v>
                </c:pt>
                <c:pt idx="1228">
                  <c:v>18-Dec-2024</c:v>
                </c:pt>
                <c:pt idx="1229">
                  <c:v>19-Dec-2024</c:v>
                </c:pt>
                <c:pt idx="1230">
                  <c:v>20-Dec-2024</c:v>
                </c:pt>
                <c:pt idx="1231">
                  <c:v>23-Dec-2024</c:v>
                </c:pt>
                <c:pt idx="1232">
                  <c:v>24-Dec-2024</c:v>
                </c:pt>
                <c:pt idx="1233">
                  <c:v>26-Dec-2024</c:v>
                </c:pt>
                <c:pt idx="1234">
                  <c:v>27-Dec-2024</c:v>
                </c:pt>
                <c:pt idx="1235">
                  <c:v>30-Dec-2024</c:v>
                </c:pt>
                <c:pt idx="1236">
                  <c:v>31-Dec-2024</c:v>
                </c:pt>
                <c:pt idx="1237">
                  <c:v>01-Jan-2025</c:v>
                </c:pt>
                <c:pt idx="1238">
                  <c:v>02-Jan-2025</c:v>
                </c:pt>
                <c:pt idx="1239">
                  <c:v>03-Jan-2025</c:v>
                </c:pt>
                <c:pt idx="1240">
                  <c:v>06-Jan-2025</c:v>
                </c:pt>
                <c:pt idx="1241">
                  <c:v>07-Jan-2025</c:v>
                </c:pt>
                <c:pt idx="1242">
                  <c:v>08-Jan-2025</c:v>
                </c:pt>
                <c:pt idx="1243">
                  <c:v>09-Jan-2025</c:v>
                </c:pt>
                <c:pt idx="1244">
                  <c:v>10-Jan-2025</c:v>
                </c:pt>
                <c:pt idx="1245">
                  <c:v>13-Jan-2025</c:v>
                </c:pt>
                <c:pt idx="1246">
                  <c:v>14-Jan-2025</c:v>
                </c:pt>
                <c:pt idx="1247">
                  <c:v>15-Jan-2025</c:v>
                </c:pt>
                <c:pt idx="1248">
                  <c:v>16-Jan-2025</c:v>
                </c:pt>
                <c:pt idx="1249">
                  <c:v>17-Jan-2025</c:v>
                </c:pt>
                <c:pt idx="1250">
                  <c:v>20-Jan-2025</c:v>
                </c:pt>
                <c:pt idx="1251">
                  <c:v>21-Jan-2025</c:v>
                </c:pt>
                <c:pt idx="1252">
                  <c:v>22-Jan-2025</c:v>
                </c:pt>
                <c:pt idx="1253">
                  <c:v>23-Jan-2025</c:v>
                </c:pt>
                <c:pt idx="1254">
                  <c:v>24-Jan-2025</c:v>
                </c:pt>
                <c:pt idx="1255">
                  <c:v>27-Jan-2025</c:v>
                </c:pt>
                <c:pt idx="1256">
                  <c:v>28-Jan-2025</c:v>
                </c:pt>
                <c:pt idx="1257">
                  <c:v>29-Jan-2025</c:v>
                </c:pt>
                <c:pt idx="1258">
                  <c:v>30-Jan-2025</c:v>
                </c:pt>
                <c:pt idx="1259">
                  <c:v>31-Jan-2025</c:v>
                </c:pt>
                <c:pt idx="1260">
                  <c:v>01-Feb-2025</c:v>
                </c:pt>
                <c:pt idx="1261">
                  <c:v>03-Feb-2025</c:v>
                </c:pt>
                <c:pt idx="1262">
                  <c:v>04-Feb-2025</c:v>
                </c:pt>
                <c:pt idx="1263">
                  <c:v>05-Feb-2025</c:v>
                </c:pt>
                <c:pt idx="1264">
                  <c:v>06-Feb-2025</c:v>
                </c:pt>
                <c:pt idx="1265">
                  <c:v>07-Feb-2025</c:v>
                </c:pt>
                <c:pt idx="1266">
                  <c:v>10-Feb-2025</c:v>
                </c:pt>
                <c:pt idx="1267">
                  <c:v>11-Feb-2025</c:v>
                </c:pt>
                <c:pt idx="1268">
                  <c:v>12-Feb-2025</c:v>
                </c:pt>
                <c:pt idx="1269">
                  <c:v>13-Feb-2025</c:v>
                </c:pt>
                <c:pt idx="1270">
                  <c:v>14-Feb-2025</c:v>
                </c:pt>
                <c:pt idx="1271">
                  <c:v>17-Feb-2025</c:v>
                </c:pt>
                <c:pt idx="1272">
                  <c:v>18-Feb-2025</c:v>
                </c:pt>
                <c:pt idx="1273">
                  <c:v>19-Feb-2025</c:v>
                </c:pt>
                <c:pt idx="1274">
                  <c:v>20-Feb-2025</c:v>
                </c:pt>
                <c:pt idx="1275">
                  <c:v>21-Feb-2025</c:v>
                </c:pt>
                <c:pt idx="1276">
                  <c:v>24-Feb-2025</c:v>
                </c:pt>
                <c:pt idx="1277">
                  <c:v>25-Feb-2025</c:v>
                </c:pt>
                <c:pt idx="1278">
                  <c:v>27-Feb-2025</c:v>
                </c:pt>
                <c:pt idx="1279">
                  <c:v>28-Feb-2025</c:v>
                </c:pt>
                <c:pt idx="1280">
                  <c:v>03-Mar-2025</c:v>
                </c:pt>
                <c:pt idx="1281">
                  <c:v>04-Mar-2025</c:v>
                </c:pt>
                <c:pt idx="1282">
                  <c:v>05-Mar-2025</c:v>
                </c:pt>
                <c:pt idx="1283">
                  <c:v>06-Mar-2025</c:v>
                </c:pt>
                <c:pt idx="1284">
                  <c:v>07-Mar-2025</c:v>
                </c:pt>
                <c:pt idx="1285">
                  <c:v>10-Mar-2025</c:v>
                </c:pt>
                <c:pt idx="1286">
                  <c:v>11-Mar-2025</c:v>
                </c:pt>
                <c:pt idx="1287">
                  <c:v>12-Mar-2025</c:v>
                </c:pt>
                <c:pt idx="1288">
                  <c:v>13-Mar-2025</c:v>
                </c:pt>
                <c:pt idx="1289">
                  <c:v>17-Mar-2025</c:v>
                </c:pt>
                <c:pt idx="1290">
                  <c:v>18-Mar-2025</c:v>
                </c:pt>
                <c:pt idx="1291">
                  <c:v>19-Mar-2025</c:v>
                </c:pt>
                <c:pt idx="1292">
                  <c:v>20-Mar-2025</c:v>
                </c:pt>
                <c:pt idx="1293">
                  <c:v>21-Mar-2025</c:v>
                </c:pt>
                <c:pt idx="1294">
                  <c:v>24-Mar-2025</c:v>
                </c:pt>
                <c:pt idx="1295">
                  <c:v>25-Mar-2025</c:v>
                </c:pt>
                <c:pt idx="1296">
                  <c:v>26-Mar-2025</c:v>
                </c:pt>
                <c:pt idx="1297">
                  <c:v>27-Mar-2025</c:v>
                </c:pt>
                <c:pt idx="1298">
                  <c:v>28-Mar-2025</c:v>
                </c:pt>
                <c:pt idx="1299">
                  <c:v>01-Apr-2025</c:v>
                </c:pt>
                <c:pt idx="1300">
                  <c:v>02-Apr-2025</c:v>
                </c:pt>
                <c:pt idx="1301">
                  <c:v>03-Apr-2025</c:v>
                </c:pt>
                <c:pt idx="1302">
                  <c:v>04-Apr-2025</c:v>
                </c:pt>
                <c:pt idx="1303">
                  <c:v>07-Apr-2025</c:v>
                </c:pt>
                <c:pt idx="1304">
                  <c:v>08-Apr-2025</c:v>
                </c:pt>
                <c:pt idx="1305">
                  <c:v>09-Apr-2025</c:v>
                </c:pt>
                <c:pt idx="1306">
                  <c:v>11-Apr-2025</c:v>
                </c:pt>
                <c:pt idx="1307">
                  <c:v>15-Apr-2025</c:v>
                </c:pt>
                <c:pt idx="1308">
                  <c:v>16-Apr-2025</c:v>
                </c:pt>
                <c:pt idx="1309">
                  <c:v>17-Apr-2025</c:v>
                </c:pt>
                <c:pt idx="1310">
                  <c:v>21-Apr-2025</c:v>
                </c:pt>
                <c:pt idx="1311">
                  <c:v>22-Apr-2025</c:v>
                </c:pt>
                <c:pt idx="1312">
                  <c:v>23-Apr-2025</c:v>
                </c:pt>
                <c:pt idx="1313">
                  <c:v>24-Apr-2025</c:v>
                </c:pt>
                <c:pt idx="1314">
                  <c:v>25-Apr-2025</c:v>
                </c:pt>
                <c:pt idx="1315">
                  <c:v>28-Apr-2025</c:v>
                </c:pt>
                <c:pt idx="1316">
                  <c:v>29-Apr-2025</c:v>
                </c:pt>
                <c:pt idx="1317">
                  <c:v>30-Apr-2025</c:v>
                </c:pt>
                <c:pt idx="1318">
                  <c:v>02-May-2025</c:v>
                </c:pt>
                <c:pt idx="1319">
                  <c:v>05-May-2025</c:v>
                </c:pt>
                <c:pt idx="1320">
                  <c:v>06-May-2025</c:v>
                </c:pt>
                <c:pt idx="1321">
                  <c:v>07-May-2025</c:v>
                </c:pt>
                <c:pt idx="1322">
                  <c:v>08-May-2025</c:v>
                </c:pt>
                <c:pt idx="1323">
                  <c:v>09-May-2025</c:v>
                </c:pt>
                <c:pt idx="1324">
                  <c:v>12-May-2025</c:v>
                </c:pt>
                <c:pt idx="1325">
                  <c:v>13-May-2025</c:v>
                </c:pt>
                <c:pt idx="1326">
                  <c:v>14-May-2025</c:v>
                </c:pt>
                <c:pt idx="1327">
                  <c:v>15-May-2025</c:v>
                </c:pt>
                <c:pt idx="1328">
                  <c:v>16-May-2025</c:v>
                </c:pt>
                <c:pt idx="1329">
                  <c:v>19-May-2025</c:v>
                </c:pt>
                <c:pt idx="1330">
                  <c:v>20-May-2025</c:v>
                </c:pt>
                <c:pt idx="1331">
                  <c:v>21-May-2025</c:v>
                </c:pt>
                <c:pt idx="1332">
                  <c:v>22-May-2025</c:v>
                </c:pt>
                <c:pt idx="1333">
                  <c:v>23-May-2025</c:v>
                </c:pt>
                <c:pt idx="1334">
                  <c:v>26-May-2025</c:v>
                </c:pt>
                <c:pt idx="1335">
                  <c:v>27-May-2025</c:v>
                </c:pt>
                <c:pt idx="1336">
                  <c:v>28-May-2025</c:v>
                </c:pt>
                <c:pt idx="1337">
                  <c:v>29-May-2025</c:v>
                </c:pt>
                <c:pt idx="1338">
                  <c:v>30-May-2025</c:v>
                </c:pt>
                <c:pt idx="1339">
                  <c:v>02-Jun-2025</c:v>
                </c:pt>
                <c:pt idx="1340">
                  <c:v>03-Jun-2025</c:v>
                </c:pt>
                <c:pt idx="1341">
                  <c:v>04-Jun-2025</c:v>
                </c:pt>
                <c:pt idx="1342">
                  <c:v>05-Jun-2025</c:v>
                </c:pt>
                <c:pt idx="1343">
                  <c:v>06-Jun-2025</c:v>
                </c:pt>
                <c:pt idx="1344">
                  <c:v>09-Jun-2025</c:v>
                </c:pt>
                <c:pt idx="1345">
                  <c:v>10-Jun-2025</c:v>
                </c:pt>
                <c:pt idx="1346">
                  <c:v>11-Jun-2025</c:v>
                </c:pt>
                <c:pt idx="1347">
                  <c:v>12-Jun-2025</c:v>
                </c:pt>
                <c:pt idx="1348">
                  <c:v>13-Jun-2025</c:v>
                </c:pt>
                <c:pt idx="1349">
                  <c:v>16-Jun-2025</c:v>
                </c:pt>
                <c:pt idx="1350">
                  <c:v>17-Jun-2025</c:v>
                </c:pt>
                <c:pt idx="1351">
                  <c:v>18-Jun-2025</c:v>
                </c:pt>
                <c:pt idx="1352">
                  <c:v>19-Jun-2025</c:v>
                </c:pt>
                <c:pt idx="1353">
                  <c:v>20-Jun-2025</c:v>
                </c:pt>
                <c:pt idx="1354">
                  <c:v>23-Jun-2025</c:v>
                </c:pt>
                <c:pt idx="1355">
                  <c:v>24-Jun-2025</c:v>
                </c:pt>
                <c:pt idx="1356">
                  <c:v>25-Jun-2025</c:v>
                </c:pt>
                <c:pt idx="1357">
                  <c:v>26-Jun-2025</c:v>
                </c:pt>
                <c:pt idx="1358">
                  <c:v>27-Jun-2025</c:v>
                </c:pt>
                <c:pt idx="1359">
                  <c:v>30-Jun-2025</c:v>
                </c:pt>
                <c:pt idx="1360">
                  <c:v>01-Jul-2025</c:v>
                </c:pt>
                <c:pt idx="1361">
                  <c:v>02-Jul-2025</c:v>
                </c:pt>
                <c:pt idx="1362">
                  <c:v>03-Jul-2025</c:v>
                </c:pt>
                <c:pt idx="1363">
                  <c:v>04-Jul-2025</c:v>
                </c:pt>
                <c:pt idx="1364">
                  <c:v>07-Jul-2025</c:v>
                </c:pt>
                <c:pt idx="1365">
                  <c:v>08-Jul-2025</c:v>
                </c:pt>
                <c:pt idx="1366">
                  <c:v>09-Jul-2025</c:v>
                </c:pt>
                <c:pt idx="1367">
                  <c:v>10-Jul-2025</c:v>
                </c:pt>
                <c:pt idx="1368">
                  <c:v>11-Jul-2025</c:v>
                </c:pt>
                <c:pt idx="1369">
                  <c:v>14-Jul-2025</c:v>
                </c:pt>
                <c:pt idx="1370">
                  <c:v>15-Jul-2025</c:v>
                </c:pt>
                <c:pt idx="1371">
                  <c:v>16-Jul-2025</c:v>
                </c:pt>
                <c:pt idx="1372">
                  <c:v>17-Jul-2025</c:v>
                </c:pt>
                <c:pt idx="1373">
                  <c:v>18-Jul-2025</c:v>
                </c:pt>
                <c:pt idx="1374">
                  <c:v>21-Jul-2025</c:v>
                </c:pt>
                <c:pt idx="1375">
                  <c:v>22-Jul-2025</c:v>
                </c:pt>
                <c:pt idx="1376">
                  <c:v>23-Jul-2025</c:v>
                </c:pt>
                <c:pt idx="1377">
                  <c:v>24-Jul-2025</c:v>
                </c:pt>
                <c:pt idx="1378">
                  <c:v>25-Jul-2025</c:v>
                </c:pt>
                <c:pt idx="1379">
                  <c:v>28-Jul-2025</c:v>
                </c:pt>
                <c:pt idx="1380">
                  <c:v>29-Jul-2025</c:v>
                </c:pt>
                <c:pt idx="1381">
                  <c:v>30-Jul-2025</c:v>
                </c:pt>
                <c:pt idx="1382">
                  <c:v>31-Jul-2025</c:v>
                </c:pt>
                <c:pt idx="1383">
                  <c:v>01-Aug-2025</c:v>
                </c:pt>
                <c:pt idx="1384">
                  <c:v>04-Aug-2025</c:v>
                </c:pt>
                <c:pt idx="1385">
                  <c:v>05-Aug-2025</c:v>
                </c:pt>
                <c:pt idx="1386">
                  <c:v>06-Aug-2025</c:v>
                </c:pt>
                <c:pt idx="1387">
                  <c:v>07-Aug-2025</c:v>
                </c:pt>
                <c:pt idx="1388">
                  <c:v>08-Aug-2025</c:v>
                </c:pt>
                <c:pt idx="1389">
                  <c:v>11-Aug-2025</c:v>
                </c:pt>
                <c:pt idx="1390">
                  <c:v>12-Aug-2025</c:v>
                </c:pt>
                <c:pt idx="1391">
                  <c:v>13-Aug-2025</c:v>
                </c:pt>
                <c:pt idx="1392">
                  <c:v>14-Aug-2025</c:v>
                </c:pt>
                <c:pt idx="1393">
                  <c:v>18-Aug-2025</c:v>
                </c:pt>
                <c:pt idx="1394">
                  <c:v>19-Aug-2025</c:v>
                </c:pt>
                <c:pt idx="1395">
                  <c:v>20-Aug-2025</c:v>
                </c:pt>
                <c:pt idx="1396">
                  <c:v>21-Aug-2025</c:v>
                </c:pt>
                <c:pt idx="1397">
                  <c:v>22-Aug-2025</c:v>
                </c:pt>
                <c:pt idx="1398">
                  <c:v>25-Aug-2025</c:v>
                </c:pt>
                <c:pt idx="1399">
                  <c:v>26-Aug-2025</c:v>
                </c:pt>
                <c:pt idx="1400">
                  <c:v>28-Aug-2025</c:v>
                </c:pt>
                <c:pt idx="1401">
                  <c:v>29-Aug-2025</c:v>
                </c:pt>
                <c:pt idx="1402">
                  <c:v>01-Sep-2025</c:v>
                </c:pt>
                <c:pt idx="1403">
                  <c:v>02-Sep-2025</c:v>
                </c:pt>
                <c:pt idx="1404">
                  <c:v>03-Sep-2025</c:v>
                </c:pt>
                <c:pt idx="1405">
                  <c:v>04-Sep-2025</c:v>
                </c:pt>
                <c:pt idx="1406">
                  <c:v>05-Sep-2025</c:v>
                </c:pt>
                <c:pt idx="1407">
                  <c:v>08-Sep-2025</c:v>
                </c:pt>
                <c:pt idx="1408">
                  <c:v>09-Sep-2025</c:v>
                </c:pt>
                <c:pt idx="1409">
                  <c:v>10-Sep-2025</c:v>
                </c:pt>
                <c:pt idx="1410">
                  <c:v>11-Sep-2025</c:v>
                </c:pt>
                <c:pt idx="1411">
                  <c:v>12-Sep-2025</c:v>
                </c:pt>
                <c:pt idx="1412">
                  <c:v>15-Sep-2025</c:v>
                </c:pt>
                <c:pt idx="1413">
                  <c:v>16-Sep-2025</c:v>
                </c:pt>
                <c:pt idx="1414">
                  <c:v>17-Sep-2025</c:v>
                </c:pt>
                <c:pt idx="1415">
                  <c:v>18-Sep-2025</c:v>
                </c:pt>
                <c:pt idx="1416">
                  <c:v>19-Sep-2025</c:v>
                </c:pt>
                <c:pt idx="1417">
                  <c:v>22-Sep-2025</c:v>
                </c:pt>
                <c:pt idx="1418">
                  <c:v>23-Sep-2025</c:v>
                </c:pt>
                <c:pt idx="1419">
                  <c:v>24-Sep-2025</c:v>
                </c:pt>
                <c:pt idx="1420">
                  <c:v>25-Sep-2025</c:v>
                </c:pt>
                <c:pt idx="1421">
                  <c:v>26-Sep-2025</c:v>
                </c:pt>
                <c:pt idx="1422">
                  <c:v>29-Sep-2025</c:v>
                </c:pt>
                <c:pt idx="1423">
                  <c:v>30-Sep-2025</c:v>
                </c:pt>
                <c:pt idx="1424">
                  <c:v>01-Oct-2025</c:v>
                </c:pt>
                <c:pt idx="1425">
                  <c:v>03-Oct-2025</c:v>
                </c:pt>
                <c:pt idx="1426">
                  <c:v>06-Oct-2025</c:v>
                </c:pt>
                <c:pt idx="1427">
                  <c:v>07-Oct-2025</c:v>
                </c:pt>
                <c:pt idx="1428">
                  <c:v>08-Oct-2025</c:v>
                </c:pt>
                <c:pt idx="1429">
                  <c:v>09-Oct-2025</c:v>
                </c:pt>
                <c:pt idx="1430">
                  <c:v>10-Oct-2025</c:v>
                </c:pt>
                <c:pt idx="1431">
                  <c:v>13-Oct-2025</c:v>
                </c:pt>
                <c:pt idx="1432">
                  <c:v>14-Oct-2025</c:v>
                </c:pt>
                <c:pt idx="1433">
                  <c:v>15-Oct-2025</c:v>
                </c:pt>
                <c:pt idx="1434">
                  <c:v>16-Oct-2025</c:v>
                </c:pt>
                <c:pt idx="1435">
                  <c:v>17-Oct-2025</c:v>
                </c:pt>
                <c:pt idx="1436">
                  <c:v>20-Oct-2025</c:v>
                </c:pt>
                <c:pt idx="1437">
                  <c:v>21-Oct-2025</c:v>
                </c:pt>
                <c:pt idx="1438">
                  <c:v>23-Oct-2025</c:v>
                </c:pt>
                <c:pt idx="1439">
                  <c:v>24-Oct-2025</c:v>
                </c:pt>
                <c:pt idx="1440">
                  <c:v>27-Oct-2025</c:v>
                </c:pt>
                <c:pt idx="1441">
                  <c:v>28-Oct-2025</c:v>
                </c:pt>
                <c:pt idx="1442">
                  <c:v>29-Oct-2025</c:v>
                </c:pt>
                <c:pt idx="1443">
                  <c:v>30-Oct-2025</c:v>
                </c:pt>
                <c:pt idx="1444">
                  <c:v>31-Oct-2025</c:v>
                </c:pt>
                <c:pt idx="1445">
                  <c:v>03-Nov-2025</c:v>
                </c:pt>
                <c:pt idx="1446">
                  <c:v>04-Nov-2025</c:v>
                </c:pt>
                <c:pt idx="1447">
                  <c:v>06-Nov-2025</c:v>
                </c:pt>
                <c:pt idx="1448">
                  <c:v>07-Nov-2025</c:v>
                </c:pt>
                <c:pt idx="1449">
                  <c:v>10-Nov-2025</c:v>
                </c:pt>
                <c:pt idx="1450">
                  <c:v>11-Nov-2025</c:v>
                </c:pt>
                <c:pt idx="1451">
                  <c:v>12-Nov-2025</c:v>
                </c:pt>
                <c:pt idx="1452">
                  <c:v>13-Nov-2025</c:v>
                </c:pt>
                <c:pt idx="1453">
                  <c:v>14-Nov-2025</c:v>
                </c:pt>
                <c:pt idx="1454">
                  <c:v>17-Nov-2025</c:v>
                </c:pt>
                <c:pt idx="1455">
                  <c:v>18-Nov-2025</c:v>
                </c:pt>
                <c:pt idx="1456">
                  <c:v>19-Nov-2025</c:v>
                </c:pt>
                <c:pt idx="1457">
                  <c:v>20-Nov-2025</c:v>
                </c:pt>
                <c:pt idx="1458">
                  <c:v>21-Nov-2025</c:v>
                </c:pt>
                <c:pt idx="1459">
                  <c:v>24-Nov-2025</c:v>
                </c:pt>
                <c:pt idx="1460">
                  <c:v>25-Nov-2025</c:v>
                </c:pt>
                <c:pt idx="1461">
                  <c:v>26-Nov-2025</c:v>
                </c:pt>
                <c:pt idx="1462">
                  <c:v>27-Nov-2025</c:v>
                </c:pt>
                <c:pt idx="1463">
                  <c:v>28-Nov-2025</c:v>
                </c:pt>
                <c:pt idx="1464">
                  <c:v>01-Dec-2025</c:v>
                </c:pt>
                <c:pt idx="1465">
                  <c:v>02-Dec-2025</c:v>
                </c:pt>
                <c:pt idx="1466">
                  <c:v>03-Dec-2025</c:v>
                </c:pt>
                <c:pt idx="1467">
                  <c:v>04-Dec-2025</c:v>
                </c:pt>
                <c:pt idx="1468">
                  <c:v>05-Dec-2025</c:v>
                </c:pt>
                <c:pt idx="1469">
                  <c:v>08-Dec-2025</c:v>
                </c:pt>
                <c:pt idx="1470">
                  <c:v>09-Dec-2025</c:v>
                </c:pt>
                <c:pt idx="1471">
                  <c:v>10-Dec-2025</c:v>
                </c:pt>
                <c:pt idx="1472">
                  <c:v>11-Dec-2025</c:v>
                </c:pt>
                <c:pt idx="1473">
                  <c:v>12-Dec-2025</c:v>
                </c:pt>
                <c:pt idx="1474">
                  <c:v>15-Dec-2025</c:v>
                </c:pt>
                <c:pt idx="1475">
                  <c:v>16-Dec-2025</c:v>
                </c:pt>
                <c:pt idx="1476">
                  <c:v>17-Dec-2025</c:v>
                </c:pt>
                <c:pt idx="1477">
                  <c:v>18-Dec-2025</c:v>
                </c:pt>
                <c:pt idx="1478">
                  <c:v>19-Dec-2025</c:v>
                </c:pt>
                <c:pt idx="1479">
                  <c:v>22-Dec-2025</c:v>
                </c:pt>
                <c:pt idx="1480">
                  <c:v>23-Dec-2025</c:v>
                </c:pt>
                <c:pt idx="1481">
                  <c:v>24-Dec-2025</c:v>
                </c:pt>
                <c:pt idx="1482">
                  <c:v>26-Dec-2025</c:v>
                </c:pt>
                <c:pt idx="1483">
                  <c:v>29-Dec-2025</c:v>
                </c:pt>
                <c:pt idx="1484">
                  <c:v>30-Dec-2025</c:v>
                </c:pt>
                <c:pt idx="1485">
                  <c:v>31-Dec-2025</c:v>
                </c:pt>
                <c:pt idx="1486">
                  <c:v>01-Jan-2026</c:v>
                </c:pt>
                <c:pt idx="1487">
                  <c:v>02-Jan-2026</c:v>
                </c:pt>
                <c:pt idx="1488">
                  <c:v>05-Jan-2026</c:v>
                </c:pt>
                <c:pt idx="1489">
                  <c:v>06-Jan-2026</c:v>
                </c:pt>
                <c:pt idx="1490">
                  <c:v>07-Jan-2026</c:v>
                </c:pt>
                <c:pt idx="1491">
                  <c:v>08-Jan-2026</c:v>
                </c:pt>
                <c:pt idx="1492">
                  <c:v>09-Jan-2026</c:v>
                </c:pt>
                <c:pt idx="1493">
                  <c:v>12-Jan-2026</c:v>
                </c:pt>
                <c:pt idx="1494">
                  <c:v>13-Jan-2026</c:v>
                </c:pt>
                <c:pt idx="1495">
                  <c:v>14-Jan-2026</c:v>
                </c:pt>
                <c:pt idx="1496">
                  <c:v>16-Jan-2026</c:v>
                </c:pt>
                <c:pt idx="1497">
                  <c:v>19-Jan-2026</c:v>
                </c:pt>
                <c:pt idx="1498">
                  <c:v>20-Jan-2026</c:v>
                </c:pt>
                <c:pt idx="1499">
                  <c:v>21-Jan-2026</c:v>
                </c:pt>
                <c:pt idx="1500">
                  <c:v>22-Jan-2026</c:v>
                </c:pt>
                <c:pt idx="1501">
                  <c:v>23-Jan-2026</c:v>
                </c:pt>
                <c:pt idx="1502">
                  <c:v>27-Jan-2026</c:v>
                </c:pt>
                <c:pt idx="1503">
                  <c:v>28-Jan-2026</c:v>
                </c:pt>
                <c:pt idx="1504">
                  <c:v>29-Jan-2026</c:v>
                </c:pt>
                <c:pt idx="1505">
                  <c:v>30-Jan-2026</c:v>
                </c:pt>
                <c:pt idx="1506">
                  <c:v>02-Feb-2026</c:v>
                </c:pt>
                <c:pt idx="1507">
                  <c:v>03-Feb-2026</c:v>
                </c:pt>
                <c:pt idx="1508">
                  <c:v>04-Feb-2026</c:v>
                </c:pt>
                <c:pt idx="1509">
                  <c:v>05-Feb-2026</c:v>
                </c:pt>
                <c:pt idx="1510">
                  <c:v>06-Feb-2026</c:v>
                </c:pt>
                <c:pt idx="1511">
                  <c:v>09-Feb-2026</c:v>
                </c:pt>
                <c:pt idx="1512">
                  <c:v>10-Feb-2026</c:v>
                </c:pt>
                <c:pt idx="1513">
                  <c:v>11-Feb-2026</c:v>
                </c:pt>
                <c:pt idx="1514">
                  <c:v>12-Feb-2026</c:v>
                </c:pt>
                <c:pt idx="1515">
                  <c:v>13-Feb-2026</c:v>
                </c:pt>
                <c:pt idx="1516">
                  <c:v>16-Feb-2026</c:v>
                </c:pt>
                <c:pt idx="1517">
                  <c:v>17-Feb-2026</c:v>
                </c:pt>
                <c:pt idx="1518">
                  <c:v>18-Feb-2026</c:v>
                </c:pt>
                <c:pt idx="1519">
                  <c:v>19-Feb-2026</c:v>
                </c:pt>
                <c:pt idx="1520">
                  <c:v>20-Feb-2026</c:v>
                </c:pt>
                <c:pt idx="1521">
                  <c:v>23-Feb-2026</c:v>
                </c:pt>
                <c:pt idx="1522">
                  <c:v>24-Feb-2026</c:v>
                </c:pt>
                <c:pt idx="1523">
                  <c:v>25-Feb-2026</c:v>
                </c:pt>
                <c:pt idx="1524">
                  <c:v>26-Feb-2026</c:v>
                </c:pt>
                <c:pt idx="1525">
                  <c:v>27-Feb-2026</c:v>
                </c:pt>
                <c:pt idx="1526">
                  <c:v>02-Mar-2026</c:v>
                </c:pt>
                <c:pt idx="1527">
                  <c:v>04-Mar-2026</c:v>
                </c:pt>
                <c:pt idx="1528">
                  <c:v>05-Mar-2026</c:v>
                </c:pt>
                <c:pt idx="1529">
                  <c:v>06-Mar-2026</c:v>
                </c:pt>
                <c:pt idx="1530">
                  <c:v>09-Mar-2026</c:v>
                </c:pt>
                <c:pt idx="1531">
                  <c:v>10-Mar-2026</c:v>
                </c:pt>
                <c:pt idx="1532">
                  <c:v>11-Mar-2026</c:v>
                </c:pt>
                <c:pt idx="1533">
                  <c:v>12-Mar-2026</c:v>
                </c:pt>
                <c:pt idx="1534">
                  <c:v>13-Mar-2026</c:v>
                </c:pt>
                <c:pt idx="1535">
                  <c:v>16-Mar-2026</c:v>
                </c:pt>
                <c:pt idx="1536">
                  <c:v>17-Mar-2026</c:v>
                </c:pt>
                <c:pt idx="1537">
                  <c:v>18-Mar-2026</c:v>
                </c:pt>
                <c:pt idx="1538">
                  <c:v>19-Mar-2026</c:v>
                </c:pt>
                <c:pt idx="1539">
                  <c:v>20-Mar-2026</c:v>
                </c:pt>
                <c:pt idx="1540">
                  <c:v>23-Mar-2026</c:v>
                </c:pt>
                <c:pt idx="1541">
                  <c:v>24-Mar-2026</c:v>
                </c:pt>
                <c:pt idx="1542">
                  <c:v>25-Mar-2026</c:v>
                </c:pt>
                <c:pt idx="1543">
                  <c:v>27-Mar-2026</c:v>
                </c:pt>
                <c:pt idx="1544">
                  <c:v>30-Mar-2026</c:v>
                </c:pt>
                <c:pt idx="1545">
                  <c:v>01-Apr-2026</c:v>
                </c:pt>
                <c:pt idx="1546">
                  <c:v>02-Apr-2026</c:v>
                </c:pt>
                <c:pt idx="1547">
                  <c:v>06-Apr-2026</c:v>
                </c:pt>
                <c:pt idx="1548">
                  <c:v>07-Apr-2026</c:v>
                </c:pt>
                <c:pt idx="1549">
                  <c:v>08-Apr-2026</c:v>
                </c:pt>
                <c:pt idx="1550">
                  <c:v>09-Apr-2026</c:v>
                </c:pt>
                <c:pt idx="1551">
                  <c:v>10-Apr-2026</c:v>
                </c:pt>
                <c:pt idx="1552">
                  <c:v>13-Apr-2026</c:v>
                </c:pt>
                <c:pt idx="1553">
                  <c:v>15-Apr-2026</c:v>
                </c:pt>
                <c:pt idx="1554">
                  <c:v>16-Apr-2026</c:v>
                </c:pt>
                <c:pt idx="1555">
                  <c:v>17-Apr-2026</c:v>
                </c:pt>
                <c:pt idx="1556">
                  <c:v>20-Apr-2026</c:v>
                </c:pt>
                <c:pt idx="1557">
                  <c:v>21-Apr-2026</c:v>
                </c:pt>
                <c:pt idx="1558">
                  <c:v>22-Apr-2026</c:v>
                </c:pt>
                <c:pt idx="1559">
                  <c:v>23-Apr-2026</c:v>
                </c:pt>
                <c:pt idx="1560">
                  <c:v>24-Apr-2026</c:v>
                </c:pt>
                <c:pt idx="1561">
                  <c:v>27-Apr-2026</c:v>
                </c:pt>
                <c:pt idx="1562">
                  <c:v>28-Apr-2026</c:v>
                </c:pt>
                <c:pt idx="1563">
                  <c:v>29-Apr-2026</c:v>
                </c:pt>
                <c:pt idx="1564">
                  <c:v>30-Apr-2026</c:v>
                </c:pt>
                <c:pt idx="1565">
                  <c:v>04-May-2026</c:v>
                </c:pt>
                <c:pt idx="1566">
                  <c:v>05-May-2026</c:v>
                </c:pt>
                <c:pt idx="1567">
                  <c:v>06-May-2026</c:v>
                </c:pt>
                <c:pt idx="1568">
                  <c:v>07-May-2026</c:v>
                </c:pt>
                <c:pt idx="1569">
                  <c:v>08-May-2026</c:v>
                </c:pt>
                <c:pt idx="1570">
                  <c:v>11-May-2026</c:v>
                </c:pt>
                <c:pt idx="1571">
                  <c:v>12-May-2026</c:v>
                </c:pt>
                <c:pt idx="1572">
                  <c:v>13-May-2026</c:v>
                </c:pt>
                <c:pt idx="1573">
                  <c:v>14-May-2026</c:v>
                </c:pt>
                <c:pt idx="1574">
                  <c:v>15-May-2026</c:v>
                </c:pt>
                <c:pt idx="1575">
                  <c:v>18-May-2026</c:v>
                </c:pt>
                <c:pt idx="1576">
                  <c:v>19-May-2026</c:v>
                </c:pt>
                <c:pt idx="1577">
                  <c:v>20-May-2026</c:v>
                </c:pt>
                <c:pt idx="1578">
                  <c:v>21-May-2026</c:v>
                </c:pt>
                <c:pt idx="1579">
                  <c:v>22-May-2026</c:v>
                </c:pt>
                <c:pt idx="1580">
                  <c:v>25-May-2026</c:v>
                </c:pt>
                <c:pt idx="1581">
                  <c:v>26-May-2026</c:v>
                </c:pt>
                <c:pt idx="1582">
                  <c:v>27-May-2026</c:v>
                </c:pt>
                <c:pt idx="1583">
                  <c:v>29-May-2026</c:v>
                </c:pt>
                <c:pt idx="1584">
                  <c:v>01-Jun-2026</c:v>
                </c:pt>
                <c:pt idx="1585">
                  <c:v>02-Jun-2026</c:v>
                </c:pt>
                <c:pt idx="1586">
                  <c:v>03-Jun-2026</c:v>
                </c:pt>
                <c:pt idx="1587">
                  <c:v>04-Jun-2026</c:v>
                </c:pt>
                <c:pt idx="1588">
                  <c:v>05-Jun-2026</c:v>
                </c:pt>
                <c:pt idx="1589">
                  <c:v>08-Jun-2026</c:v>
                </c:pt>
                <c:pt idx="1590">
                  <c:v>09-Jun-2026</c:v>
                </c:pt>
                <c:pt idx="1591">
                  <c:v>10-Jun-2026</c:v>
                </c:pt>
                <c:pt idx="1592">
                  <c:v>11-Jun-2026</c:v>
                </c:pt>
                <c:pt idx="1593">
                  <c:v>12-Jun-2026</c:v>
                </c:pt>
                <c:pt idx="1594">
                  <c:v>15-Jun-2026</c:v>
                </c:pt>
                <c:pt idx="1595">
                  <c:v>16-Jun-2026</c:v>
                </c:pt>
                <c:pt idx="1596">
                  <c:v>17-Jun-2026</c:v>
                </c:pt>
                <c:pt idx="1597">
                  <c:v>18-Jun-2026</c:v>
                </c:pt>
                <c:pt idx="1598">
                  <c:v>19-Jun-2026</c:v>
                </c:pt>
                <c:pt idx="1599">
                  <c:v>22-Jun-2026</c:v>
                </c:pt>
                <c:pt idx="1600">
                  <c:v>23-Jun-2026</c:v>
                </c:pt>
                <c:pt idx="1601">
                  <c:v>24-Jun-2026</c:v>
                </c:pt>
                <c:pt idx="1602">
                  <c:v>25-Jun-2026</c:v>
                </c:pt>
                <c:pt idx="1603">
                  <c:v>29-Jun-2026</c:v>
                </c:pt>
                <c:pt idx="1604">
                  <c:v>30-Jun-2026</c:v>
                </c:pt>
                <c:pt idx="1605">
                  <c:v>01-Jul-2026</c:v>
                </c:pt>
                <c:pt idx="1606">
                  <c:v>02-Jul-2026</c:v>
                </c:pt>
                <c:pt idx="1607">
                  <c:v>03-Jul-2026</c:v>
                </c:pt>
                <c:pt idx="1608">
                  <c:v>06-Jul-2026</c:v>
                </c:pt>
                <c:pt idx="1609">
                  <c:v>07-Jul-2026</c:v>
                </c:pt>
                <c:pt idx="1610">
                  <c:v>08-Jul-2026</c:v>
                </c:pt>
                <c:pt idx="1611">
                  <c:v>09-Jul-2026</c:v>
                </c:pt>
                <c:pt idx="1612">
                  <c:v>10-Jul-2026</c:v>
                </c:pt>
                <c:pt idx="1613">
                  <c:v>13-Jul-2026</c:v>
                </c:pt>
                <c:pt idx="1614">
                  <c:v>14-Jul-2026</c:v>
                </c:pt>
                <c:pt idx="1615">
                  <c:v>15-Jul-2026</c:v>
                </c:pt>
                <c:pt idx="1616">
                  <c:v>16-Jul-2026</c:v>
                </c:pt>
                <c:pt idx="1617">
                  <c:v>17-Jul-2026</c:v>
                </c:pt>
                <c:pt idx="1618">
                  <c:v>20-Jul-2026</c:v>
                </c:pt>
                <c:pt idx="1619">
                  <c:v>21-Jul-2026</c:v>
                </c:pt>
                <c:pt idx="1620">
                  <c:v>22-Jul-2026</c:v>
                </c:pt>
                <c:pt idx="1621">
                  <c:v>23-Jul-2026</c:v>
                </c:pt>
                <c:pt idx="1622">
                  <c:v>24-Jul-2026</c:v>
                </c:pt>
                <c:pt idx="1623">
                  <c:v>27-Jul-2026</c:v>
                </c:pt>
                <c:pt idx="1624">
                  <c:v>28-Jul-2026</c:v>
                </c:pt>
                <c:pt idx="1625">
                  <c:v>29-Jul-2026</c:v>
                </c:pt>
                <c:pt idx="1626">
                  <c:v>30-Jul-2026</c:v>
                </c:pt>
                <c:pt idx="1627">
                  <c:v>31-Jul-2026</c:v>
                </c:pt>
                <c:pt idx="1628">
                  <c:v>03-Aug-2026</c:v>
                </c:pt>
                <c:pt idx="1629">
                  <c:v>04-Aug-2026</c:v>
                </c:pt>
                <c:pt idx="1630">
                  <c:v>05-Aug-2026</c:v>
                </c:pt>
                <c:pt idx="1631">
                  <c:v>06-Aug-2026</c:v>
                </c:pt>
                <c:pt idx="1632">
                  <c:v>07-Aug-2026</c:v>
                </c:pt>
                <c:pt idx="1633">
                  <c:v>10-Aug-2026</c:v>
                </c:pt>
                <c:pt idx="1634">
                  <c:v>11-Aug-2026</c:v>
                </c:pt>
                <c:pt idx="1635">
                  <c:v>12-Aug-2026</c:v>
                </c:pt>
                <c:pt idx="1636">
                  <c:v>13-Aug-2026</c:v>
                </c:pt>
                <c:pt idx="1637">
                  <c:v>14-Aug-2026</c:v>
                </c:pt>
                <c:pt idx="1638">
                  <c:v>17-Aug-2026</c:v>
                </c:pt>
                <c:pt idx="1639">
                  <c:v>18-Aug-2026</c:v>
                </c:pt>
                <c:pt idx="1640">
                  <c:v>19-Aug-2026</c:v>
                </c:pt>
                <c:pt idx="1641">
                  <c:v>20-Aug-2026</c:v>
                </c:pt>
                <c:pt idx="1642">
                  <c:v>21-Aug-2026</c:v>
                </c:pt>
                <c:pt idx="1643">
                  <c:v>24-Aug-2026</c:v>
                </c:pt>
                <c:pt idx="1644">
                  <c:v>25-Aug-2026</c:v>
                </c:pt>
                <c:pt idx="1645">
                  <c:v>26-Aug-2026</c:v>
                </c:pt>
                <c:pt idx="1646">
                  <c:v>27-Aug-2026</c:v>
                </c:pt>
                <c:pt idx="1647">
                  <c:v>28-Aug-2026</c:v>
                </c:pt>
                <c:pt idx="1648">
                  <c:v>31-Aug-2026</c:v>
                </c:pt>
                <c:pt idx="1649">
                  <c:v>01-Sep-2026</c:v>
                </c:pt>
                <c:pt idx="1650">
                  <c:v>02-Sep-2026</c:v>
                </c:pt>
                <c:pt idx="1651">
                  <c:v>03-Sep-2026</c:v>
                </c:pt>
                <c:pt idx="1652">
                  <c:v>04-Sep-2026</c:v>
                </c:pt>
                <c:pt idx="1653">
                  <c:v>07-Sep-2026</c:v>
                </c:pt>
                <c:pt idx="1654">
                  <c:v>08-Sep-2026</c:v>
                </c:pt>
                <c:pt idx="1655">
                  <c:v>09-Sep-2026</c:v>
                </c:pt>
                <c:pt idx="1656">
                  <c:v>10-Sep-2026</c:v>
                </c:pt>
                <c:pt idx="1657">
                  <c:v>11-Sep-2026</c:v>
                </c:pt>
                <c:pt idx="1658">
                  <c:v>15-Sep-2026</c:v>
                </c:pt>
                <c:pt idx="1659">
                  <c:v>16-Sep-2026</c:v>
                </c:pt>
                <c:pt idx="1660">
                  <c:v>17-Sep-2026</c:v>
                </c:pt>
                <c:pt idx="1661">
                  <c:v>18-Sep-2026</c:v>
                </c:pt>
                <c:pt idx="1662">
                  <c:v>21-Sep-2026</c:v>
                </c:pt>
                <c:pt idx="1663">
                  <c:v>22-Sep-2026</c:v>
                </c:pt>
                <c:pt idx="1664">
                  <c:v>23-Sep-2026</c:v>
                </c:pt>
                <c:pt idx="1665">
                  <c:v>24-Sep-2026</c:v>
                </c:pt>
                <c:pt idx="1666">
                  <c:v>25-Sep-2026</c:v>
                </c:pt>
                <c:pt idx="1667">
                  <c:v>28-Sep-2026</c:v>
                </c:pt>
              </c:numCache>
            </c:numRef>
          </c:cat>
          <c:val>
            <c:numRef>
              <c:f>Data!$I$44:$I$1711</c:f>
              <c:numCache>
                <c:formatCode>0.0</c:formatCode>
                <c:ptCount val="1668"/>
                <c:pt idx="0">
                  <c:v>122.080147508292</c:v>
                </c:pt>
                <c:pt idx="1">
                  <c:v>123.079235602409</c:v>
                </c:pt>
                <c:pt idx="2">
                  <c:v>122.522572175848</c:v>
                </c:pt>
                <c:pt idx="3">
                  <c:v>120.181679710595</c:v>
                </c:pt>
                <c:pt idx="4">
                  <c:v>120.781934242567</c:v>
                </c:pt>
                <c:pt idx="5">
                  <c:v>120.505356194446</c:v>
                </c:pt>
                <c:pt idx="6">
                  <c:v>122.414847030293</c:v>
                </c:pt>
                <c:pt idx="7">
                  <c:v>122.824703630588</c:v>
                </c:pt>
                <c:pt idx="8">
                  <c:v>123.553727290036</c:v>
                </c:pt>
                <c:pt idx="9">
                  <c:v>123.881913198585</c:v>
                </c:pt>
                <c:pt idx="10">
                  <c:v>123.691515266908</c:v>
                </c:pt>
                <c:pt idx="11">
                  <c:v>123.813770780932</c:v>
                </c:pt>
                <c:pt idx="12">
                  <c:v>123.782204808049</c:v>
                </c:pt>
                <c:pt idx="13">
                  <c:v>122.501528193925</c:v>
                </c:pt>
                <c:pt idx="14">
                  <c:v>121.95338256957</c:v>
                </c:pt>
                <c:pt idx="15">
                  <c:v>121.322564159093</c:v>
                </c:pt>
                <c:pt idx="16">
                  <c:v>122.058602479182</c:v>
                </c:pt>
                <c:pt idx="17">
                  <c:v>122.739024561333</c:v>
                </c:pt>
                <c:pt idx="18">
                  <c:v>121.44381757874</c:v>
                </c:pt>
                <c:pt idx="19">
                  <c:v>120.810493932319</c:v>
                </c:pt>
                <c:pt idx="20">
                  <c:v>121.549037488351</c:v>
                </c:pt>
                <c:pt idx="21">
                  <c:v>120.610075056869</c:v>
                </c:pt>
                <c:pt idx="22">
                  <c:v>119.871531500837</c:v>
                </c:pt>
                <c:pt idx="23">
                  <c:v>117.324207593871</c:v>
                </c:pt>
                <c:pt idx="24">
                  <c:v>120.047399064044</c:v>
                </c:pt>
                <c:pt idx="25">
                  <c:v>121.144692407131</c:v>
                </c:pt>
                <c:pt idx="26">
                  <c:v>121.633714463228</c:v>
                </c:pt>
                <c:pt idx="27">
                  <c:v>121.236885089838</c:v>
                </c:pt>
                <c:pt idx="28">
                  <c:v>120.566984998647</c:v>
                </c:pt>
                <c:pt idx="29">
                  <c:v>121.332585102865</c:v>
                </c:pt>
                <c:pt idx="30">
                  <c:v>122.267539156838</c:v>
                </c:pt>
                <c:pt idx="31">
                  <c:v>122.001483099678</c:v>
                </c:pt>
                <c:pt idx="32">
                  <c:v>121.388201340802</c:v>
                </c:pt>
                <c:pt idx="33">
                  <c:v>120.710284494594</c:v>
                </c:pt>
                <c:pt idx="34">
                  <c:v>120.17616819152</c:v>
                </c:pt>
                <c:pt idx="35">
                  <c:v>121.51296209077</c:v>
                </c:pt>
                <c:pt idx="36">
                  <c:v>121.061518573819</c:v>
                </c:pt>
                <c:pt idx="37">
                  <c:v>118.541752262228</c:v>
                </c:pt>
                <c:pt idx="38">
                  <c:v>118.226092533395</c:v>
                </c:pt>
                <c:pt idx="39">
                  <c:v>117.02959184696</c:v>
                </c:pt>
                <c:pt idx="40">
                  <c:v>116.576645188444</c:v>
                </c:pt>
                <c:pt idx="41">
                  <c:v>112.252106903428</c:v>
                </c:pt>
                <c:pt idx="42">
                  <c:v>111.560661783127</c:v>
                </c:pt>
                <c:pt idx="43">
                  <c:v>113.269733743524</c:v>
                </c:pt>
                <c:pt idx="44">
                  <c:v>112.745638384223</c:v>
                </c:pt>
                <c:pt idx="45">
                  <c:v>112.926015372128</c:v>
                </c:pt>
                <c:pt idx="46">
                  <c:v>110.12466054053</c:v>
                </c:pt>
                <c:pt idx="47">
                  <c:v>104.733392790933</c:v>
                </c:pt>
                <c:pt idx="48">
                  <c:v>104.803038350152</c:v>
                </c:pt>
                <c:pt idx="49">
                  <c:v>96.1023539196922</c:v>
                </c:pt>
                <c:pt idx="50">
                  <c:v>99.7604994438376</c:v>
                </c:pt>
                <c:pt idx="51">
                  <c:v>92.1666282530489</c:v>
                </c:pt>
                <c:pt idx="52">
                  <c:v>89.8583038550571</c:v>
                </c:pt>
                <c:pt idx="53">
                  <c:v>84.8653686204167</c:v>
                </c:pt>
                <c:pt idx="54">
                  <c:v>82.807567816737</c:v>
                </c:pt>
                <c:pt idx="55">
                  <c:v>87.6376627150745</c:v>
                </c:pt>
                <c:pt idx="56">
                  <c:v>76.2618873445501</c:v>
                </c:pt>
                <c:pt idx="57">
                  <c:v>78.1738834163402</c:v>
                </c:pt>
                <c:pt idx="58">
                  <c:v>83.3527071579601</c:v>
                </c:pt>
                <c:pt idx="59">
                  <c:v>86.5954845627361</c:v>
                </c:pt>
                <c:pt idx="60">
                  <c:v>86.7838783056588</c:v>
                </c:pt>
                <c:pt idx="61">
                  <c:v>82.9844374743213</c:v>
                </c:pt>
                <c:pt idx="62">
                  <c:v>86.1575693198786</c:v>
                </c:pt>
                <c:pt idx="63">
                  <c:v>82.7108657093325</c:v>
                </c:pt>
                <c:pt idx="64">
                  <c:v>81.0073052680101</c:v>
                </c:pt>
                <c:pt idx="65">
                  <c:v>88.1061418364382</c:v>
                </c:pt>
                <c:pt idx="66">
                  <c:v>87.6707318295237</c:v>
                </c:pt>
                <c:pt idx="67">
                  <c:v>91.3098375605014</c:v>
                </c:pt>
                <c:pt idx="68">
                  <c:v>90.1268651481597</c:v>
                </c:pt>
                <c:pt idx="69">
                  <c:v>89.4399294525558</c:v>
                </c:pt>
                <c:pt idx="70">
                  <c:v>90.1163431571985</c:v>
                </c:pt>
                <c:pt idx="71">
                  <c:v>92.8615807036707</c:v>
                </c:pt>
                <c:pt idx="72">
                  <c:v>92.8124780791855</c:v>
                </c:pt>
                <c:pt idx="73">
                  <c:v>90.0026054453809</c:v>
                </c:pt>
                <c:pt idx="74">
                  <c:v>92.0654167209468</c:v>
                </c:pt>
                <c:pt idx="75">
                  <c:v>93.3340682025433</c:v>
                </c:pt>
                <c:pt idx="76">
                  <c:v>91.735727670832</c:v>
                </c:pt>
                <c:pt idx="77">
                  <c:v>93.0174063793328</c:v>
                </c:pt>
                <c:pt idx="78">
                  <c:v>94.0054714352998</c:v>
                </c:pt>
                <c:pt idx="79">
                  <c:v>95.7335831888647</c:v>
                </c:pt>
                <c:pt idx="80">
                  <c:v>98.8055035023198</c:v>
                </c:pt>
                <c:pt idx="81">
                  <c:v>93.1296409495846</c:v>
                </c:pt>
                <c:pt idx="82">
                  <c:v>92.2487999919833</c:v>
                </c:pt>
                <c:pt idx="83">
                  <c:v>92.9031676203265</c:v>
                </c:pt>
                <c:pt idx="84">
                  <c:v>92.1831628102735</c:v>
                </c:pt>
                <c:pt idx="85">
                  <c:v>92.7087613111403</c:v>
                </c:pt>
                <c:pt idx="86">
                  <c:v>92.5855037027387</c:v>
                </c:pt>
                <c:pt idx="87">
                  <c:v>92.1581104508422</c:v>
                </c:pt>
                <c:pt idx="88">
                  <c:v>94.0320269362969</c:v>
                </c:pt>
                <c:pt idx="89">
                  <c:v>91.6189836758826</c:v>
                </c:pt>
                <c:pt idx="90">
                  <c:v>91.5598601076249</c:v>
                </c:pt>
                <c:pt idx="91">
                  <c:v>88.4172921405738</c:v>
                </c:pt>
                <c:pt idx="92">
                  <c:v>88.9769618502671</c:v>
                </c:pt>
                <c:pt idx="93">
                  <c:v>90.8553877604193</c:v>
                </c:pt>
                <c:pt idx="94">
                  <c:v>91.2532192281869</c:v>
                </c:pt>
                <c:pt idx="95">
                  <c:v>90.5818159954305</c:v>
                </c:pt>
                <c:pt idx="96">
                  <c:v>90.4796023689511</c:v>
                </c:pt>
                <c:pt idx="97">
                  <c:v>93.3445901935044</c:v>
                </c:pt>
                <c:pt idx="98">
                  <c:v>95.0997584952551</c:v>
                </c:pt>
                <c:pt idx="99">
                  <c:v>96.0036476235332</c:v>
                </c:pt>
                <c:pt idx="100">
                  <c:v>98.4672966499985</c:v>
                </c:pt>
                <c:pt idx="101">
                  <c:v>100</c:v>
                </c:pt>
                <c:pt idx="102">
                  <c:v>100.826226814041</c:v>
                </c:pt>
                <c:pt idx="103">
                  <c:v>100.501047188624</c:v>
                </c:pt>
                <c:pt idx="104">
                  <c:v>101.633914882104</c:v>
                </c:pt>
                <c:pt idx="105">
                  <c:v>101.887444759547</c:v>
                </c:pt>
                <c:pt idx="106">
                  <c:v>100.676914751831</c:v>
                </c:pt>
                <c:pt idx="107">
                  <c:v>101.373370344019</c:v>
                </c:pt>
                <c:pt idx="108">
                  <c:v>99.2273852351414</c:v>
                </c:pt>
                <c:pt idx="109">
                  <c:v>99.9378701486106</c:v>
                </c:pt>
                <c:pt idx="110">
                  <c:v>98.3425359000311</c:v>
                </c:pt>
                <c:pt idx="111">
                  <c:v>99.3476365604113</c:v>
                </c:pt>
                <c:pt idx="112">
                  <c:v>99.0184485574851</c:v>
                </c:pt>
                <c:pt idx="113">
                  <c:v>101.127857221593</c:v>
                </c:pt>
                <c:pt idx="114">
                  <c:v>102.65855638284</c:v>
                </c:pt>
                <c:pt idx="115">
                  <c:v>103.327955426842</c:v>
                </c:pt>
                <c:pt idx="116">
                  <c:v>104.929302241685</c:v>
                </c:pt>
                <c:pt idx="117">
                  <c:v>103.268831858584</c:v>
                </c:pt>
                <c:pt idx="118">
                  <c:v>103.104488380716</c:v>
                </c:pt>
                <c:pt idx="119">
                  <c:v>104.047459189706</c:v>
                </c:pt>
                <c:pt idx="120">
                  <c:v>103.339980559369</c:v>
                </c:pt>
                <c:pt idx="121">
                  <c:v>103.236764838513</c:v>
                </c:pt>
                <c:pt idx="122">
                  <c:v>104.518944594202</c:v>
                </c:pt>
                <c:pt idx="123">
                  <c:v>105.737992404125</c:v>
                </c:pt>
                <c:pt idx="124">
                  <c:v>106.295657925063</c:v>
                </c:pt>
                <c:pt idx="125">
                  <c:v>107.861931436703</c:v>
                </c:pt>
                <c:pt idx="126">
                  <c:v>108.222685412512</c:v>
                </c:pt>
                <c:pt idx="127">
                  <c:v>107.281718792276</c:v>
                </c:pt>
                <c:pt idx="128">
                  <c:v>108.360974436572</c:v>
                </c:pt>
                <c:pt idx="129">
                  <c:v>107.906023589302</c:v>
                </c:pt>
                <c:pt idx="130">
                  <c:v>108.253249291018</c:v>
                </c:pt>
                <c:pt idx="131">
                  <c:v>106.295657925063</c:v>
                </c:pt>
                <c:pt idx="132">
                  <c:v>106.404385164995</c:v>
                </c:pt>
                <c:pt idx="133">
                  <c:v>107.624435069295</c:v>
                </c:pt>
                <c:pt idx="134">
                  <c:v>109.245322724494</c:v>
                </c:pt>
                <c:pt idx="135">
                  <c:v>110.452846449079</c:v>
                </c:pt>
                <c:pt idx="136">
                  <c:v>111.856279624415</c:v>
                </c:pt>
                <c:pt idx="137">
                  <c:v>111.559158641561</c:v>
                </c:pt>
                <c:pt idx="138">
                  <c:v>112.389393833111</c:v>
                </c:pt>
                <c:pt idx="139">
                  <c:v>112.175947730757</c:v>
                </c:pt>
                <c:pt idx="140">
                  <c:v>111.551141886543</c:v>
                </c:pt>
                <c:pt idx="141">
                  <c:v>113.24217614815</c:v>
                </c:pt>
                <c:pt idx="142">
                  <c:v>112.263129941578</c:v>
                </c:pt>
                <c:pt idx="143">
                  <c:v>111.254020903689</c:v>
                </c:pt>
                <c:pt idx="144">
                  <c:v>110.966419817418</c:v>
                </c:pt>
                <c:pt idx="145">
                  <c:v>109.144111192392</c:v>
                </c:pt>
                <c:pt idx="146">
                  <c:v>111.184876391659</c:v>
                </c:pt>
                <c:pt idx="147">
                  <c:v>111.249010431802</c:v>
                </c:pt>
                <c:pt idx="148">
                  <c:v>112.236073393392</c:v>
                </c:pt>
                <c:pt idx="149">
                  <c:v>112.37536451183</c:v>
                </c:pt>
                <c:pt idx="150">
                  <c:v>112.937539457466</c:v>
                </c:pt>
                <c:pt idx="151">
                  <c:v>113.462135863956</c:v>
                </c:pt>
                <c:pt idx="152">
                  <c:v>113.320840556764</c:v>
                </c:pt>
                <c:pt idx="153">
                  <c:v>113.241174053772</c:v>
                </c:pt>
                <c:pt idx="154">
                  <c:v>112.018117866341</c:v>
                </c:pt>
                <c:pt idx="155">
                  <c:v>112.70655670351</c:v>
                </c:pt>
                <c:pt idx="156">
                  <c:v>114.091952180056</c:v>
                </c:pt>
                <c:pt idx="157">
                  <c:v>114.322934934012</c:v>
                </c:pt>
                <c:pt idx="158">
                  <c:v>113.358920143099</c:v>
                </c:pt>
                <c:pt idx="159">
                  <c:v>113.954164203185</c:v>
                </c:pt>
                <c:pt idx="160">
                  <c:v>114.904650720005</c:v>
                </c:pt>
                <c:pt idx="161">
                  <c:v>114.962772193885</c:v>
                </c:pt>
                <c:pt idx="162">
                  <c:v>115.737892194687</c:v>
                </c:pt>
                <c:pt idx="163">
                  <c:v>115.834594302091</c:v>
                </c:pt>
                <c:pt idx="164">
                  <c:v>116.71994468439</c:v>
                </c:pt>
                <c:pt idx="165">
                  <c:v>114.113497209167</c:v>
                </c:pt>
                <c:pt idx="166">
                  <c:v>114.94273030634</c:v>
                </c:pt>
                <c:pt idx="167">
                  <c:v>115.591586415609</c:v>
                </c:pt>
                <c:pt idx="168">
                  <c:v>115.515928290126</c:v>
                </c:pt>
                <c:pt idx="169">
                  <c:v>113.575873575773</c:v>
                </c:pt>
                <c:pt idx="170">
                  <c:v>113.78831758375</c:v>
                </c:pt>
                <c:pt idx="171">
                  <c:v>113.410528003527</c:v>
                </c:pt>
                <c:pt idx="172">
                  <c:v>113.01620386608</c:v>
                </c:pt>
                <c:pt idx="173">
                  <c:v>114.732290487118</c:v>
                </c:pt>
                <c:pt idx="174">
                  <c:v>114.88460883246</c:v>
                </c:pt>
                <c:pt idx="175">
                  <c:v>114.640097804411</c:v>
                </c:pt>
                <c:pt idx="176">
                  <c:v>115.459309957812</c:v>
                </c:pt>
                <c:pt idx="177">
                  <c:v>116.288543054985</c:v>
                </c:pt>
                <c:pt idx="178">
                  <c:v>115.402190578309</c:v>
                </c:pt>
                <c:pt idx="179">
                  <c:v>115.290457055245</c:v>
                </c:pt>
                <c:pt idx="180">
                  <c:v>112.741128959525</c:v>
                </c:pt>
                <c:pt idx="181">
                  <c:v>111.770099507972</c:v>
                </c:pt>
                <c:pt idx="182">
                  <c:v>111.551642933732</c:v>
                </c:pt>
                <c:pt idx="183">
                  <c:v>108.28180898077</c:v>
                </c:pt>
                <c:pt idx="184">
                  <c:v>110.733933921897</c:v>
                </c:pt>
                <c:pt idx="185">
                  <c:v>112.510647252758</c:v>
                </c:pt>
                <c:pt idx="186">
                  <c:v>112.45903939233</c:v>
                </c:pt>
                <c:pt idx="187">
                  <c:v>112.711066128208</c:v>
                </c:pt>
                <c:pt idx="188">
                  <c:v>114.408614003267</c:v>
                </c:pt>
                <c:pt idx="189">
                  <c:v>115.274423545209</c:v>
                </c:pt>
                <c:pt idx="190">
                  <c:v>116.868254652223</c:v>
                </c:pt>
                <c:pt idx="191">
                  <c:v>117.63435580363</c:v>
                </c:pt>
                <c:pt idx="192">
                  <c:v>118.593861169845</c:v>
                </c:pt>
                <c:pt idx="193">
                  <c:v>119.391528294135</c:v>
                </c:pt>
                <c:pt idx="194">
                  <c:v>119.559379102324</c:v>
                </c:pt>
                <c:pt idx="195">
                  <c:v>119.594953452716</c:v>
                </c:pt>
                <c:pt idx="196">
                  <c:v>119.9612189476</c:v>
                </c:pt>
                <c:pt idx="197">
                  <c:v>117.048130592939</c:v>
                </c:pt>
                <c:pt idx="198">
                  <c:v>117.87085007666</c:v>
                </c:pt>
                <c:pt idx="199">
                  <c:v>118.979166457897</c:v>
                </c:pt>
                <c:pt idx="200">
                  <c:v>119.217163872494</c:v>
                </c:pt>
                <c:pt idx="201">
                  <c:v>119.6265194256</c:v>
                </c:pt>
                <c:pt idx="202">
                  <c:v>119.213656542173</c:v>
                </c:pt>
                <c:pt idx="203">
                  <c:v>119.55336653606</c:v>
                </c:pt>
                <c:pt idx="204">
                  <c:v>117.923961078654</c:v>
                </c:pt>
                <c:pt idx="205">
                  <c:v>119.143008888577</c:v>
                </c:pt>
                <c:pt idx="206">
                  <c:v>117.541662073734</c:v>
                </c:pt>
                <c:pt idx="207">
                  <c:v>116.952430579912</c:v>
                </c:pt>
                <c:pt idx="208">
                  <c:v>116.667835776773</c:v>
                </c:pt>
                <c:pt idx="209">
                  <c:v>116.935896022687</c:v>
                </c:pt>
                <c:pt idx="210">
                  <c:v>118.382419256246</c:v>
                </c:pt>
                <c:pt idx="211">
                  <c:v>119.334408914632</c:v>
                </c:pt>
                <c:pt idx="212">
                  <c:v>121.456844805644</c:v>
                </c:pt>
                <c:pt idx="213">
                  <c:v>122.892345001052</c:v>
                </c:pt>
                <c:pt idx="214">
                  <c:v>124.871481396118</c:v>
                </c:pt>
                <c:pt idx="215">
                  <c:v>126.575542884629</c:v>
                </c:pt>
                <c:pt idx="216">
                  <c:v>127.758515296971</c:v>
                </c:pt>
                <c:pt idx="217">
                  <c:v>127.173793227846</c:v>
                </c:pt>
                <c:pt idx="218">
                  <c:v>127.465903738814</c:v>
                </c:pt>
                <c:pt idx="219">
                  <c:v>129.01163431572</c:v>
                </c:pt>
                <c:pt idx="220">
                  <c:v>129.653475764348</c:v>
                </c:pt>
                <c:pt idx="221">
                  <c:v>127.98448757904</c:v>
                </c:pt>
                <c:pt idx="222">
                  <c:v>128.859817017567</c:v>
                </c:pt>
                <c:pt idx="223">
                  <c:v>129.535228627832</c:v>
                </c:pt>
                <c:pt idx="224">
                  <c:v>130.824924091351</c:v>
                </c:pt>
                <c:pt idx="225">
                  <c:v>128.853303404115</c:v>
                </c:pt>
                <c:pt idx="226">
                  <c:v>130.141996773256</c:v>
                </c:pt>
                <c:pt idx="227">
                  <c:v>129.961118738163</c:v>
                </c:pt>
                <c:pt idx="228">
                  <c:v>131.365052960688</c:v>
                </c:pt>
                <c:pt idx="229">
                  <c:v>131.412151396419</c:v>
                </c:pt>
                <c:pt idx="230">
                  <c:v>131.614073413434</c:v>
                </c:pt>
                <c:pt idx="231">
                  <c:v>132.863184054674</c:v>
                </c:pt>
                <c:pt idx="232">
                  <c:v>133.83721978936</c:v>
                </c:pt>
                <c:pt idx="233">
                  <c:v>134.209998897696</c:v>
                </c:pt>
                <c:pt idx="234">
                  <c:v>135.57435039232</c:v>
                </c:pt>
                <c:pt idx="235">
                  <c:v>135.065286448678</c:v>
                </c:pt>
                <c:pt idx="236">
                  <c:v>135.42153099979</c:v>
                </c:pt>
                <c:pt idx="237">
                  <c:v>135.865458808911</c:v>
                </c:pt>
                <c:pt idx="238">
                  <c:v>135.962661963504</c:v>
                </c:pt>
                <c:pt idx="239">
                  <c:v>137.113567355774</c:v>
                </c:pt>
                <c:pt idx="240">
                  <c:v>137.694782094578</c:v>
                </c:pt>
                <c:pt idx="241">
                  <c:v>137.893697828461</c:v>
                </c:pt>
                <c:pt idx="242">
                  <c:v>133.563146977182</c:v>
                </c:pt>
                <c:pt idx="243">
                  <c:v>134.945035123408</c:v>
                </c:pt>
                <c:pt idx="244">
                  <c:v>136.295858343939</c:v>
                </c:pt>
                <c:pt idx="245">
                  <c:v>137.780461163832</c:v>
                </c:pt>
                <c:pt idx="246">
                  <c:v>139.022557144432</c:v>
                </c:pt>
                <c:pt idx="247">
                  <c:v>139.617801204517</c:v>
                </c:pt>
                <c:pt idx="248">
                  <c:v>140.11233477969</c:v>
                </c:pt>
                <c:pt idx="249">
                  <c:v>140.110330590935</c:v>
                </c:pt>
                <c:pt idx="250">
                  <c:v>140.478600274574</c:v>
                </c:pt>
                <c:pt idx="251">
                  <c:v>141.624996242146</c:v>
                </c:pt>
                <c:pt idx="252">
                  <c:v>142.292391097394</c:v>
                </c:pt>
                <c:pt idx="253">
                  <c:v>141.758775841509</c:v>
                </c:pt>
                <c:pt idx="254">
                  <c:v>141.669589441934</c:v>
                </c:pt>
                <c:pt idx="255">
                  <c:v>143.772985539778</c:v>
                </c:pt>
                <c:pt idx="256">
                  <c:v>145.150865308495</c:v>
                </c:pt>
                <c:pt idx="257">
                  <c:v>145.939513583389</c:v>
                </c:pt>
                <c:pt idx="258">
                  <c:v>145.953542904671</c:v>
                </c:pt>
                <c:pt idx="259">
                  <c:v>146.261686925675</c:v>
                </c:pt>
                <c:pt idx="260">
                  <c:v>144.639296128909</c:v>
                </c:pt>
                <c:pt idx="261">
                  <c:v>143.112104297983</c:v>
                </c:pt>
                <c:pt idx="262">
                  <c:v>145.515627661813</c:v>
                </c:pt>
                <c:pt idx="263">
                  <c:v>146.753715264904</c:v>
                </c:pt>
                <c:pt idx="264">
                  <c:v>146.209076970869</c:v>
                </c:pt>
                <c:pt idx="265">
                  <c:v>144.02000180377</c:v>
                </c:pt>
                <c:pt idx="266">
                  <c:v>142.687216282029</c:v>
                </c:pt>
                <c:pt idx="267">
                  <c:v>139.967532142177</c:v>
                </c:pt>
                <c:pt idx="268">
                  <c:v>138.464891623493</c:v>
                </c:pt>
                <c:pt idx="269">
                  <c:v>136.631559960317</c:v>
                </c:pt>
                <c:pt idx="270">
                  <c:v>143.111102203606</c:v>
                </c:pt>
                <c:pt idx="271">
                  <c:v>146.785281237787</c:v>
                </c:pt>
                <c:pt idx="272">
                  <c:v>148.209257347857</c:v>
                </c:pt>
                <c:pt idx="273">
                  <c:v>149.268471104609</c:v>
                </c:pt>
                <c:pt idx="274">
                  <c:v>149.555070096502</c:v>
                </c:pt>
                <c:pt idx="275">
                  <c:v>151.474581876121</c:v>
                </c:pt>
                <c:pt idx="276">
                  <c:v>151.4094457416</c:v>
                </c:pt>
                <c:pt idx="277">
                  <c:v>151.381387099037</c:v>
                </c:pt>
                <c:pt idx="278">
                  <c:v>152.050786143039</c:v>
                </c:pt>
                <c:pt idx="279">
                  <c:v>151.950576705314</c:v>
                </c:pt>
                <c:pt idx="280">
                  <c:v>153.467747592468</c:v>
                </c:pt>
                <c:pt idx="281">
                  <c:v>153.455221412753</c:v>
                </c:pt>
                <c:pt idx="282">
                  <c:v>152.407531741339</c:v>
                </c:pt>
                <c:pt idx="283">
                  <c:v>151.506147849004</c:v>
                </c:pt>
                <c:pt idx="284">
                  <c:v>150.13127436342</c:v>
                </c:pt>
                <c:pt idx="285">
                  <c:v>147.064364521851</c:v>
                </c:pt>
                <c:pt idx="286">
                  <c:v>147.386036816947</c:v>
                </c:pt>
                <c:pt idx="287">
                  <c:v>150.133779599363</c:v>
                </c:pt>
                <c:pt idx="288">
                  <c:v>151.289695463519</c:v>
                </c:pt>
                <c:pt idx="289">
                  <c:v>145.595795211993</c:v>
                </c:pt>
                <c:pt idx="290">
                  <c:v>147.924662544718</c:v>
                </c:pt>
                <c:pt idx="291">
                  <c:v>149.503462236073</c:v>
                </c:pt>
                <c:pt idx="292">
                  <c:v>152.77530037779</c:v>
                </c:pt>
                <c:pt idx="293">
                  <c:v>151.123347796896</c:v>
                </c:pt>
                <c:pt idx="294">
                  <c:v>149.693860167751</c:v>
                </c:pt>
                <c:pt idx="295">
                  <c:v>149.875239250033</c:v>
                </c:pt>
                <c:pt idx="296">
                  <c:v>151.30021745448</c:v>
                </c:pt>
                <c:pt idx="297">
                  <c:v>152.065817558698</c:v>
                </c:pt>
                <c:pt idx="298">
                  <c:v>150.624304797026</c:v>
                </c:pt>
                <c:pt idx="299">
                  <c:v>149.607680051307</c:v>
                </c:pt>
                <c:pt idx="300">
                  <c:v>149.416781072441</c:v>
                </c:pt>
                <c:pt idx="301">
                  <c:v>147.521319557876</c:v>
                </c:pt>
                <c:pt idx="302">
                  <c:v>145.883396298263</c:v>
                </c:pt>
                <c:pt idx="303">
                  <c:v>147.748794981511</c:v>
                </c:pt>
                <c:pt idx="304">
                  <c:v>147.67263580884</c:v>
                </c:pt>
                <c:pt idx="305">
                  <c:v>148.457776753415</c:v>
                </c:pt>
                <c:pt idx="306">
                  <c:v>145.798719323386</c:v>
                </c:pt>
                <c:pt idx="307">
                  <c:v>143.549017446463</c:v>
                </c:pt>
                <c:pt idx="308">
                  <c:v>145.376837590564</c:v>
                </c:pt>
                <c:pt idx="309">
                  <c:v>148.76191239691</c:v>
                </c:pt>
                <c:pt idx="310">
                  <c:v>147.214678678438</c:v>
                </c:pt>
                <c:pt idx="311">
                  <c:v>148.984878395847</c:v>
                </c:pt>
                <c:pt idx="312">
                  <c:v>146.684570752874</c:v>
                </c:pt>
                <c:pt idx="313">
                  <c:v>147.142527883276</c:v>
                </c:pt>
                <c:pt idx="314">
                  <c:v>148.500866811636</c:v>
                </c:pt>
                <c:pt idx="315">
                  <c:v>149.04951348318</c:v>
                </c:pt>
                <c:pt idx="316">
                  <c:v>148.659197723242</c:v>
                </c:pt>
                <c:pt idx="317">
                  <c:v>143.407722139271</c:v>
                </c:pt>
                <c:pt idx="318">
                  <c:v>145.351785231133</c:v>
                </c:pt>
                <c:pt idx="319">
                  <c:v>146.119890571294</c:v>
                </c:pt>
                <c:pt idx="320">
                  <c:v>146.484652924612</c:v>
                </c:pt>
                <c:pt idx="321">
                  <c:v>143.895241053802</c:v>
                </c:pt>
                <c:pt idx="322">
                  <c:v>143.263420548947</c:v>
                </c:pt>
                <c:pt idx="323">
                  <c:v>144.363219127977</c:v>
                </c:pt>
                <c:pt idx="324">
                  <c:v>143.713861971521</c:v>
                </c:pt>
                <c:pt idx="325">
                  <c:v>145.153370544438</c:v>
                </c:pt>
                <c:pt idx="326">
                  <c:v>146.837390145404</c:v>
                </c:pt>
                <c:pt idx="327">
                  <c:v>148.956819753284</c:v>
                </c:pt>
                <c:pt idx="328">
                  <c:v>149.260955396779</c:v>
                </c:pt>
                <c:pt idx="329">
                  <c:v>146.617430429598</c:v>
                </c:pt>
                <c:pt idx="330">
                  <c:v>146.647994308104</c:v>
                </c:pt>
                <c:pt idx="331">
                  <c:v>145.268611397821</c:v>
                </c:pt>
                <c:pt idx="332">
                  <c:v>146.484652924612</c:v>
                </c:pt>
                <c:pt idx="333">
                  <c:v>147.55639286108</c:v>
                </c:pt>
                <c:pt idx="334">
                  <c:v>148.541952681104</c:v>
                </c:pt>
                <c:pt idx="335">
                  <c:v>149.736449178784</c:v>
                </c:pt>
                <c:pt idx="336">
                  <c:v>148.818530729224</c:v>
                </c:pt>
                <c:pt idx="337">
                  <c:v>147.272800152318</c:v>
                </c:pt>
                <c:pt idx="338">
                  <c:v>147.085408503773</c:v>
                </c:pt>
                <c:pt idx="339">
                  <c:v>149.544047058352</c:v>
                </c:pt>
                <c:pt idx="340">
                  <c:v>151.397420609073</c:v>
                </c:pt>
                <c:pt idx="341">
                  <c:v>150.616288042008</c:v>
                </c:pt>
                <c:pt idx="342">
                  <c:v>149.372688919842</c:v>
                </c:pt>
                <c:pt idx="343">
                  <c:v>152.070828030584</c:v>
                </c:pt>
                <c:pt idx="344">
                  <c:v>152.295297171088</c:v>
                </c:pt>
                <c:pt idx="345">
                  <c:v>152.403022316642</c:v>
                </c:pt>
                <c:pt idx="346">
                  <c:v>153.334970087483</c:v>
                </c:pt>
                <c:pt idx="347">
                  <c:v>153.699732440801</c:v>
                </c:pt>
                <c:pt idx="348">
                  <c:v>154.67978074175</c:v>
                </c:pt>
                <c:pt idx="349">
                  <c:v>156.154362617871</c:v>
                </c:pt>
                <c:pt idx="350">
                  <c:v>156.07469611488</c:v>
                </c:pt>
                <c:pt idx="351">
                  <c:v>156.088224388973</c:v>
                </c:pt>
                <c:pt idx="352">
                  <c:v>157.232115120602</c:v>
                </c:pt>
                <c:pt idx="353">
                  <c:v>157.030694150775</c:v>
                </c:pt>
                <c:pt idx="354">
                  <c:v>157.846398973855</c:v>
                </c:pt>
                <c:pt idx="355">
                  <c:v>157.730657073283</c:v>
                </c:pt>
                <c:pt idx="356">
                  <c:v>156.680963213115</c:v>
                </c:pt>
                <c:pt idx="357">
                  <c:v>157.707107855418</c:v>
                </c:pt>
                <c:pt idx="358">
                  <c:v>158.324397991803</c:v>
                </c:pt>
                <c:pt idx="359">
                  <c:v>158.449659788959</c:v>
                </c:pt>
                <c:pt idx="360">
                  <c:v>159.0248619615</c:v>
                </c:pt>
                <c:pt idx="361">
                  <c:v>158.005731979838</c:v>
                </c:pt>
                <c:pt idx="362">
                  <c:v>157.242637111563</c:v>
                </c:pt>
                <c:pt idx="363">
                  <c:v>157.161968514195</c:v>
                </c:pt>
                <c:pt idx="364">
                  <c:v>157.794791113427</c:v>
                </c:pt>
                <c:pt idx="365">
                  <c:v>158.057840887455</c:v>
                </c:pt>
                <c:pt idx="366">
                  <c:v>157.198043911776</c:v>
                </c:pt>
                <c:pt idx="367">
                  <c:v>158.235211592228</c:v>
                </c:pt>
                <c:pt idx="368">
                  <c:v>158.935675561924</c:v>
                </c:pt>
                <c:pt idx="369">
                  <c:v>158.478219478711</c:v>
                </c:pt>
                <c:pt idx="370">
                  <c:v>157.814331953783</c:v>
                </c:pt>
                <c:pt idx="371">
                  <c:v>157.544267519115</c:v>
                </c:pt>
                <c:pt idx="372">
                  <c:v>157.128398352557</c:v>
                </c:pt>
                <c:pt idx="373">
                  <c:v>157.551282179756</c:v>
                </c:pt>
                <c:pt idx="374">
                  <c:v>158.67513102384</c:v>
                </c:pt>
                <c:pt idx="375">
                  <c:v>158.513793829103</c:v>
                </c:pt>
                <c:pt idx="376">
                  <c:v>159.129079776733</c:v>
                </c:pt>
                <c:pt idx="377">
                  <c:v>157.608401559259</c:v>
                </c:pt>
                <c:pt idx="378">
                  <c:v>157.226603601527</c:v>
                </c:pt>
                <c:pt idx="379">
                  <c:v>157.25466224409</c:v>
                </c:pt>
                <c:pt idx="380">
                  <c:v>158.454670260845</c:v>
                </c:pt>
                <c:pt idx="381">
                  <c:v>158.871541521781</c:v>
                </c:pt>
                <c:pt idx="382">
                  <c:v>159.575512821798</c:v>
                </c:pt>
                <c:pt idx="383">
                  <c:v>159.56749606678</c:v>
                </c:pt>
                <c:pt idx="384">
                  <c:v>157.853914681685</c:v>
                </c:pt>
                <c:pt idx="385">
                  <c:v>156.648395145855</c:v>
                </c:pt>
                <c:pt idx="386">
                  <c:v>158.571915302983</c:v>
                </c:pt>
                <c:pt idx="387">
                  <c:v>158.892585503703</c:v>
                </c:pt>
                <c:pt idx="388">
                  <c:v>158.575923680492</c:v>
                </c:pt>
                <c:pt idx="389">
                  <c:v>157.794290066238</c:v>
                </c:pt>
                <c:pt idx="390">
                  <c:v>157.423014099468</c:v>
                </c:pt>
                <c:pt idx="391">
                  <c:v>158.114960266958</c:v>
                </c:pt>
                <c:pt idx="392">
                  <c:v>157.960637732862</c:v>
                </c:pt>
                <c:pt idx="393">
                  <c:v>159.184194967482</c:v>
                </c:pt>
                <c:pt idx="394">
                  <c:v>161.645338758004</c:v>
                </c:pt>
                <c:pt idx="395">
                  <c:v>162.928520608071</c:v>
                </c:pt>
                <c:pt idx="396">
                  <c:v>163.287270395126</c:v>
                </c:pt>
                <c:pt idx="397">
                  <c:v>162.722089166358</c:v>
                </c:pt>
                <c:pt idx="398">
                  <c:v>162.923009088996</c:v>
                </c:pt>
                <c:pt idx="399">
                  <c:v>163.141966710425</c:v>
                </c:pt>
                <c:pt idx="400">
                  <c:v>163.163511739536</c:v>
                </c:pt>
                <c:pt idx="401">
                  <c:v>163.986732270445</c:v>
                </c:pt>
                <c:pt idx="402">
                  <c:v>165.637181709773</c:v>
                </c:pt>
                <c:pt idx="403">
                  <c:v>165.977392750849</c:v>
                </c:pt>
                <c:pt idx="404">
                  <c:v>166.493972402321</c:v>
                </c:pt>
                <c:pt idx="405">
                  <c:v>166.03551422473</c:v>
                </c:pt>
                <c:pt idx="406">
                  <c:v>164.849535529256</c:v>
                </c:pt>
                <c:pt idx="407">
                  <c:v>165.309997895602</c:v>
                </c:pt>
                <c:pt idx="408">
                  <c:v>166.594181840046</c:v>
                </c:pt>
                <c:pt idx="409">
                  <c:v>166.694892324959</c:v>
                </c:pt>
                <c:pt idx="410">
                  <c:v>166.717439448447</c:v>
                </c:pt>
                <c:pt idx="411">
                  <c:v>167.401869908108</c:v>
                </c:pt>
                <c:pt idx="412">
                  <c:v>169.665100059124</c:v>
                </c:pt>
                <c:pt idx="413">
                  <c:v>171.680812898959</c:v>
                </c:pt>
                <c:pt idx="414">
                  <c:v>171.120141094888</c:v>
                </c:pt>
                <c:pt idx="415">
                  <c:v>172.702448116564</c:v>
                </c:pt>
                <c:pt idx="416">
                  <c:v>173.598821537012</c:v>
                </c:pt>
                <c:pt idx="417">
                  <c:v>174.141956689481</c:v>
                </c:pt>
                <c:pt idx="418">
                  <c:v>173.984627872253</c:v>
                </c:pt>
                <c:pt idx="419">
                  <c:v>173.89844775581</c:v>
                </c:pt>
                <c:pt idx="420">
                  <c:v>174.056277620226</c:v>
                </c:pt>
                <c:pt idx="421">
                  <c:v>173.9164854546</c:v>
                </c:pt>
                <c:pt idx="422">
                  <c:v>174.16400276578</c:v>
                </c:pt>
                <c:pt idx="423">
                  <c:v>175.561423374853</c:v>
                </c:pt>
                <c:pt idx="424">
                  <c:v>176.664228237015</c:v>
                </c:pt>
                <c:pt idx="425">
                  <c:v>176.219799380706</c:v>
                </c:pt>
                <c:pt idx="426">
                  <c:v>174.333356715535</c:v>
                </c:pt>
                <c:pt idx="427">
                  <c:v>175.987814532373</c:v>
                </c:pt>
                <c:pt idx="428">
                  <c:v>175.833993045465</c:v>
                </c:pt>
                <c:pt idx="429">
                  <c:v>178.602779809802</c:v>
                </c:pt>
                <c:pt idx="430">
                  <c:v>178.90591335892</c:v>
                </c:pt>
                <c:pt idx="431">
                  <c:v>178.924953152088</c:v>
                </c:pt>
                <c:pt idx="432">
                  <c:v>177.857722640318</c:v>
                </c:pt>
                <c:pt idx="433">
                  <c:v>177.483941437605</c:v>
                </c:pt>
                <c:pt idx="434">
                  <c:v>176.550490525198</c:v>
                </c:pt>
                <c:pt idx="435">
                  <c:v>175.687687266387</c:v>
                </c:pt>
                <c:pt idx="436">
                  <c:v>177.283021514966</c:v>
                </c:pt>
                <c:pt idx="437">
                  <c:v>178.59626619635</c:v>
                </c:pt>
                <c:pt idx="438">
                  <c:v>176.829573809261</c:v>
                </c:pt>
                <c:pt idx="439">
                  <c:v>178.27609704282</c:v>
                </c:pt>
                <c:pt idx="440">
                  <c:v>179.326792997365</c:v>
                </c:pt>
                <c:pt idx="441">
                  <c:v>179.835355893818</c:v>
                </c:pt>
                <c:pt idx="442">
                  <c:v>180.296319307352</c:v>
                </c:pt>
                <c:pt idx="443">
                  <c:v>181.99787555992</c:v>
                </c:pt>
                <c:pt idx="444">
                  <c:v>183.769578418895</c:v>
                </c:pt>
                <c:pt idx="445">
                  <c:v>185.157479131385</c:v>
                </c:pt>
                <c:pt idx="446">
                  <c:v>184.573258109449</c:v>
                </c:pt>
                <c:pt idx="447">
                  <c:v>183.048571514465</c:v>
                </c:pt>
                <c:pt idx="448">
                  <c:v>182.1617179906</c:v>
                </c:pt>
                <c:pt idx="449">
                  <c:v>181.528394344179</c:v>
                </c:pt>
                <c:pt idx="450">
                  <c:v>181.63361425379</c:v>
                </c:pt>
                <c:pt idx="451">
                  <c:v>183.066609213256</c:v>
                </c:pt>
                <c:pt idx="452">
                  <c:v>182.490905993526</c:v>
                </c:pt>
                <c:pt idx="453">
                  <c:v>178.946498181199</c:v>
                </c:pt>
                <c:pt idx="454">
                  <c:v>177.086611017026</c:v>
                </c:pt>
                <c:pt idx="455">
                  <c:v>179.672014510327</c:v>
                </c:pt>
                <c:pt idx="456">
                  <c:v>179.264162098786</c:v>
                </c:pt>
                <c:pt idx="457">
                  <c:v>178.665410708381</c:v>
                </c:pt>
                <c:pt idx="458">
                  <c:v>179.54324538285</c:v>
                </c:pt>
                <c:pt idx="459">
                  <c:v>181.063923600325</c:v>
                </c:pt>
                <c:pt idx="460">
                  <c:v>180.820414666653</c:v>
                </c:pt>
                <c:pt idx="461">
                  <c:v>180.549348137608</c:v>
                </c:pt>
                <c:pt idx="462">
                  <c:v>179.110340611879</c:v>
                </c:pt>
                <c:pt idx="463">
                  <c:v>181.406639877344</c:v>
                </c:pt>
                <c:pt idx="464">
                  <c:v>181.473780200619</c:v>
                </c:pt>
                <c:pt idx="465">
                  <c:v>180.368971149703</c:v>
                </c:pt>
                <c:pt idx="466">
                  <c:v>179.36136525338</c:v>
                </c:pt>
                <c:pt idx="467">
                  <c:v>178.020061929433</c:v>
                </c:pt>
                <c:pt idx="468">
                  <c:v>174.530268260665</c:v>
                </c:pt>
                <c:pt idx="469">
                  <c:v>175.400086180116</c:v>
                </c:pt>
                <c:pt idx="470">
                  <c:v>174.515236845006</c:v>
                </c:pt>
                <c:pt idx="471">
                  <c:v>175.729775230231</c:v>
                </c:pt>
                <c:pt idx="472">
                  <c:v>170.621098095019</c:v>
                </c:pt>
                <c:pt idx="473">
                  <c:v>170.896674048762</c:v>
                </c:pt>
                <c:pt idx="474">
                  <c:v>170.187692276859</c:v>
                </c:pt>
                <c:pt idx="475">
                  <c:v>172.028539647864</c:v>
                </c:pt>
                <c:pt idx="476">
                  <c:v>174.380956198455</c:v>
                </c:pt>
                <c:pt idx="477">
                  <c:v>172.327163772284</c:v>
                </c:pt>
                <c:pt idx="478">
                  <c:v>169.476706316201</c:v>
                </c:pt>
                <c:pt idx="479">
                  <c:v>172.126744896834</c:v>
                </c:pt>
                <c:pt idx="480">
                  <c:v>175.063382469361</c:v>
                </c:pt>
                <c:pt idx="481">
                  <c:v>175.535368921045</c:v>
                </c:pt>
                <c:pt idx="482">
                  <c:v>175.479752683108</c:v>
                </c:pt>
                <c:pt idx="483">
                  <c:v>174.046256676454</c:v>
                </c:pt>
                <c:pt idx="484">
                  <c:v>173.611848763917</c:v>
                </c:pt>
                <c:pt idx="485">
                  <c:v>172.574681083464</c:v>
                </c:pt>
                <c:pt idx="486">
                  <c:v>172.845246565322</c:v>
                </c:pt>
                <c:pt idx="487">
                  <c:v>170.207734164404</c:v>
                </c:pt>
                <c:pt idx="488">
                  <c:v>166.489964024812</c:v>
                </c:pt>
                <c:pt idx="489">
                  <c:v>168.059744866772</c:v>
                </c:pt>
                <c:pt idx="490">
                  <c:v>169.909611087172</c:v>
                </c:pt>
                <c:pt idx="491">
                  <c:v>171.083564650119</c:v>
                </c:pt>
                <c:pt idx="492">
                  <c:v>170.393622671383</c:v>
                </c:pt>
                <c:pt idx="493">
                  <c:v>171.220350532613</c:v>
                </c:pt>
                <c:pt idx="494">
                  <c:v>172.693429267168</c:v>
                </c:pt>
                <c:pt idx="495">
                  <c:v>172.496517722039</c:v>
                </c:pt>
                <c:pt idx="496">
                  <c:v>172.399815614635</c:v>
                </c:pt>
                <c:pt idx="497">
                  <c:v>173.903959274885</c:v>
                </c:pt>
                <c:pt idx="498">
                  <c:v>176.62614865068</c:v>
                </c:pt>
                <c:pt idx="499">
                  <c:v>178.42540910503</c:v>
                </c:pt>
                <c:pt idx="500">
                  <c:v>179.627922357728</c:v>
                </c:pt>
                <c:pt idx="501">
                  <c:v>177.830666092133</c:v>
                </c:pt>
                <c:pt idx="502">
                  <c:v>178.500065136135</c:v>
                </c:pt>
                <c:pt idx="503">
                  <c:v>180.41005701917</c:v>
                </c:pt>
                <c:pt idx="504">
                  <c:v>180.935655520037</c:v>
                </c:pt>
                <c:pt idx="505">
                  <c:v>182.504935314808</c:v>
                </c:pt>
                <c:pt idx="506">
                  <c:v>182.960387209267</c:v>
                </c:pt>
                <c:pt idx="507">
                  <c:v>182.939844274534</c:v>
                </c:pt>
                <c:pt idx="508">
                  <c:v>183.464440681023</c:v>
                </c:pt>
                <c:pt idx="509">
                  <c:v>181.5098555982</c:v>
                </c:pt>
                <c:pt idx="510">
                  <c:v>179.759697768336</c:v>
                </c:pt>
                <c:pt idx="511">
                  <c:v>177.941898568007</c:v>
                </c:pt>
                <c:pt idx="512">
                  <c:v>176.540469581425</c:v>
                </c:pt>
                <c:pt idx="513">
                  <c:v>171.850166848714</c:v>
                </c:pt>
                <c:pt idx="514">
                  <c:v>173.141365453798</c:v>
                </c:pt>
                <c:pt idx="515">
                  <c:v>171.459851088776</c:v>
                </c:pt>
                <c:pt idx="516">
                  <c:v>171.377679349841</c:v>
                </c:pt>
                <c:pt idx="517">
                  <c:v>173.761661873315</c:v>
                </c:pt>
                <c:pt idx="518">
                  <c:v>176.136625547394</c:v>
                </c:pt>
                <c:pt idx="519">
                  <c:v>178.172380274774</c:v>
                </c:pt>
                <c:pt idx="520">
                  <c:v>175.969776833582</c:v>
                </c:pt>
                <c:pt idx="521">
                  <c:v>175.52985740197</c:v>
                </c:pt>
                <c:pt idx="522">
                  <c:v>172.496517722039</c:v>
                </c:pt>
                <c:pt idx="523">
                  <c:v>173.029130883547</c:v>
                </c:pt>
                <c:pt idx="524">
                  <c:v>175.003757853915</c:v>
                </c:pt>
                <c:pt idx="525">
                  <c:v>176.427232916796</c:v>
                </c:pt>
                <c:pt idx="526">
                  <c:v>174.111392810975</c:v>
                </c:pt>
                <c:pt idx="527">
                  <c:v>168.780751771202</c:v>
                </c:pt>
                <c:pt idx="528">
                  <c:v>173.887925764849</c:v>
                </c:pt>
                <c:pt idx="529">
                  <c:v>173.584792215731</c:v>
                </c:pt>
                <c:pt idx="530">
                  <c:v>173.408423605335</c:v>
                </c:pt>
                <c:pt idx="531">
                  <c:v>173.124830896574</c:v>
                </c:pt>
                <c:pt idx="532">
                  <c:v>172.42687216282</c:v>
                </c:pt>
                <c:pt idx="533">
                  <c:v>171.279975148059</c:v>
                </c:pt>
                <c:pt idx="534">
                  <c:v>170.989868825846</c:v>
                </c:pt>
                <c:pt idx="535">
                  <c:v>162.819793368139</c:v>
                </c:pt>
                <c:pt idx="536">
                  <c:v>166.932889739556</c:v>
                </c:pt>
                <c:pt idx="537">
                  <c:v>168.290727620727</c:v>
                </c:pt>
                <c:pt idx="538">
                  <c:v>166.407291238689</c:v>
                </c:pt>
                <c:pt idx="539">
                  <c:v>165.326031405638</c:v>
                </c:pt>
                <c:pt idx="540">
                  <c:v>162.793738914331</c:v>
                </c:pt>
                <c:pt idx="541">
                  <c:v>158.963734204487</c:v>
                </c:pt>
                <c:pt idx="542">
                  <c:v>160.469882053492</c:v>
                </c:pt>
                <c:pt idx="543">
                  <c:v>163.795833291579</c:v>
                </c:pt>
                <c:pt idx="544">
                  <c:v>166.296559810003</c:v>
                </c:pt>
                <c:pt idx="545">
                  <c:v>166.652804361115</c:v>
                </c:pt>
                <c:pt idx="546">
                  <c:v>169.066348668718</c:v>
                </c:pt>
                <c:pt idx="547">
                  <c:v>166.978986080909</c:v>
                </c:pt>
                <c:pt idx="548">
                  <c:v>170.109027868245</c:v>
                </c:pt>
                <c:pt idx="549">
                  <c:v>173.232556042128</c:v>
                </c:pt>
                <c:pt idx="550">
                  <c:v>171.534507119881</c:v>
                </c:pt>
                <c:pt idx="551">
                  <c:v>173.517651892455</c:v>
                </c:pt>
                <c:pt idx="552">
                  <c:v>172.817688969947</c:v>
                </c:pt>
                <c:pt idx="553">
                  <c:v>172.588209357557</c:v>
                </c:pt>
                <c:pt idx="554">
                  <c:v>171.889248529426</c:v>
                </c:pt>
                <c:pt idx="555">
                  <c:v>172.580693649728</c:v>
                </c:pt>
                <c:pt idx="556">
                  <c:v>173.615857141426</c:v>
                </c:pt>
                <c:pt idx="557">
                  <c:v>175.348979366877</c:v>
                </c:pt>
                <c:pt idx="558">
                  <c:v>175.013277750499</c:v>
                </c:pt>
                <c:pt idx="559">
                  <c:v>177.074585884499</c:v>
                </c:pt>
                <c:pt idx="560">
                  <c:v>180.912106302172</c:v>
                </c:pt>
                <c:pt idx="561">
                  <c:v>179.950095700013</c:v>
                </c:pt>
                <c:pt idx="562">
                  <c:v>178.449459370083</c:v>
                </c:pt>
                <c:pt idx="563">
                  <c:v>176.764938721929</c:v>
                </c:pt>
                <c:pt idx="564">
                  <c:v>178.215971380185</c:v>
                </c:pt>
                <c:pt idx="565">
                  <c:v>177.119680131475</c:v>
                </c:pt>
                <c:pt idx="566">
                  <c:v>175.670150614785</c:v>
                </c:pt>
                <c:pt idx="567">
                  <c:v>175.122506037619</c:v>
                </c:pt>
                <c:pt idx="568">
                  <c:v>172.096181018328</c:v>
                </c:pt>
                <c:pt idx="569">
                  <c:v>169.941678107244</c:v>
                </c:pt>
                <c:pt idx="570">
                  <c:v>171.724404004369</c:v>
                </c:pt>
                <c:pt idx="571">
                  <c:v>174.290266657314</c:v>
                </c:pt>
                <c:pt idx="572">
                  <c:v>172.079145413915</c:v>
                </c:pt>
                <c:pt idx="573">
                  <c:v>169.894579671513</c:v>
                </c:pt>
                <c:pt idx="574">
                  <c:v>172.368249641751</c:v>
                </c:pt>
                <c:pt idx="575">
                  <c:v>170.7408483731</c:v>
                </c:pt>
                <c:pt idx="576">
                  <c:v>172.811676403684</c:v>
                </c:pt>
                <c:pt idx="577">
                  <c:v>171.383691916105</c:v>
                </c:pt>
                <c:pt idx="578">
                  <c:v>171.048491346915</c:v>
                </c:pt>
                <c:pt idx="579">
                  <c:v>167.125291859987</c:v>
                </c:pt>
                <c:pt idx="580">
                  <c:v>167.175897626038</c:v>
                </c:pt>
                <c:pt idx="581">
                  <c:v>164.456213486186</c:v>
                </c:pt>
                <c:pt idx="582">
                  <c:v>163.359922237476</c:v>
                </c:pt>
                <c:pt idx="583">
                  <c:v>162.740627912337</c:v>
                </c:pt>
                <c:pt idx="584">
                  <c:v>162.009600064134</c:v>
                </c:pt>
                <c:pt idx="585">
                  <c:v>158.411079155435</c:v>
                </c:pt>
                <c:pt idx="586">
                  <c:v>158.152037758916</c:v>
                </c:pt>
                <c:pt idx="587">
                  <c:v>158.754797526831</c:v>
                </c:pt>
                <c:pt idx="588">
                  <c:v>162.933531079957</c:v>
                </c:pt>
                <c:pt idx="589">
                  <c:v>162.74313314828</c:v>
                </c:pt>
                <c:pt idx="590">
                  <c:v>158.425108476716</c:v>
                </c:pt>
                <c:pt idx="591">
                  <c:v>163.002174544799</c:v>
                </c:pt>
                <c:pt idx="592">
                  <c:v>162.486596987704</c:v>
                </c:pt>
                <c:pt idx="593">
                  <c:v>161.589221472878</c:v>
                </c:pt>
                <c:pt idx="594">
                  <c:v>160.593640709082</c:v>
                </c:pt>
                <c:pt idx="595">
                  <c:v>162.04016394264</c:v>
                </c:pt>
                <c:pt idx="596">
                  <c:v>163.866981992364</c:v>
                </c:pt>
                <c:pt idx="597">
                  <c:v>166.962952570873</c:v>
                </c:pt>
                <c:pt idx="598">
                  <c:v>166.192843041958</c:v>
                </c:pt>
                <c:pt idx="599">
                  <c:v>165.573548716818</c:v>
                </c:pt>
                <c:pt idx="600">
                  <c:v>166.628253048872</c:v>
                </c:pt>
                <c:pt idx="601">
                  <c:v>166.190337806015</c:v>
                </c:pt>
                <c:pt idx="602">
                  <c:v>166.04252888537</c:v>
                </c:pt>
                <c:pt idx="603">
                  <c:v>164.507320299426</c:v>
                </c:pt>
                <c:pt idx="604">
                  <c:v>163.905061578699</c:v>
                </c:pt>
                <c:pt idx="605">
                  <c:v>165.126113577377</c:v>
                </c:pt>
                <c:pt idx="606">
                  <c:v>162.357326813039</c:v>
                </c:pt>
                <c:pt idx="607">
                  <c:v>158.074375444679</c:v>
                </c:pt>
                <c:pt idx="608">
                  <c:v>157.650489523103</c:v>
                </c:pt>
                <c:pt idx="609">
                  <c:v>157.250152819393</c:v>
                </c:pt>
                <c:pt idx="610">
                  <c:v>153.927708911625</c:v>
                </c:pt>
                <c:pt idx="611">
                  <c:v>153.255303584492</c:v>
                </c:pt>
                <c:pt idx="612">
                  <c:v>153.822990049203</c:v>
                </c:pt>
                <c:pt idx="613">
                  <c:v>156.71553546913</c:v>
                </c:pt>
                <c:pt idx="614">
                  <c:v>154.455812648435</c:v>
                </c:pt>
                <c:pt idx="615">
                  <c:v>155.892314938221</c:v>
                </c:pt>
                <c:pt idx="616">
                  <c:v>157.321301520177</c:v>
                </c:pt>
                <c:pt idx="617">
                  <c:v>158.652082853163</c:v>
                </c:pt>
                <c:pt idx="618">
                  <c:v>158.833962982634</c:v>
                </c:pt>
                <c:pt idx="619">
                  <c:v>158.32189275586</c:v>
                </c:pt>
                <c:pt idx="620">
                  <c:v>158.132997965748</c:v>
                </c:pt>
                <c:pt idx="621">
                  <c:v>157.850407351364</c:v>
                </c:pt>
                <c:pt idx="622">
                  <c:v>158.685151967612</c:v>
                </c:pt>
                <c:pt idx="623">
                  <c:v>158.439638845186</c:v>
                </c:pt>
                <c:pt idx="624">
                  <c:v>160.232886733273</c:v>
                </c:pt>
                <c:pt idx="625">
                  <c:v>161.666883787115</c:v>
                </c:pt>
                <c:pt idx="626">
                  <c:v>162.545720555962</c:v>
                </c:pt>
                <c:pt idx="627">
                  <c:v>162.499624214609</c:v>
                </c:pt>
                <c:pt idx="628">
                  <c:v>160.919321381688</c:v>
                </c:pt>
                <c:pt idx="629">
                  <c:v>160.00090188494</c:v>
                </c:pt>
                <c:pt idx="630">
                  <c:v>159.72031545931</c:v>
                </c:pt>
                <c:pt idx="631">
                  <c:v>160.828130793358</c:v>
                </c:pt>
                <c:pt idx="632">
                  <c:v>163.125933200389</c:v>
                </c:pt>
                <c:pt idx="633">
                  <c:v>163.747732761471</c:v>
                </c:pt>
                <c:pt idx="634">
                  <c:v>165.55450892365</c:v>
                </c:pt>
                <c:pt idx="635">
                  <c:v>166.400276578048</c:v>
                </c:pt>
                <c:pt idx="636">
                  <c:v>167.544668356866</c:v>
                </c:pt>
                <c:pt idx="637">
                  <c:v>166.65831588019</c:v>
                </c:pt>
                <c:pt idx="638">
                  <c:v>165.183734004068</c:v>
                </c:pt>
                <c:pt idx="639">
                  <c:v>166.766542072932</c:v>
                </c:pt>
                <c:pt idx="640">
                  <c:v>169.650569690653</c:v>
                </c:pt>
                <c:pt idx="641">
                  <c:v>171.941858484232</c:v>
                </c:pt>
                <c:pt idx="642">
                  <c:v>173.76366606207</c:v>
                </c:pt>
                <c:pt idx="643">
                  <c:v>173.817779158441</c:v>
                </c:pt>
                <c:pt idx="644">
                  <c:v>174.245673457526</c:v>
                </c:pt>
                <c:pt idx="645">
                  <c:v>174.184044653325</c:v>
                </c:pt>
                <c:pt idx="646">
                  <c:v>174.339369281799</c:v>
                </c:pt>
                <c:pt idx="647">
                  <c:v>175.618041707168</c:v>
                </c:pt>
                <c:pt idx="648">
                  <c:v>175.714743814572</c:v>
                </c:pt>
                <c:pt idx="649">
                  <c:v>176.959846078304</c:v>
                </c:pt>
                <c:pt idx="650">
                  <c:v>177.352166026996</c:v>
                </c:pt>
                <c:pt idx="651">
                  <c:v>178.625827980479</c:v>
                </c:pt>
                <c:pt idx="652">
                  <c:v>179.818320289405</c:v>
                </c:pt>
                <c:pt idx="653">
                  <c:v>179.941076850618</c:v>
                </c:pt>
                <c:pt idx="654">
                  <c:v>177.956428936477</c:v>
                </c:pt>
                <c:pt idx="655">
                  <c:v>175.273321241395</c:v>
                </c:pt>
                <c:pt idx="656">
                  <c:v>176.143139160846</c:v>
                </c:pt>
                <c:pt idx="657">
                  <c:v>176.418214067401</c:v>
                </c:pt>
                <c:pt idx="658">
                  <c:v>175.591486206171</c:v>
                </c:pt>
                <c:pt idx="659">
                  <c:v>175.956749606678</c:v>
                </c:pt>
                <c:pt idx="660">
                  <c:v>173.491597438647</c:v>
                </c:pt>
                <c:pt idx="661">
                  <c:v>177.964946738684</c:v>
                </c:pt>
                <c:pt idx="662">
                  <c:v>175.795412411941</c:v>
                </c:pt>
                <c:pt idx="663">
                  <c:v>175.761842250303</c:v>
                </c:pt>
                <c:pt idx="664">
                  <c:v>177.027988495957</c:v>
                </c:pt>
                <c:pt idx="665">
                  <c:v>176.925774869477</c:v>
                </c:pt>
                <c:pt idx="666">
                  <c:v>176.613121423776</c:v>
                </c:pt>
                <c:pt idx="667">
                  <c:v>178.360272970508</c:v>
                </c:pt>
                <c:pt idx="668">
                  <c:v>178.706997625036</c:v>
                </c:pt>
                <c:pt idx="669">
                  <c:v>179.739154833602</c:v>
                </c:pt>
                <c:pt idx="670">
                  <c:v>181.078955015983</c:v>
                </c:pt>
                <c:pt idx="671">
                  <c:v>180.414566443868</c:v>
                </c:pt>
                <c:pt idx="672">
                  <c:v>179.148420198214</c:v>
                </c:pt>
                <c:pt idx="673">
                  <c:v>175.67566213386</c:v>
                </c:pt>
                <c:pt idx="674">
                  <c:v>176.591576394665</c:v>
                </c:pt>
                <c:pt idx="675">
                  <c:v>178.535639486527</c:v>
                </c:pt>
                <c:pt idx="676">
                  <c:v>177.554589091201</c:v>
                </c:pt>
                <c:pt idx="677">
                  <c:v>176.667234520147</c:v>
                </c:pt>
                <c:pt idx="678">
                  <c:v>173.636400076159</c:v>
                </c:pt>
                <c:pt idx="679">
                  <c:v>170.519385515728</c:v>
                </c:pt>
                <c:pt idx="680">
                  <c:v>170.430199116153</c:v>
                </c:pt>
                <c:pt idx="681">
                  <c:v>168.939082682807</c:v>
                </c:pt>
                <c:pt idx="682">
                  <c:v>168.533234460021</c:v>
                </c:pt>
                <c:pt idx="683">
                  <c:v>171.30152017717</c:v>
                </c:pt>
                <c:pt idx="684">
                  <c:v>169.227184816266</c:v>
                </c:pt>
                <c:pt idx="685">
                  <c:v>173.104789009029</c:v>
                </c:pt>
                <c:pt idx="686">
                  <c:v>173.680993275947</c:v>
                </c:pt>
                <c:pt idx="687">
                  <c:v>173.509134090249</c:v>
                </c:pt>
                <c:pt idx="688">
                  <c:v>172.771091581405</c:v>
                </c:pt>
                <c:pt idx="689">
                  <c:v>170.191199607179</c:v>
                </c:pt>
                <c:pt idx="690">
                  <c:v>171.594632782515</c:v>
                </c:pt>
                <c:pt idx="691">
                  <c:v>170.499844675372</c:v>
                </c:pt>
                <c:pt idx="692">
                  <c:v>172.216933390787</c:v>
                </c:pt>
                <c:pt idx="693">
                  <c:v>173.480574400497</c:v>
                </c:pt>
                <c:pt idx="694">
                  <c:v>175.235742702248</c:v>
                </c:pt>
                <c:pt idx="695">
                  <c:v>175.489272579692</c:v>
                </c:pt>
                <c:pt idx="696">
                  <c:v>176.007355372729</c:v>
                </c:pt>
                <c:pt idx="697">
                  <c:v>176.131114028319</c:v>
                </c:pt>
                <c:pt idx="698">
                  <c:v>177.678848793979</c:v>
                </c:pt>
                <c:pt idx="699">
                  <c:v>176.933290577307</c:v>
                </c:pt>
                <c:pt idx="700">
                  <c:v>177.740978645369</c:v>
                </c:pt>
                <c:pt idx="701">
                  <c:v>178.240522692427</c:v>
                </c:pt>
                <c:pt idx="702">
                  <c:v>180.499243418745</c:v>
                </c:pt>
                <c:pt idx="703">
                  <c:v>181.83403312924</c:v>
                </c:pt>
                <c:pt idx="704">
                  <c:v>181.207223096271</c:v>
                </c:pt>
                <c:pt idx="705">
                  <c:v>180.905091641531</c:v>
                </c:pt>
                <c:pt idx="706">
                  <c:v>181.550941467667</c:v>
                </c:pt>
                <c:pt idx="707">
                  <c:v>182.409235301781</c:v>
                </c:pt>
                <c:pt idx="708">
                  <c:v>181.950276077001</c:v>
                </c:pt>
                <c:pt idx="709">
                  <c:v>180.659578519105</c:v>
                </c:pt>
                <c:pt idx="710">
                  <c:v>183.881311941959</c:v>
                </c:pt>
                <c:pt idx="711">
                  <c:v>183.675381547434</c:v>
                </c:pt>
                <c:pt idx="712">
                  <c:v>184.419436622541</c:v>
                </c:pt>
                <c:pt idx="713">
                  <c:v>184.482067521119</c:v>
                </c:pt>
                <c:pt idx="714">
                  <c:v>183.823190468078</c:v>
                </c:pt>
                <c:pt idx="715">
                  <c:v>183.459931256326</c:v>
                </c:pt>
                <c:pt idx="716">
                  <c:v>181.97983786113</c:v>
                </c:pt>
                <c:pt idx="717">
                  <c:v>182.824102373962</c:v>
                </c:pt>
                <c:pt idx="718">
                  <c:v>183.055085127917</c:v>
                </c:pt>
                <c:pt idx="719">
                  <c:v>185.228126784981</c:v>
                </c:pt>
                <c:pt idx="720">
                  <c:v>185.515226824062</c:v>
                </c:pt>
                <c:pt idx="721">
                  <c:v>186.016274012687</c:v>
                </c:pt>
                <c:pt idx="722">
                  <c:v>186.570432203305</c:v>
                </c:pt>
                <c:pt idx="723">
                  <c:v>187.976370614584</c:v>
                </c:pt>
                <c:pt idx="724">
                  <c:v>188.519004719865</c:v>
                </c:pt>
                <c:pt idx="725">
                  <c:v>187.352566864747</c:v>
                </c:pt>
                <c:pt idx="726">
                  <c:v>187.402170536421</c:v>
                </c:pt>
                <c:pt idx="727">
                  <c:v>186.817949514485</c:v>
                </c:pt>
                <c:pt idx="728">
                  <c:v>185.993726889198</c:v>
                </c:pt>
                <c:pt idx="729">
                  <c:v>186.483249992484</c:v>
                </c:pt>
                <c:pt idx="730">
                  <c:v>185.353388582137</c:v>
                </c:pt>
                <c:pt idx="731">
                  <c:v>185.358900101212</c:v>
                </c:pt>
                <c:pt idx="732">
                  <c:v>186.469721718391</c:v>
                </c:pt>
                <c:pt idx="733">
                  <c:v>186.993817077692</c:v>
                </c:pt>
                <c:pt idx="734">
                  <c:v>184.534677475925</c:v>
                </c:pt>
                <c:pt idx="735">
                  <c:v>183.072621779519</c:v>
                </c:pt>
                <c:pt idx="736">
                  <c:v>184.590293713862</c:v>
                </c:pt>
                <c:pt idx="737">
                  <c:v>184.238057540259</c:v>
                </c:pt>
                <c:pt idx="738">
                  <c:v>182.372157809823</c:v>
                </c:pt>
                <c:pt idx="739">
                  <c:v>181.653155094147</c:v>
                </c:pt>
                <c:pt idx="740">
                  <c:v>178.440941567877</c:v>
                </c:pt>
                <c:pt idx="741">
                  <c:v>180.523293683799</c:v>
                </c:pt>
                <c:pt idx="742">
                  <c:v>181.702758765821</c:v>
                </c:pt>
                <c:pt idx="743">
                  <c:v>181.60455351685</c:v>
                </c:pt>
                <c:pt idx="744">
                  <c:v>182.290988165265</c:v>
                </c:pt>
                <c:pt idx="745">
                  <c:v>181.432193283963</c:v>
                </c:pt>
                <c:pt idx="746">
                  <c:v>182.355623252598</c:v>
                </c:pt>
                <c:pt idx="747">
                  <c:v>182.707358379012</c:v>
                </c:pt>
                <c:pt idx="748">
                  <c:v>180.807387439749</c:v>
                </c:pt>
                <c:pt idx="749">
                  <c:v>180.298323496107</c:v>
                </c:pt>
                <c:pt idx="750">
                  <c:v>178.968544257498</c:v>
                </c:pt>
                <c:pt idx="751">
                  <c:v>181.391107414496</c:v>
                </c:pt>
                <c:pt idx="752">
                  <c:v>179.516689881853</c:v>
                </c:pt>
                <c:pt idx="753">
                  <c:v>179.331803469251</c:v>
                </c:pt>
                <c:pt idx="754">
                  <c:v>178.956018077783</c:v>
                </c:pt>
                <c:pt idx="755">
                  <c:v>179.942078944995</c:v>
                </c:pt>
                <c:pt idx="756">
                  <c:v>179.323285667044</c:v>
                </c:pt>
                <c:pt idx="757">
                  <c:v>180.911104207794</c:v>
                </c:pt>
                <c:pt idx="758">
                  <c:v>182.033950957501</c:v>
                </c:pt>
                <c:pt idx="759">
                  <c:v>181.457746690583</c:v>
                </c:pt>
                <c:pt idx="760">
                  <c:v>180.65406700003</c:v>
                </c:pt>
                <c:pt idx="761">
                  <c:v>181.564970788949</c:v>
                </c:pt>
                <c:pt idx="762">
                  <c:v>181.562465553006</c:v>
                </c:pt>
                <c:pt idx="763">
                  <c:v>179.294224930104</c:v>
                </c:pt>
                <c:pt idx="764">
                  <c:v>176.412201501137</c:v>
                </c:pt>
                <c:pt idx="765">
                  <c:v>176.85913559339</c:v>
                </c:pt>
                <c:pt idx="766">
                  <c:v>176.991412051187</c:v>
                </c:pt>
                <c:pt idx="767">
                  <c:v>176.531951779219</c:v>
                </c:pt>
                <c:pt idx="768">
                  <c:v>176.472828210961</c:v>
                </c:pt>
                <c:pt idx="769">
                  <c:v>178.914431161127</c:v>
                </c:pt>
                <c:pt idx="770">
                  <c:v>178.018057740678</c:v>
                </c:pt>
                <c:pt idx="771">
                  <c:v>177.586155064084</c:v>
                </c:pt>
                <c:pt idx="772">
                  <c:v>179.091300818711</c:v>
                </c:pt>
                <c:pt idx="773">
                  <c:v>179.309256345763</c:v>
                </c:pt>
                <c:pt idx="774">
                  <c:v>178.938982473369</c:v>
                </c:pt>
                <c:pt idx="775">
                  <c:v>178.081189686445</c:v>
                </c:pt>
                <c:pt idx="776">
                  <c:v>179.674018699081</c:v>
                </c:pt>
                <c:pt idx="777">
                  <c:v>180.535819863515</c:v>
                </c:pt>
                <c:pt idx="778">
                  <c:v>180.736238738964</c:v>
                </c:pt>
                <c:pt idx="779">
                  <c:v>179.817819242216</c:v>
                </c:pt>
                <c:pt idx="780">
                  <c:v>178.819733242477</c:v>
                </c:pt>
                <c:pt idx="781">
                  <c:v>178.640358348949</c:v>
                </c:pt>
                <c:pt idx="782">
                  <c:v>175.910653265325</c:v>
                </c:pt>
                <c:pt idx="783">
                  <c:v>175.479251635919</c:v>
                </c:pt>
                <c:pt idx="784">
                  <c:v>175.02379974146</c:v>
                </c:pt>
                <c:pt idx="785">
                  <c:v>174.291268751691</c:v>
                </c:pt>
                <c:pt idx="786">
                  <c:v>173.401909991883</c:v>
                </c:pt>
                <c:pt idx="787">
                  <c:v>174.87448767925</c:v>
                </c:pt>
                <c:pt idx="788">
                  <c:v>173.581785932599</c:v>
                </c:pt>
                <c:pt idx="789">
                  <c:v>176.311992063413</c:v>
                </c:pt>
                <c:pt idx="790">
                  <c:v>177.48544457917</c:v>
                </c:pt>
                <c:pt idx="791">
                  <c:v>177.915844114199</c:v>
                </c:pt>
                <c:pt idx="792">
                  <c:v>176.264392580493</c:v>
                </c:pt>
                <c:pt idx="793">
                  <c:v>174.493691815895</c:v>
                </c:pt>
                <c:pt idx="794">
                  <c:v>171.902275756331</c:v>
                </c:pt>
                <c:pt idx="795">
                  <c:v>170.789950997585</c:v>
                </c:pt>
                <c:pt idx="796">
                  <c:v>170.076960848173</c:v>
                </c:pt>
                <c:pt idx="797">
                  <c:v>170.211742541913</c:v>
                </c:pt>
                <c:pt idx="798">
                  <c:v>171.358639556673</c:v>
                </c:pt>
                <c:pt idx="799">
                  <c:v>170.239801184476</c:v>
                </c:pt>
                <c:pt idx="800">
                  <c:v>171.433295587778</c:v>
                </c:pt>
                <c:pt idx="801">
                  <c:v>171.878225491277</c:v>
                </c:pt>
                <c:pt idx="802">
                  <c:v>171.12665470834</c:v>
                </c:pt>
                <c:pt idx="803">
                  <c:v>169.805393271938</c:v>
                </c:pt>
                <c:pt idx="804">
                  <c:v>170.21274463629</c:v>
                </c:pt>
                <c:pt idx="805">
                  <c:v>169.872032548025</c:v>
                </c:pt>
                <c:pt idx="806">
                  <c:v>171.164734294676</c:v>
                </c:pt>
                <c:pt idx="807">
                  <c:v>173.961078654388</c:v>
                </c:pt>
                <c:pt idx="808">
                  <c:v>174.344880800874</c:v>
                </c:pt>
                <c:pt idx="809">
                  <c:v>175.938210860699</c:v>
                </c:pt>
                <c:pt idx="810">
                  <c:v>176.36009259352</c:v>
                </c:pt>
                <c:pt idx="811">
                  <c:v>176.609614093455</c:v>
                </c:pt>
                <c:pt idx="812">
                  <c:v>177.594171819102</c:v>
                </c:pt>
                <c:pt idx="813">
                  <c:v>178.497058853003</c:v>
                </c:pt>
                <c:pt idx="814">
                  <c:v>178.653385575854</c:v>
                </c:pt>
                <c:pt idx="815">
                  <c:v>177.439348237817</c:v>
                </c:pt>
                <c:pt idx="816">
                  <c:v>176.971370163642</c:v>
                </c:pt>
                <c:pt idx="817">
                  <c:v>176.556503091461</c:v>
                </c:pt>
                <c:pt idx="818">
                  <c:v>176.613622470964</c:v>
                </c:pt>
                <c:pt idx="819">
                  <c:v>176.609614093455</c:v>
                </c:pt>
                <c:pt idx="820">
                  <c:v>177.805613732701</c:v>
                </c:pt>
                <c:pt idx="821">
                  <c:v>178.06465512922</c:v>
                </c:pt>
                <c:pt idx="822">
                  <c:v>178.50908398553</c:v>
                </c:pt>
                <c:pt idx="823">
                  <c:v>179.525708731248</c:v>
                </c:pt>
                <c:pt idx="824">
                  <c:v>181.028349249932</c:v>
                </c:pt>
                <c:pt idx="825">
                  <c:v>181.856580252728</c:v>
                </c:pt>
                <c:pt idx="826">
                  <c:v>181.277369702679</c:v>
                </c:pt>
                <c:pt idx="827">
                  <c:v>182.940345321722</c:v>
                </c:pt>
                <c:pt idx="828">
                  <c:v>181.068433025022</c:v>
                </c:pt>
                <c:pt idx="829">
                  <c:v>183.026525438166</c:v>
                </c:pt>
                <c:pt idx="830">
                  <c:v>183.042057901013</c:v>
                </c:pt>
                <c:pt idx="831">
                  <c:v>183.534587287431</c:v>
                </c:pt>
                <c:pt idx="832">
                  <c:v>183.353208205149</c:v>
                </c:pt>
                <c:pt idx="833">
                  <c:v>183.531581004299</c:v>
                </c:pt>
                <c:pt idx="834">
                  <c:v>184.373841328376</c:v>
                </c:pt>
                <c:pt idx="835">
                  <c:v>183.247988295538</c:v>
                </c:pt>
                <c:pt idx="836">
                  <c:v>182.19829443537</c:v>
                </c:pt>
                <c:pt idx="837">
                  <c:v>181.679209547955</c:v>
                </c:pt>
                <c:pt idx="838">
                  <c:v>182.415247868044</c:v>
                </c:pt>
                <c:pt idx="839">
                  <c:v>183.52757262679</c:v>
                </c:pt>
                <c:pt idx="840">
                  <c:v>183.864276337545</c:v>
                </c:pt>
                <c:pt idx="841">
                  <c:v>183.236965257388</c:v>
                </c:pt>
                <c:pt idx="842">
                  <c:v>183.595213997254</c:v>
                </c:pt>
                <c:pt idx="843">
                  <c:v>185.380946177511</c:v>
                </c:pt>
                <c:pt idx="844">
                  <c:v>186.376025894119</c:v>
                </c:pt>
                <c:pt idx="845">
                  <c:v>186.72876311491</c:v>
                </c:pt>
                <c:pt idx="846">
                  <c:v>185.732180256737</c:v>
                </c:pt>
                <c:pt idx="847">
                  <c:v>185.26470322975</c:v>
                </c:pt>
                <c:pt idx="848">
                  <c:v>185.729173973605</c:v>
                </c:pt>
                <c:pt idx="849">
                  <c:v>186.327925364011</c:v>
                </c:pt>
                <c:pt idx="850">
                  <c:v>186.379533224439</c:v>
                </c:pt>
                <c:pt idx="851">
                  <c:v>187.656201461054</c:v>
                </c:pt>
                <c:pt idx="852">
                  <c:v>186.735777775551</c:v>
                </c:pt>
                <c:pt idx="853">
                  <c:v>186.022787626139</c:v>
                </c:pt>
                <c:pt idx="854">
                  <c:v>186.40458558387</c:v>
                </c:pt>
                <c:pt idx="855">
                  <c:v>187.553486787386</c:v>
                </c:pt>
                <c:pt idx="856">
                  <c:v>187.951819302342</c:v>
                </c:pt>
                <c:pt idx="857">
                  <c:v>187.272399314567</c:v>
                </c:pt>
                <c:pt idx="858">
                  <c:v>188.654287460793</c:v>
                </c:pt>
                <c:pt idx="859">
                  <c:v>187.947309877644</c:v>
                </c:pt>
                <c:pt idx="860">
                  <c:v>188.561092683709</c:v>
                </c:pt>
                <c:pt idx="861">
                  <c:v>188.963433576174</c:v>
                </c:pt>
                <c:pt idx="862">
                  <c:v>188.10564078925</c:v>
                </c:pt>
                <c:pt idx="863">
                  <c:v>187.045925985309</c:v>
                </c:pt>
                <c:pt idx="864">
                  <c:v>187.303464240262</c:v>
                </c:pt>
                <c:pt idx="865">
                  <c:v>188.56810734435</c:v>
                </c:pt>
                <c:pt idx="866">
                  <c:v>190.118347345953</c:v>
                </c:pt>
                <c:pt idx="867">
                  <c:v>192.292391097394</c:v>
                </c:pt>
                <c:pt idx="868">
                  <c:v>193.63018709102</c:v>
                </c:pt>
                <c:pt idx="869">
                  <c:v>194.296078804702</c:v>
                </c:pt>
                <c:pt idx="870">
                  <c:v>194.39127777054</c:v>
                </c:pt>
                <c:pt idx="871">
                  <c:v>195.381347015262</c:v>
                </c:pt>
                <c:pt idx="872">
                  <c:v>193.722880820916</c:v>
                </c:pt>
                <c:pt idx="873">
                  <c:v>193.964385565833</c:v>
                </c:pt>
                <c:pt idx="874">
                  <c:v>194.801134370835</c:v>
                </c:pt>
                <c:pt idx="875">
                  <c:v>194.248980368971</c:v>
                </c:pt>
                <c:pt idx="876">
                  <c:v>194.544097163071</c:v>
                </c:pt>
                <c:pt idx="877">
                  <c:v>196.054754436773</c:v>
                </c:pt>
                <c:pt idx="878">
                  <c:v>197.527332124139</c:v>
                </c:pt>
                <c:pt idx="879">
                  <c:v>197.906123798739</c:v>
                </c:pt>
                <c:pt idx="880">
                  <c:v>198.746880981251</c:v>
                </c:pt>
                <c:pt idx="881">
                  <c:v>200.209938772034</c:v>
                </c:pt>
                <c:pt idx="882">
                  <c:v>197.863534787706</c:v>
                </c:pt>
                <c:pt idx="883">
                  <c:v>197.135513222635</c:v>
                </c:pt>
                <c:pt idx="884">
                  <c:v>197.218186008758</c:v>
                </c:pt>
                <c:pt idx="885">
                  <c:v>198.19723221533</c:v>
                </c:pt>
                <c:pt idx="886">
                  <c:v>197.010752472668</c:v>
                </c:pt>
                <c:pt idx="887">
                  <c:v>196.871962401419</c:v>
                </c:pt>
                <c:pt idx="888">
                  <c:v>197.951719092904</c:v>
                </c:pt>
                <c:pt idx="889">
                  <c:v>197.748794981511</c:v>
                </c:pt>
                <c:pt idx="890">
                  <c:v>195.674459620607</c:v>
                </c:pt>
                <c:pt idx="891">
                  <c:v>194.222424867974</c:v>
                </c:pt>
                <c:pt idx="892">
                  <c:v>195.57875960758</c:v>
                </c:pt>
                <c:pt idx="893">
                  <c:v>196.38344139251</c:v>
                </c:pt>
                <c:pt idx="894">
                  <c:v>196.118387429728</c:v>
                </c:pt>
                <c:pt idx="895">
                  <c:v>196.73667966049</c:v>
                </c:pt>
                <c:pt idx="896">
                  <c:v>195.840306240042</c:v>
                </c:pt>
                <c:pt idx="897">
                  <c:v>194.68990189496</c:v>
                </c:pt>
                <c:pt idx="898">
                  <c:v>194.752532793538</c:v>
                </c:pt>
                <c:pt idx="899">
                  <c:v>195.057670531411</c:v>
                </c:pt>
                <c:pt idx="900">
                  <c:v>194.058081390105</c:v>
                </c:pt>
                <c:pt idx="901">
                  <c:v>193.505927388241</c:v>
                </c:pt>
                <c:pt idx="902">
                  <c:v>194.342175146055</c:v>
                </c:pt>
                <c:pt idx="903">
                  <c:v>194.370734835807</c:v>
                </c:pt>
                <c:pt idx="904">
                  <c:v>194.847230712188</c:v>
                </c:pt>
                <c:pt idx="905">
                  <c:v>194.273030634025</c:v>
                </c:pt>
                <c:pt idx="906">
                  <c:v>193.061498531932</c:v>
                </c:pt>
                <c:pt idx="907">
                  <c:v>193.464841518774</c:v>
                </c:pt>
                <c:pt idx="908">
                  <c:v>193.831608060847</c:v>
                </c:pt>
                <c:pt idx="909">
                  <c:v>193.879708590955</c:v>
                </c:pt>
                <c:pt idx="910">
                  <c:v>192.941247206662</c:v>
                </c:pt>
                <c:pt idx="911">
                  <c:v>194.760048501368</c:v>
                </c:pt>
                <c:pt idx="912">
                  <c:v>195.697006744095</c:v>
                </c:pt>
                <c:pt idx="913">
                  <c:v>196.158972252007</c:v>
                </c:pt>
                <c:pt idx="914">
                  <c:v>196.521229369382</c:v>
                </c:pt>
                <c:pt idx="915">
                  <c:v>197.68365884699</c:v>
                </c:pt>
                <c:pt idx="916">
                  <c:v>198.614604523454</c:v>
                </c:pt>
                <c:pt idx="917">
                  <c:v>200.38229900492</c:v>
                </c:pt>
                <c:pt idx="918">
                  <c:v>200.350733032037</c:v>
                </c:pt>
                <c:pt idx="919">
                  <c:v>201.120341513764</c:v>
                </c:pt>
                <c:pt idx="920">
                  <c:v>201.452034752633</c:v>
                </c:pt>
                <c:pt idx="921">
                  <c:v>202.346403984327</c:v>
                </c:pt>
                <c:pt idx="922">
                  <c:v>201.754667254562</c:v>
                </c:pt>
                <c:pt idx="923">
                  <c:v>199.430810393723</c:v>
                </c:pt>
                <c:pt idx="924">
                  <c:v>197.836979286709</c:v>
                </c:pt>
                <c:pt idx="925">
                  <c:v>197.154553015803</c:v>
                </c:pt>
                <c:pt idx="926">
                  <c:v>197.157559298935</c:v>
                </c:pt>
                <c:pt idx="927">
                  <c:v>197.058853002776</c:v>
                </c:pt>
                <c:pt idx="928">
                  <c:v>197.577436843002</c:v>
                </c:pt>
                <c:pt idx="929">
                  <c:v>195.64439678929</c:v>
                </c:pt>
                <c:pt idx="930">
                  <c:v>196.794300087182</c:v>
                </c:pt>
                <c:pt idx="931">
                  <c:v>195.696505696907</c:v>
                </c:pt>
                <c:pt idx="932">
                  <c:v>194.768065256386</c:v>
                </c:pt>
                <c:pt idx="933">
                  <c:v>195.866861741039</c:v>
                </c:pt>
                <c:pt idx="934">
                  <c:v>196.946618432524</c:v>
                </c:pt>
                <c:pt idx="935">
                  <c:v>195.532162219038</c:v>
                </c:pt>
                <c:pt idx="936">
                  <c:v>197.310879738654</c:v>
                </c:pt>
                <c:pt idx="937">
                  <c:v>198.528424407011</c:v>
                </c:pt>
                <c:pt idx="938">
                  <c:v>198.354561032558</c:v>
                </c:pt>
                <c:pt idx="939">
                  <c:v>197.92416149753</c:v>
                </c:pt>
                <c:pt idx="940">
                  <c:v>197.730757282721</c:v>
                </c:pt>
                <c:pt idx="941">
                  <c:v>198.529927548577</c:v>
                </c:pt>
                <c:pt idx="942">
                  <c:v>197.12298704292</c:v>
                </c:pt>
                <c:pt idx="943">
                  <c:v>196.658015251876</c:v>
                </c:pt>
                <c:pt idx="944">
                  <c:v>195.835796815344</c:v>
                </c:pt>
                <c:pt idx="945">
                  <c:v>193.221332585103</c:v>
                </c:pt>
                <c:pt idx="946">
                  <c:v>191.621989959014</c:v>
                </c:pt>
                <c:pt idx="947">
                  <c:v>188.967441953683</c:v>
                </c:pt>
                <c:pt idx="948">
                  <c:v>190.871421270455</c:v>
                </c:pt>
                <c:pt idx="949">
                  <c:v>191.809882654748</c:v>
                </c:pt>
                <c:pt idx="950">
                  <c:v>191.195598801495</c:v>
                </c:pt>
                <c:pt idx="951">
                  <c:v>190.289204437274</c:v>
                </c:pt>
                <c:pt idx="952">
                  <c:v>191.733222434889</c:v>
                </c:pt>
                <c:pt idx="953">
                  <c:v>192.70876131114</c:v>
                </c:pt>
                <c:pt idx="954">
                  <c:v>194.524055275526</c:v>
                </c:pt>
                <c:pt idx="955">
                  <c:v>194.473449509475</c:v>
                </c:pt>
                <c:pt idx="956">
                  <c:v>194.842220240302</c:v>
                </c:pt>
                <c:pt idx="957">
                  <c:v>194.359210750468</c:v>
                </c:pt>
                <c:pt idx="958">
                  <c:v>194.660340110832</c:v>
                </c:pt>
                <c:pt idx="959">
                  <c:v>194.842721287491</c:v>
                </c:pt>
                <c:pt idx="960">
                  <c:v>197.16657814833</c:v>
                </c:pt>
                <c:pt idx="961">
                  <c:v>198.065957851911</c:v>
                </c:pt>
                <c:pt idx="962">
                  <c:v>197.73125832991</c:v>
                </c:pt>
                <c:pt idx="963">
                  <c:v>197.35246665531</c:v>
                </c:pt>
                <c:pt idx="964">
                  <c:v>198.24833902857</c:v>
                </c:pt>
                <c:pt idx="965">
                  <c:v>198.533434878897</c:v>
                </c:pt>
                <c:pt idx="966">
                  <c:v>198.434728582738</c:v>
                </c:pt>
                <c:pt idx="967">
                  <c:v>198.361575693199</c:v>
                </c:pt>
                <c:pt idx="968">
                  <c:v>199.313565351585</c:v>
                </c:pt>
                <c:pt idx="969">
                  <c:v>201.386898618112</c:v>
                </c:pt>
                <c:pt idx="970">
                  <c:v>201.753164112996</c:v>
                </c:pt>
                <c:pt idx="971">
                  <c:v>203.103486286338</c:v>
                </c:pt>
                <c:pt idx="972">
                  <c:v>207.301259632632</c:v>
                </c:pt>
                <c:pt idx="973">
                  <c:v>208.987784469541</c:v>
                </c:pt>
                <c:pt idx="974">
                  <c:v>209.815514425149</c:v>
                </c:pt>
                <c:pt idx="975">
                  <c:v>209.449248930264</c:v>
                </c:pt>
                <c:pt idx="976">
                  <c:v>210.133178342736</c:v>
                </c:pt>
                <c:pt idx="977">
                  <c:v>210.410758485234</c:v>
                </c:pt>
                <c:pt idx="978">
                  <c:v>209.50185888507</c:v>
                </c:pt>
                <c:pt idx="979">
                  <c:v>209.701776713331</c:v>
                </c:pt>
                <c:pt idx="980">
                  <c:v>212.270645649407</c:v>
                </c:pt>
                <c:pt idx="981">
                  <c:v>215.015883195879</c:v>
                </c:pt>
                <c:pt idx="982">
                  <c:v>214.635087332525</c:v>
                </c:pt>
                <c:pt idx="983">
                  <c:v>214.980308845487</c:v>
                </c:pt>
                <c:pt idx="984">
                  <c:v>211.944463929613</c:v>
                </c:pt>
                <c:pt idx="985">
                  <c:v>212.995660931347</c:v>
                </c:pt>
                <c:pt idx="986">
                  <c:v>213.94113697628</c:v>
                </c:pt>
                <c:pt idx="987">
                  <c:v>214.86256275616</c:v>
                </c:pt>
                <c:pt idx="988">
                  <c:v>217.001032157209</c:v>
                </c:pt>
                <c:pt idx="989">
                  <c:v>218.243128137808</c:v>
                </c:pt>
                <c:pt idx="990">
                  <c:v>217.76913749737</c:v>
                </c:pt>
                <c:pt idx="991">
                  <c:v>217.874357406981</c:v>
                </c:pt>
                <c:pt idx="992">
                  <c:v>217.111763585895</c:v>
                </c:pt>
                <c:pt idx="993">
                  <c:v>215.624154482869</c:v>
                </c:pt>
                <c:pt idx="994">
                  <c:v>217.039612790733</c:v>
                </c:pt>
                <c:pt idx="995">
                  <c:v>217.562706055656</c:v>
                </c:pt>
                <c:pt idx="996">
                  <c:v>215.580563377459</c:v>
                </c:pt>
                <c:pt idx="997">
                  <c:v>215.899730436613</c:v>
                </c:pt>
                <c:pt idx="998">
                  <c:v>216.639777134211</c:v>
                </c:pt>
                <c:pt idx="999">
                  <c:v>216.925374031726</c:v>
                </c:pt>
                <c:pt idx="1000">
                  <c:v>219.40405447385</c:v>
                </c:pt>
                <c:pt idx="1001">
                  <c:v>221.437303965287</c:v>
                </c:pt>
                <c:pt idx="1002">
                  <c:v>220.78443947851</c:v>
                </c:pt>
                <c:pt idx="1003">
                  <c:v>216.171298012847</c:v>
                </c:pt>
                <c:pt idx="1004">
                  <c:v>215.072000481005</c:v>
                </c:pt>
                <c:pt idx="1005">
                  <c:v>216.676854626169</c:v>
                </c:pt>
                <c:pt idx="1006">
                  <c:v>212.832820595044</c:v>
                </c:pt>
                <c:pt idx="1007">
                  <c:v>214.988826647694</c:v>
                </c:pt>
                <c:pt idx="1008">
                  <c:v>213.973203996352</c:v>
                </c:pt>
                <c:pt idx="1009">
                  <c:v>217.831267348759</c:v>
                </c:pt>
                <c:pt idx="1010">
                  <c:v>215.671753965788</c:v>
                </c:pt>
                <c:pt idx="1011">
                  <c:v>217.712018117866</c:v>
                </c:pt>
                <c:pt idx="1012">
                  <c:v>217.428926456294</c:v>
                </c:pt>
                <c:pt idx="1013">
                  <c:v>218.995701015122</c:v>
                </c:pt>
                <c:pt idx="1014">
                  <c:v>218.172981531401</c:v>
                </c:pt>
                <c:pt idx="1015">
                  <c:v>219.753284364321</c:v>
                </c:pt>
                <c:pt idx="1016">
                  <c:v>219.764307402471</c:v>
                </c:pt>
                <c:pt idx="1017">
                  <c:v>217.63435580363</c:v>
                </c:pt>
                <c:pt idx="1018">
                  <c:v>218.281207724143</c:v>
                </c:pt>
                <c:pt idx="1019">
                  <c:v>216.613221633213</c:v>
                </c:pt>
                <c:pt idx="1020">
                  <c:v>217.887885681073</c:v>
                </c:pt>
                <c:pt idx="1021">
                  <c:v>218.85791303825</c:v>
                </c:pt>
                <c:pt idx="1022">
                  <c:v>219.566393762965</c:v>
                </c:pt>
                <c:pt idx="1023">
                  <c:v>220.868615406199</c:v>
                </c:pt>
                <c:pt idx="1024">
                  <c:v>221.685823370845</c:v>
                </c:pt>
                <c:pt idx="1025">
                  <c:v>222.43438787065</c:v>
                </c:pt>
                <c:pt idx="1026">
                  <c:v>221.012415949334</c:v>
                </c:pt>
                <c:pt idx="1027">
                  <c:v>222.639817217986</c:v>
                </c:pt>
                <c:pt idx="1028">
                  <c:v>222.592217735066</c:v>
                </c:pt>
                <c:pt idx="1029">
                  <c:v>221.683819182091</c:v>
                </c:pt>
                <c:pt idx="1030">
                  <c:v>222.448417191931</c:v>
                </c:pt>
                <c:pt idx="1031">
                  <c:v>219.971239891373</c:v>
                </c:pt>
                <c:pt idx="1032">
                  <c:v>220.288402761772</c:v>
                </c:pt>
                <c:pt idx="1033">
                  <c:v>223.855357697588</c:v>
                </c:pt>
                <c:pt idx="1034">
                  <c:v>224.525257788779</c:v>
                </c:pt>
                <c:pt idx="1035">
                  <c:v>224.031225260795</c:v>
                </c:pt>
                <c:pt idx="1036">
                  <c:v>225.211191390005</c:v>
                </c:pt>
                <c:pt idx="1037">
                  <c:v>225.406599793569</c:v>
                </c:pt>
                <c:pt idx="1038">
                  <c:v>223.794229940576</c:v>
                </c:pt>
                <c:pt idx="1039">
                  <c:v>223.824793819082</c:v>
                </c:pt>
                <c:pt idx="1040">
                  <c:v>220.437714823982</c:v>
                </c:pt>
                <c:pt idx="1041">
                  <c:v>221.930334398894</c:v>
                </c:pt>
                <c:pt idx="1042">
                  <c:v>220.694752031746</c:v>
                </c:pt>
                <c:pt idx="1043">
                  <c:v>221.018929562786</c:v>
                </c:pt>
                <c:pt idx="1044">
                  <c:v>218.631439708992</c:v>
                </c:pt>
                <c:pt idx="1045">
                  <c:v>218.848393141666</c:v>
                </c:pt>
                <c:pt idx="1046">
                  <c:v>220.58051327274</c:v>
                </c:pt>
                <c:pt idx="1047">
                  <c:v>221.430289304647</c:v>
                </c:pt>
                <c:pt idx="1048">
                  <c:v>220.50786143039</c:v>
                </c:pt>
                <c:pt idx="1049">
                  <c:v>221.699852692127</c:v>
                </c:pt>
                <c:pt idx="1050">
                  <c:v>223.736609513884</c:v>
                </c:pt>
                <c:pt idx="1051">
                  <c:v>225.090439017547</c:v>
                </c:pt>
                <c:pt idx="1052">
                  <c:v>225.003256806726</c:v>
                </c:pt>
                <c:pt idx="1053">
                  <c:v>224.816366205369</c:v>
                </c:pt>
                <c:pt idx="1054">
                  <c:v>225.618041707168</c:v>
                </c:pt>
                <c:pt idx="1055">
                  <c:v>225.608521810584</c:v>
                </c:pt>
                <c:pt idx="1056">
                  <c:v>227.137717830265</c:v>
                </c:pt>
                <c:pt idx="1057">
                  <c:v>226.901724604423</c:v>
                </c:pt>
                <c:pt idx="1058">
                  <c:v>228.014550410358</c:v>
                </c:pt>
                <c:pt idx="1059">
                  <c:v>225.665641190087</c:v>
                </c:pt>
                <c:pt idx="1060">
                  <c:v>223.191470172661</c:v>
                </c:pt>
                <c:pt idx="1061">
                  <c:v>221.942860578609</c:v>
                </c:pt>
                <c:pt idx="1062">
                  <c:v>220.419176078003</c:v>
                </c:pt>
                <c:pt idx="1063">
                  <c:v>221.933841729214</c:v>
                </c:pt>
                <c:pt idx="1064">
                  <c:v>223.831808479723</c:v>
                </c:pt>
                <c:pt idx="1065">
                  <c:v>224.148470302933</c:v>
                </c:pt>
                <c:pt idx="1066">
                  <c:v>224.493190768707</c:v>
                </c:pt>
                <c:pt idx="1067">
                  <c:v>226.176208275295</c:v>
                </c:pt>
                <c:pt idx="1068">
                  <c:v>224.669058331914</c:v>
                </c:pt>
                <c:pt idx="1069">
                  <c:v>226.908238217875</c:v>
                </c:pt>
                <c:pt idx="1070">
                  <c:v>226.521930835446</c:v>
                </c:pt>
                <c:pt idx="1071">
                  <c:v>226.956338747983</c:v>
                </c:pt>
                <c:pt idx="1072">
                  <c:v>225.229229088796</c:v>
                </c:pt>
                <c:pt idx="1073">
                  <c:v>224.897034802738</c:v>
                </c:pt>
                <c:pt idx="1074">
                  <c:v>223.492098485835</c:v>
                </c:pt>
                <c:pt idx="1075">
                  <c:v>223.492098485835</c:v>
                </c:pt>
                <c:pt idx="1076">
                  <c:v>220.034872884328</c:v>
                </c:pt>
                <c:pt idx="1077">
                  <c:v>221.0139190909</c:v>
                </c:pt>
                <c:pt idx="1078">
                  <c:v>221.503442194186</c:v>
                </c:pt>
                <c:pt idx="1079">
                  <c:v>222.643825595495</c:v>
                </c:pt>
                <c:pt idx="1080">
                  <c:v>222.470463268231</c:v>
                </c:pt>
                <c:pt idx="1081">
                  <c:v>224.507721137177</c:v>
                </c:pt>
                <c:pt idx="1082">
                  <c:v>225.131524887014</c:v>
                </c:pt>
                <c:pt idx="1083">
                  <c:v>225.762343297492</c:v>
                </c:pt>
                <c:pt idx="1084">
                  <c:v>226.45128318185</c:v>
                </c:pt>
                <c:pt idx="1085">
                  <c:v>230.157529236103</c:v>
                </c:pt>
                <c:pt idx="1086">
                  <c:v>230.051808279304</c:v>
                </c:pt>
                <c:pt idx="1087">
                  <c:v>229.804792015312</c:v>
                </c:pt>
                <c:pt idx="1088">
                  <c:v>229.360864206191</c:v>
                </c:pt>
                <c:pt idx="1089">
                  <c:v>227.522522071129</c:v>
                </c:pt>
                <c:pt idx="1090">
                  <c:v>225.357497169083</c:v>
                </c:pt>
                <c:pt idx="1091">
                  <c:v>225.778877854716</c:v>
                </c:pt>
                <c:pt idx="1092">
                  <c:v>233.126233828702</c:v>
                </c:pt>
                <c:pt idx="1093">
                  <c:v>219.303343988937</c:v>
                </c:pt>
                <c:pt idx="1094">
                  <c:v>226.67725546392</c:v>
                </c:pt>
                <c:pt idx="1095">
                  <c:v>228.691966209378</c:v>
                </c:pt>
                <c:pt idx="1096">
                  <c:v>233.38928360273</c:v>
                </c:pt>
                <c:pt idx="1097">
                  <c:v>233.079135392971</c:v>
                </c:pt>
                <c:pt idx="1098">
                  <c:v>233.135753725286</c:v>
                </c:pt>
                <c:pt idx="1099">
                  <c:v>233.717970558467</c:v>
                </c:pt>
                <c:pt idx="1100">
                  <c:v>234.479061237987</c:v>
                </c:pt>
                <c:pt idx="1101">
                  <c:v>235.147458187612</c:v>
                </c:pt>
                <c:pt idx="1102">
                  <c:v>236.072391297812</c:v>
                </c:pt>
                <c:pt idx="1103">
                  <c:v>235.652513753745</c:v>
                </c:pt>
                <c:pt idx="1104">
                  <c:v>236.163581886142</c:v>
                </c:pt>
                <c:pt idx="1105">
                  <c:v>235.503201691535</c:v>
                </c:pt>
                <c:pt idx="1106">
                  <c:v>235.871471375174</c:v>
                </c:pt>
                <c:pt idx="1107">
                  <c:v>237.709813510236</c:v>
                </c:pt>
                <c:pt idx="1108">
                  <c:v>239.187902716678</c:v>
                </c:pt>
                <c:pt idx="1109">
                  <c:v>240.948582537503</c:v>
                </c:pt>
                <c:pt idx="1110">
                  <c:v>240.608872543616</c:v>
                </c:pt>
                <c:pt idx="1111">
                  <c:v>241.925123508132</c:v>
                </c:pt>
                <c:pt idx="1112">
                  <c:v>241.74374442585</c:v>
                </c:pt>
                <c:pt idx="1113">
                  <c:v>243.373650930445</c:v>
                </c:pt>
                <c:pt idx="1114">
                  <c:v>243.530478700484</c:v>
                </c:pt>
                <c:pt idx="1115">
                  <c:v>243.747933180347</c:v>
                </c:pt>
                <c:pt idx="1116">
                  <c:v>243.714864065898</c:v>
                </c:pt>
                <c:pt idx="1117">
                  <c:v>244.843723381868</c:v>
                </c:pt>
                <c:pt idx="1118">
                  <c:v>243.75394574661</c:v>
                </c:pt>
                <c:pt idx="1119">
                  <c:v>243.668767724544</c:v>
                </c:pt>
                <c:pt idx="1120">
                  <c:v>245.534667454981</c:v>
                </c:pt>
                <c:pt idx="1121">
                  <c:v>246.381938250944</c:v>
                </c:pt>
                <c:pt idx="1122">
                  <c:v>246.645489072161</c:v>
                </c:pt>
                <c:pt idx="1123">
                  <c:v>248.527923359822</c:v>
                </c:pt>
                <c:pt idx="1124">
                  <c:v>245.82276958844</c:v>
                </c:pt>
                <c:pt idx="1125">
                  <c:v>245.605816155766</c:v>
                </c:pt>
                <c:pt idx="1126">
                  <c:v>245.303183653837</c:v>
                </c:pt>
                <c:pt idx="1127">
                  <c:v>244.64631078955</c:v>
                </c:pt>
                <c:pt idx="1128">
                  <c:v>244.572155805634</c:v>
                </c:pt>
                <c:pt idx="1129">
                  <c:v>248.868635448086</c:v>
                </c:pt>
                <c:pt idx="1130">
                  <c:v>248.881161627802</c:v>
                </c:pt>
                <c:pt idx="1131">
                  <c:v>249.093605635779</c:v>
                </c:pt>
                <c:pt idx="1132">
                  <c:v>250.034071208826</c:v>
                </c:pt>
                <c:pt idx="1133">
                  <c:v>250.632822599232</c:v>
                </c:pt>
                <c:pt idx="1134">
                  <c:v>247.69468188514</c:v>
                </c:pt>
                <c:pt idx="1135">
                  <c:v>241.059815013378</c:v>
                </c:pt>
                <c:pt idx="1136">
                  <c:v>240.427994508523</c:v>
                </c:pt>
                <c:pt idx="1137">
                  <c:v>243.483881311942</c:v>
                </c:pt>
                <c:pt idx="1138">
                  <c:v>241.675100961008</c:v>
                </c:pt>
                <c:pt idx="1139">
                  <c:v>244.185347376016</c:v>
                </c:pt>
                <c:pt idx="1140">
                  <c:v>243.97991802868</c:v>
                </c:pt>
                <c:pt idx="1141">
                  <c:v>241.895561724003</c:v>
                </c:pt>
                <c:pt idx="1142">
                  <c:v>241.943161206922</c:v>
                </c:pt>
                <c:pt idx="1143">
                  <c:v>245.925484262108</c:v>
                </c:pt>
                <c:pt idx="1144">
                  <c:v>246.241143990941</c:v>
                </c:pt>
                <c:pt idx="1145">
                  <c:v>247.505787095029</c:v>
                </c:pt>
                <c:pt idx="1146">
                  <c:v>248.220781433195</c:v>
                </c:pt>
                <c:pt idx="1147">
                  <c:v>248.634646410999</c:v>
                </c:pt>
                <c:pt idx="1148">
                  <c:v>248.751390405948</c:v>
                </c:pt>
                <c:pt idx="1149">
                  <c:v>250.629816316101</c:v>
                </c:pt>
                <c:pt idx="1150">
                  <c:v>250.701466064074</c:v>
                </c:pt>
                <c:pt idx="1151">
                  <c:v>251.048190718602</c:v>
                </c:pt>
                <c:pt idx="1152">
                  <c:v>252.046276718341</c:v>
                </c:pt>
                <c:pt idx="1153">
                  <c:v>252.887534948041</c:v>
                </c:pt>
                <c:pt idx="1154">
                  <c:v>253.316431341504</c:v>
                </c:pt>
                <c:pt idx="1155">
                  <c:v>253.327955426842</c:v>
                </c:pt>
                <c:pt idx="1156">
                  <c:v>252.514755839705</c:v>
                </c:pt>
                <c:pt idx="1157">
                  <c:v>251.9776332535</c:v>
                </c:pt>
                <c:pt idx="1158">
                  <c:v>249.041997775351</c:v>
                </c:pt>
                <c:pt idx="1159">
                  <c:v>249.886262288182</c:v>
                </c:pt>
                <c:pt idx="1160">
                  <c:v>250.935455101161</c:v>
                </c:pt>
                <c:pt idx="1161">
                  <c:v>249.706386347466</c:v>
                </c:pt>
                <c:pt idx="1162">
                  <c:v>254.420739345232</c:v>
                </c:pt>
                <c:pt idx="1163">
                  <c:v>254.096060767003</c:v>
                </c:pt>
                <c:pt idx="1164">
                  <c:v>254.369131484803</c:v>
                </c:pt>
                <c:pt idx="1165">
                  <c:v>254.717860328086</c:v>
                </c:pt>
                <c:pt idx="1166">
                  <c:v>254.307001633414</c:v>
                </c:pt>
                <c:pt idx="1167">
                  <c:v>254.690302732711</c:v>
                </c:pt>
                <c:pt idx="1168">
                  <c:v>258.449659788959</c:v>
                </c:pt>
                <c:pt idx="1169">
                  <c:v>259.933761561664</c:v>
                </c:pt>
                <c:pt idx="1170">
                  <c:v>259.947289835757</c:v>
                </c:pt>
                <c:pt idx="1171">
                  <c:v>260.586125001253</c:v>
                </c:pt>
                <c:pt idx="1172">
                  <c:v>262.709562986642</c:v>
                </c:pt>
                <c:pt idx="1173">
                  <c:v>262.337785972683</c:v>
                </c:pt>
                <c:pt idx="1174">
                  <c:v>258.649076570031</c:v>
                </c:pt>
                <c:pt idx="1175">
                  <c:v>258.509284404405</c:v>
                </c:pt>
                <c:pt idx="1176">
                  <c:v>253.029832349611</c:v>
                </c:pt>
                <c:pt idx="1177">
                  <c:v>250.669900091191</c:v>
                </c:pt>
                <c:pt idx="1178">
                  <c:v>248.476816546582</c:v>
                </c:pt>
                <c:pt idx="1179">
                  <c:v>250.655369722721</c:v>
                </c:pt>
                <c:pt idx="1180">
                  <c:v>250.342716277019</c:v>
                </c:pt>
                <c:pt idx="1181">
                  <c:v>250.508061849265</c:v>
                </c:pt>
                <c:pt idx="1182">
                  <c:v>250.165345572246</c:v>
                </c:pt>
                <c:pt idx="1183">
                  <c:v>251.805774067802</c:v>
                </c:pt>
                <c:pt idx="1184">
                  <c:v>251.098295437464</c:v>
                </c:pt>
                <c:pt idx="1185">
                  <c:v>250.235993225842</c:v>
                </c:pt>
                <c:pt idx="1186">
                  <c:v>248.016855227425</c:v>
                </c:pt>
                <c:pt idx="1187">
                  <c:v>249.061037568518</c:v>
                </c:pt>
                <c:pt idx="1188">
                  <c:v>248.330009720315</c:v>
                </c:pt>
                <c:pt idx="1189">
                  <c:v>245.233538094618</c:v>
                </c:pt>
                <c:pt idx="1190">
                  <c:v>244.866771552545</c:v>
                </c:pt>
                <c:pt idx="1191">
                  <c:v>244.505015482358</c:v>
                </c:pt>
                <c:pt idx="1192">
                  <c:v>242.314437173693</c:v>
                </c:pt>
                <c:pt idx="1193">
                  <c:v>243.901253620066</c:v>
                </c:pt>
                <c:pt idx="1194">
                  <c:v>245.180928139812</c:v>
                </c:pt>
                <c:pt idx="1195">
                  <c:v>243.918289224479</c:v>
                </c:pt>
                <c:pt idx="1196">
                  <c:v>242.560451343308</c:v>
                </c:pt>
                <c:pt idx="1197">
                  <c:v>243.552524776783</c:v>
                </c:pt>
                <c:pt idx="1198">
                  <c:v>240.456053151086</c:v>
                </c:pt>
                <c:pt idx="1199">
                  <c:v>242.640117846299</c:v>
                </c:pt>
                <c:pt idx="1200">
                  <c:v>245.353288372699</c:v>
                </c:pt>
                <c:pt idx="1201">
                  <c:v>242.500325680673</c:v>
                </c:pt>
                <c:pt idx="1202">
                  <c:v>241.98775440671</c:v>
                </c:pt>
                <c:pt idx="1203">
                  <c:v>241.91860989468</c:v>
                </c:pt>
                <c:pt idx="1204">
                  <c:v>239.334709542945</c:v>
                </c:pt>
                <c:pt idx="1205">
                  <c:v>236.083915383151</c:v>
                </c:pt>
                <c:pt idx="1206">
                  <c:v>235.819863514746</c:v>
                </c:pt>
                <c:pt idx="1207">
                  <c:v>235.029211051097</c:v>
                </c:pt>
                <c:pt idx="1208">
                  <c:v>235.677566113177</c:v>
                </c:pt>
                <c:pt idx="1209">
                  <c:v>233.988034993136</c:v>
                </c:pt>
                <c:pt idx="1210">
                  <c:v>239.57320800473</c:v>
                </c:pt>
                <c:pt idx="1211">
                  <c:v>242.726297962742</c:v>
                </c:pt>
                <c:pt idx="1212">
                  <c:v>242.451724103376</c:v>
                </c:pt>
                <c:pt idx="1213">
                  <c:v>243.257407982684</c:v>
                </c:pt>
                <c:pt idx="1214">
                  <c:v>239.64235251676</c:v>
                </c:pt>
                <c:pt idx="1215">
                  <c:v>241.816396268201</c:v>
                </c:pt>
                <c:pt idx="1216">
                  <c:v>243.268932068022</c:v>
                </c:pt>
                <c:pt idx="1217">
                  <c:v>245.083724985219</c:v>
                </c:pt>
                <c:pt idx="1218">
                  <c:v>245.186940706076</c:v>
                </c:pt>
                <c:pt idx="1219">
                  <c:v>247.601487108056</c:v>
                </c:pt>
                <c:pt idx="1220">
                  <c:v>247.294846228618</c:v>
                </c:pt>
                <c:pt idx="1221">
                  <c:v>246.705614734796</c:v>
                </c:pt>
                <c:pt idx="1222">
                  <c:v>246.615927288032</c:v>
                </c:pt>
                <c:pt idx="1223">
                  <c:v>246.934092252808</c:v>
                </c:pt>
                <c:pt idx="1224">
                  <c:v>246.00114238759</c:v>
                </c:pt>
                <c:pt idx="1225">
                  <c:v>248.201741640028</c:v>
                </c:pt>
                <c:pt idx="1226">
                  <c:v>247.199146215591</c:v>
                </c:pt>
                <c:pt idx="1227">
                  <c:v>243.869687647183</c:v>
                </c:pt>
                <c:pt idx="1228">
                  <c:v>242.495315208786</c:v>
                </c:pt>
                <c:pt idx="1229">
                  <c:v>240.018638955417</c:v>
                </c:pt>
                <c:pt idx="1230">
                  <c:v>236.369011233478</c:v>
                </c:pt>
                <c:pt idx="1231">
                  <c:v>238.031986852522</c:v>
                </c:pt>
                <c:pt idx="1232">
                  <c:v>237.773446503192</c:v>
                </c:pt>
                <c:pt idx="1233">
                  <c:v>237.999418785261</c:v>
                </c:pt>
                <c:pt idx="1234">
                  <c:v>238.632742431682</c:v>
                </c:pt>
                <c:pt idx="1235">
                  <c:v>236.944213406019</c:v>
                </c:pt>
                <c:pt idx="1236">
                  <c:v>236.943211311641</c:v>
                </c:pt>
                <c:pt idx="1237">
                  <c:v>237.926265895722</c:v>
                </c:pt>
                <c:pt idx="1238">
                  <c:v>242.393101582307</c:v>
                </c:pt>
                <c:pt idx="1239">
                  <c:v>240.550250022547</c:v>
                </c:pt>
                <c:pt idx="1240">
                  <c:v>236.655109178182</c:v>
                </c:pt>
                <c:pt idx="1241">
                  <c:v>237.575532863685</c:v>
                </c:pt>
                <c:pt idx="1242">
                  <c:v>237.385635979197</c:v>
                </c:pt>
                <c:pt idx="1243">
                  <c:v>235.757733663356</c:v>
                </c:pt>
                <c:pt idx="1244">
                  <c:v>234.80574400497</c:v>
                </c:pt>
                <c:pt idx="1245">
                  <c:v>231.343006884388</c:v>
                </c:pt>
                <c:pt idx="1246">
                  <c:v>232.245893918289</c:v>
                </c:pt>
                <c:pt idx="1247">
                  <c:v>232.618171979437</c:v>
                </c:pt>
                <c:pt idx="1248">
                  <c:v>233.606237035404</c:v>
                </c:pt>
                <c:pt idx="1249">
                  <c:v>232.517962541712</c:v>
                </c:pt>
                <c:pt idx="1250">
                  <c:v>233.936427132707</c:v>
                </c:pt>
                <c:pt idx="1251">
                  <c:v>230.728723031135</c:v>
                </c:pt>
                <c:pt idx="1252">
                  <c:v>232.038460382199</c:v>
                </c:pt>
                <c:pt idx="1253">
                  <c:v>232.539507570823</c:v>
                </c:pt>
                <c:pt idx="1254">
                  <c:v>231.405637782966</c:v>
                </c:pt>
                <c:pt idx="1255">
                  <c:v>228.769628523614</c:v>
                </c:pt>
                <c:pt idx="1256">
                  <c:v>230.05331142087</c:v>
                </c:pt>
                <c:pt idx="1257">
                  <c:v>232.116122696436</c:v>
                </c:pt>
                <c:pt idx="1258">
                  <c:v>232.981932238378</c:v>
                </c:pt>
                <c:pt idx="1259">
                  <c:v>235.576354581074</c:v>
                </c:pt>
                <c:pt idx="1260">
                  <c:v>235.313304807047</c:v>
                </c:pt>
                <c:pt idx="1261">
                  <c:v>234.099768516199</c:v>
                </c:pt>
                <c:pt idx="1262">
                  <c:v>237.889689450953</c:v>
                </c:pt>
                <c:pt idx="1263">
                  <c:v>237.459289915924</c:v>
                </c:pt>
                <c:pt idx="1264">
                  <c:v>236.527843192272</c:v>
                </c:pt>
                <c:pt idx="1265">
                  <c:v>236.092934232546</c:v>
                </c:pt>
                <c:pt idx="1266">
                  <c:v>234.305698910723</c:v>
                </c:pt>
                <c:pt idx="1267">
                  <c:v>231.201210530008</c:v>
                </c:pt>
                <c:pt idx="1268">
                  <c:v>230.935154472848</c:v>
                </c:pt>
                <c:pt idx="1269">
                  <c:v>230.796364401599</c:v>
                </c:pt>
                <c:pt idx="1270">
                  <c:v>229.77272499524</c:v>
                </c:pt>
                <c:pt idx="1271">
                  <c:v>230.075858544358</c:v>
                </c:pt>
                <c:pt idx="1272">
                  <c:v>229.933561142788</c:v>
                </c:pt>
                <c:pt idx="1273">
                  <c:v>229.80930144001</c:v>
                </c:pt>
                <c:pt idx="1274">
                  <c:v>229.611387800503</c:v>
                </c:pt>
                <c:pt idx="1275">
                  <c:v>228.436432143179</c:v>
                </c:pt>
                <c:pt idx="1276">
                  <c:v>226.005852231163</c:v>
                </c:pt>
                <c:pt idx="1277">
                  <c:v>225.947730757283</c:v>
                </c:pt>
                <c:pt idx="1278">
                  <c:v>225.922678397851</c:v>
                </c:pt>
                <c:pt idx="1279">
                  <c:v>221.710374683088</c:v>
                </c:pt>
                <c:pt idx="1280">
                  <c:v>221.656261586716</c:v>
                </c:pt>
                <c:pt idx="1281">
                  <c:v>221.288993997455</c:v>
                </c:pt>
                <c:pt idx="1282">
                  <c:v>223.840827329118</c:v>
                </c:pt>
                <c:pt idx="1283">
                  <c:v>225.919171067531</c:v>
                </c:pt>
                <c:pt idx="1284">
                  <c:v>225.997334428957</c:v>
                </c:pt>
                <c:pt idx="1285">
                  <c:v>225.073403413133</c:v>
                </c:pt>
                <c:pt idx="1286">
                  <c:v>225.450190898979</c:v>
                </c:pt>
                <c:pt idx="1287">
                  <c:v>225.175617039613</c:v>
                </c:pt>
                <c:pt idx="1288">
                  <c:v>224.44108186109</c:v>
                </c:pt>
                <c:pt idx="1289">
                  <c:v>225.55891813891</c:v>
                </c:pt>
                <c:pt idx="1290">
                  <c:v>228.821236384043</c:v>
                </c:pt>
                <c:pt idx="1291">
                  <c:v>229.555771562566</c:v>
                </c:pt>
                <c:pt idx="1292">
                  <c:v>232.392199697368</c:v>
                </c:pt>
                <c:pt idx="1293">
                  <c:v>233.993045465022</c:v>
                </c:pt>
                <c:pt idx="1294">
                  <c:v>237.078995099759</c:v>
                </c:pt>
                <c:pt idx="1295">
                  <c:v>237.182210820615</c:v>
                </c:pt>
                <c:pt idx="1296">
                  <c:v>235.360403242777</c:v>
                </c:pt>
                <c:pt idx="1297">
                  <c:v>236.413604433266</c:v>
                </c:pt>
                <c:pt idx="1298">
                  <c:v>235.686083915383</c:v>
                </c:pt>
                <c:pt idx="1299">
                  <c:v>232.142177150244</c:v>
                </c:pt>
                <c:pt idx="1300">
                  <c:v>233.812167429929</c:v>
                </c:pt>
                <c:pt idx="1301">
                  <c:v>232.987944804642</c:v>
                </c:pt>
                <c:pt idx="1302">
                  <c:v>229.524205589682</c:v>
                </c:pt>
                <c:pt idx="1303">
                  <c:v>222.080147508292</c:v>
                </c:pt>
                <c:pt idx="1304">
                  <c:v>225.830485715145</c:v>
                </c:pt>
                <c:pt idx="1305">
                  <c:v>224.460622701446</c:v>
                </c:pt>
                <c:pt idx="1306">
                  <c:v>228.763615957351</c:v>
                </c:pt>
                <c:pt idx="1307">
                  <c:v>233.774087843593</c:v>
                </c:pt>
                <c:pt idx="1308">
                  <c:v>234.862863384474</c:v>
                </c:pt>
                <c:pt idx="1309">
                  <c:v>239.01604353098</c:v>
                </c:pt>
                <c:pt idx="1310">
                  <c:v>241.760780030263</c:v>
                </c:pt>
                <c:pt idx="1311">
                  <c:v>242.178653385576</c:v>
                </c:pt>
                <c:pt idx="1312">
                  <c:v>243.799039993587</c:v>
                </c:pt>
                <c:pt idx="1313">
                  <c:v>242.9748173683</c:v>
                </c:pt>
                <c:pt idx="1314">
                  <c:v>240.896974677075</c:v>
                </c:pt>
                <c:pt idx="1315">
                  <c:v>243.794530568889</c:v>
                </c:pt>
                <c:pt idx="1316">
                  <c:v>243.869186599994</c:v>
                </c:pt>
                <c:pt idx="1317">
                  <c:v>243.851649948392</c:v>
                </c:pt>
                <c:pt idx="1318">
                  <c:v>243.976911745548</c:v>
                </c:pt>
                <c:pt idx="1319">
                  <c:v>245.123808760309</c:v>
                </c:pt>
                <c:pt idx="1320">
                  <c:v>244.306600795663</c:v>
                </c:pt>
                <c:pt idx="1321">
                  <c:v>244.655329638945</c:v>
                </c:pt>
                <c:pt idx="1322">
                  <c:v>243.246384944534</c:v>
                </c:pt>
                <c:pt idx="1323">
                  <c:v>240.582818089808</c:v>
                </c:pt>
                <c:pt idx="1324">
                  <c:v>249.769017246044</c:v>
                </c:pt>
                <c:pt idx="1325">
                  <c:v>246.298263370444</c:v>
                </c:pt>
                <c:pt idx="1326">
                  <c:v>247.185617941498</c:v>
                </c:pt>
                <c:pt idx="1327">
                  <c:v>251.145894920384</c:v>
                </c:pt>
                <c:pt idx="1328">
                  <c:v>250.722008998808</c:v>
                </c:pt>
                <c:pt idx="1329">
                  <c:v>249.976951829323</c:v>
                </c:pt>
                <c:pt idx="1330">
                  <c:v>247.35597398563</c:v>
                </c:pt>
                <c:pt idx="1331">
                  <c:v>248.654187251355</c:v>
                </c:pt>
                <c:pt idx="1332">
                  <c:v>246.612419957712</c:v>
                </c:pt>
                <c:pt idx="1333">
                  <c:v>249.052018719123</c:v>
                </c:pt>
                <c:pt idx="1334">
                  <c:v>250.535118397451</c:v>
                </c:pt>
                <c:pt idx="1335">
                  <c:v>248.781954284454</c:v>
                </c:pt>
                <c:pt idx="1336">
                  <c:v>248.042909681234</c:v>
                </c:pt>
                <c:pt idx="1337">
                  <c:v>248.856109268371</c:v>
                </c:pt>
                <c:pt idx="1338">
                  <c:v>248.025373029632</c:v>
                </c:pt>
                <c:pt idx="1339">
                  <c:v>247.68365884699</c:v>
                </c:pt>
                <c:pt idx="1340">
                  <c:v>245.939012536201</c:v>
                </c:pt>
                <c:pt idx="1341">
                  <c:v>246.717639867323</c:v>
                </c:pt>
                <c:pt idx="1342">
                  <c:v>248.027377218386</c:v>
                </c:pt>
                <c:pt idx="1343">
                  <c:v>250.554158190618</c:v>
                </c:pt>
                <c:pt idx="1344">
                  <c:v>251.557755709433</c:v>
                </c:pt>
                <c:pt idx="1345">
                  <c:v>251.568277700394</c:v>
                </c:pt>
                <c:pt idx="1346">
                  <c:v>251.940555761542</c:v>
                </c:pt>
                <c:pt idx="1347">
                  <c:v>249.403252798349</c:v>
                </c:pt>
                <c:pt idx="1348">
                  <c:v>247.703700734535</c:v>
                </c:pt>
                <c:pt idx="1349">
                  <c:v>249.987473820284</c:v>
                </c:pt>
                <c:pt idx="1350">
                  <c:v>249.054523955066</c:v>
                </c:pt>
                <c:pt idx="1351">
                  <c:v>248.640157930074</c:v>
                </c:pt>
                <c:pt idx="1352">
                  <c:v>248.451764187151</c:v>
                </c:pt>
                <c:pt idx="1353">
                  <c:v>251.64994839214</c:v>
                </c:pt>
                <c:pt idx="1354">
                  <c:v>250.242005792106</c:v>
                </c:pt>
                <c:pt idx="1355">
                  <c:v>250.968023168422</c:v>
                </c:pt>
                <c:pt idx="1356">
                  <c:v>252.976220300428</c:v>
                </c:pt>
                <c:pt idx="1357">
                  <c:v>256.025092443206</c:v>
                </c:pt>
                <c:pt idx="1358">
                  <c:v>256.914952250203</c:v>
                </c:pt>
                <c:pt idx="1359">
                  <c:v>255.704923289675</c:v>
                </c:pt>
                <c:pt idx="1360">
                  <c:v>255.952941648044</c:v>
                </c:pt>
                <c:pt idx="1361">
                  <c:v>255.067090218557</c:v>
                </c:pt>
                <c:pt idx="1362">
                  <c:v>254.5850828231</c:v>
                </c:pt>
                <c:pt idx="1363">
                  <c:v>255.143249391228</c:v>
                </c:pt>
                <c:pt idx="1364">
                  <c:v>255.146255674359</c:v>
                </c:pt>
                <c:pt idx="1365">
                  <c:v>255.759537433235</c:v>
                </c:pt>
                <c:pt idx="1366">
                  <c:v>255.294565642192</c:v>
                </c:pt>
                <c:pt idx="1367">
                  <c:v>254.083534587287</c:v>
                </c:pt>
                <c:pt idx="1368">
                  <c:v>252.025232736419</c:v>
                </c:pt>
                <c:pt idx="1369">
                  <c:v>251.348317984588</c:v>
                </c:pt>
                <c:pt idx="1370">
                  <c:v>252.485695102765</c:v>
                </c:pt>
                <c:pt idx="1371">
                  <c:v>252.648535439068</c:v>
                </c:pt>
                <c:pt idx="1372">
                  <c:v>251.640428495556</c:v>
                </c:pt>
                <c:pt idx="1373">
                  <c:v>250.206932488902</c:v>
                </c:pt>
                <c:pt idx="1374">
                  <c:v>251.432493912277</c:v>
                </c:pt>
                <c:pt idx="1375">
                  <c:v>251.133869787857</c:v>
                </c:pt>
                <c:pt idx="1376">
                  <c:v>252.727199847682</c:v>
                </c:pt>
                <c:pt idx="1377">
                  <c:v>251.145894920384</c:v>
                </c:pt>
                <c:pt idx="1378">
                  <c:v>248.890180477197</c:v>
                </c:pt>
                <c:pt idx="1379">
                  <c:v>247.325911154313</c:v>
                </c:pt>
                <c:pt idx="1380">
                  <c:v>248.730847471215</c:v>
                </c:pt>
                <c:pt idx="1381">
                  <c:v>249.071058512291</c:v>
                </c:pt>
                <c:pt idx="1382">
                  <c:v>248.202242687216</c:v>
                </c:pt>
                <c:pt idx="1383">
                  <c:v>246.167991101402</c:v>
                </c:pt>
                <c:pt idx="1384">
                  <c:v>247.745287651191</c:v>
                </c:pt>
                <c:pt idx="1385">
                  <c:v>247.011754567045</c:v>
                </c:pt>
                <c:pt idx="1386">
                  <c:v>246.256676453788</c:v>
                </c:pt>
                <c:pt idx="1387">
                  <c:v>246.476636169594</c:v>
                </c:pt>
                <c:pt idx="1388">
                  <c:v>244.143259412171</c:v>
                </c:pt>
                <c:pt idx="1389">
                  <c:v>246.36540369372</c:v>
                </c:pt>
                <c:pt idx="1390">
                  <c:v>245.386858534337</c:v>
                </c:pt>
                <c:pt idx="1391">
                  <c:v>246.709122065116</c:v>
                </c:pt>
                <c:pt idx="1392">
                  <c:v>246.828872343197</c:v>
                </c:pt>
                <c:pt idx="1393">
                  <c:v>249.290517180908</c:v>
                </c:pt>
                <c:pt idx="1394">
                  <c:v>250.329689050115</c:v>
                </c:pt>
                <c:pt idx="1395">
                  <c:v>251.030153019811</c:v>
                </c:pt>
                <c:pt idx="1396">
                  <c:v>251.362848353058</c:v>
                </c:pt>
                <c:pt idx="1397">
                  <c:v>249.221873716067</c:v>
                </c:pt>
                <c:pt idx="1398">
                  <c:v>250.20041887545</c:v>
                </c:pt>
                <c:pt idx="1399">
                  <c:v>247.638063552825</c:v>
                </c:pt>
                <c:pt idx="1400">
                  <c:v>245.522141275265</c:v>
                </c:pt>
                <c:pt idx="1401">
                  <c:v>244.780090388913</c:v>
                </c:pt>
                <c:pt idx="1402">
                  <c:v>246.766241444619</c:v>
                </c:pt>
                <c:pt idx="1403">
                  <c:v>246.31078955016</c:v>
                </c:pt>
                <c:pt idx="1404">
                  <c:v>247.668126384143</c:v>
                </c:pt>
                <c:pt idx="1405">
                  <c:v>247.861029551763</c:v>
                </c:pt>
                <c:pt idx="1406">
                  <c:v>247.928169875039</c:v>
                </c:pt>
                <c:pt idx="1407">
                  <c:v>248.250343217324</c:v>
                </c:pt>
                <c:pt idx="1408">
                  <c:v>249.206842300408</c:v>
                </c:pt>
                <c:pt idx="1409">
                  <c:v>250.254030924632</c:v>
                </c:pt>
                <c:pt idx="1410">
                  <c:v>250.578709502861</c:v>
                </c:pt>
                <c:pt idx="1411">
                  <c:v>251.665981902176</c:v>
                </c:pt>
                <c:pt idx="1412">
                  <c:v>251.217043621168</c:v>
                </c:pt>
                <c:pt idx="1413">
                  <c:v>252.919601968113</c:v>
                </c:pt>
                <c:pt idx="1414">
                  <c:v>253.833010992975</c:v>
                </c:pt>
                <c:pt idx="1415">
                  <c:v>254.768466094137</c:v>
                </c:pt>
                <c:pt idx="1416">
                  <c:v>253.800943972903</c:v>
                </c:pt>
                <c:pt idx="1417">
                  <c:v>252.551332284475</c:v>
                </c:pt>
                <c:pt idx="1418">
                  <c:v>252.222144281548</c:v>
                </c:pt>
                <c:pt idx="1419">
                  <c:v>251.093786012767</c:v>
                </c:pt>
                <c:pt idx="1420">
                  <c:v>249.429808299346</c:v>
                </c:pt>
                <c:pt idx="1421">
                  <c:v>247.063362427473</c:v>
                </c:pt>
                <c:pt idx="1422">
                  <c:v>246.864947740778</c:v>
                </c:pt>
                <c:pt idx="1423">
                  <c:v>246.626449278993</c:v>
                </c:pt>
                <c:pt idx="1424">
                  <c:v>248.883165816557</c:v>
                </c:pt>
                <c:pt idx="1425">
                  <c:v>249.463879508172</c:v>
                </c:pt>
                <c:pt idx="1426">
                  <c:v>251.301720596046</c:v>
                </c:pt>
                <c:pt idx="1427">
                  <c:v>251.608862522672</c:v>
                </c:pt>
                <c:pt idx="1428">
                  <c:v>250.986060867213</c:v>
                </c:pt>
                <c:pt idx="1429">
                  <c:v>252.34540188995</c:v>
                </c:pt>
                <c:pt idx="1430">
                  <c:v>253.383070617591</c:v>
                </c:pt>
                <c:pt idx="1431">
                  <c:v>252.801855878787</c:v>
                </c:pt>
                <c:pt idx="1432">
                  <c:v>251.981641631009</c:v>
                </c:pt>
                <c:pt idx="1433">
                  <c:v>253.7658706697</c:v>
                </c:pt>
                <c:pt idx="1434">
                  <c:v>256.388852702147</c:v>
                </c:pt>
                <c:pt idx="1435">
                  <c:v>257.63696124901</c:v>
                </c:pt>
                <c:pt idx="1436">
                  <c:v>258.972753053883</c:v>
                </c:pt>
                <c:pt idx="1437">
                  <c:v>259.227786072892</c:v>
                </c:pt>
                <c:pt idx="1438">
                  <c:v>259.456263590905</c:v>
                </c:pt>
                <c:pt idx="1439">
                  <c:v>258.491747752803</c:v>
                </c:pt>
                <c:pt idx="1440">
                  <c:v>260.204327043521</c:v>
                </c:pt>
                <c:pt idx="1441">
                  <c:v>259.905201871912</c:v>
                </c:pt>
                <c:pt idx="1442">
                  <c:v>261.084666953934</c:v>
                </c:pt>
                <c:pt idx="1443">
                  <c:v>259.320479802788</c:v>
                </c:pt>
                <c:pt idx="1444">
                  <c:v>257.759717810223</c:v>
                </c:pt>
                <c:pt idx="1445">
                  <c:v>258.173081740838</c:v>
                </c:pt>
                <c:pt idx="1446">
                  <c:v>256.512611357738</c:v>
                </c:pt>
                <c:pt idx="1447">
                  <c:v>255.631269352948</c:v>
                </c:pt>
                <c:pt idx="1448">
                  <c:v>255.456904931306</c:v>
                </c:pt>
                <c:pt idx="1449">
                  <c:v>256.279123367839</c:v>
                </c:pt>
                <c:pt idx="1450">
                  <c:v>257.4876491868</c:v>
                </c:pt>
                <c:pt idx="1451">
                  <c:v>259.299936868054</c:v>
                </c:pt>
                <c:pt idx="1452">
                  <c:v>259.333507029692</c:v>
                </c:pt>
                <c:pt idx="1453">
                  <c:v>259.643154192262</c:v>
                </c:pt>
                <c:pt idx="1454">
                  <c:v>260.679319778337</c:v>
                </c:pt>
                <c:pt idx="1455">
                  <c:v>259.643154192262</c:v>
                </c:pt>
                <c:pt idx="1456">
                  <c:v>261.072140774218</c:v>
                </c:pt>
                <c:pt idx="1457">
                  <c:v>262.47006243048</c:v>
                </c:pt>
                <c:pt idx="1458">
                  <c:v>261.227465402692</c:v>
                </c:pt>
                <c:pt idx="1459">
                  <c:v>260.138689861811</c:v>
                </c:pt>
                <c:pt idx="1460">
                  <c:v>259.390125362007</c:v>
                </c:pt>
                <c:pt idx="1461">
                  <c:v>262.601837841088</c:v>
                </c:pt>
                <c:pt idx="1462">
                  <c:v>262.704552514756</c:v>
                </c:pt>
                <c:pt idx="1463">
                  <c:v>262.578288623223</c:v>
                </c:pt>
                <c:pt idx="1464">
                  <c:v>262.305718952611</c:v>
                </c:pt>
                <c:pt idx="1465">
                  <c:v>260.867212474071</c:v>
                </c:pt>
                <c:pt idx="1466">
                  <c:v>260.404244871782</c:v>
                </c:pt>
                <c:pt idx="1467">
                  <c:v>260.882744936918</c:v>
                </c:pt>
                <c:pt idx="1468">
                  <c:v>262.412943050977</c:v>
                </c:pt>
                <c:pt idx="1469">
                  <c:v>260.149211852772</c:v>
                </c:pt>
                <c:pt idx="1470">
                  <c:v>258.937679750679</c:v>
                </c:pt>
                <c:pt idx="1471">
                  <c:v>258.119469691656</c:v>
                </c:pt>
                <c:pt idx="1472">
                  <c:v>259.527913338878</c:v>
                </c:pt>
                <c:pt idx="1473">
                  <c:v>261.015021394715</c:v>
                </c:pt>
                <c:pt idx="1474">
                  <c:v>260.818109849586</c:v>
                </c:pt>
                <c:pt idx="1475">
                  <c:v>259.142608050826</c:v>
                </c:pt>
                <c:pt idx="1476">
                  <c:v>258.726237837079</c:v>
                </c:pt>
                <c:pt idx="1477">
                  <c:v>258.696175005762</c:v>
                </c:pt>
                <c:pt idx="1478">
                  <c:v>260.207834373841</c:v>
                </c:pt>
                <c:pt idx="1479">
                  <c:v>262.272148790973</c:v>
                </c:pt>
                <c:pt idx="1480">
                  <c:v>262.319748273892</c:v>
                </c:pt>
                <c:pt idx="1481">
                  <c:v>261.968514194667</c:v>
                </c:pt>
                <c:pt idx="1482">
                  <c:v>260.968424006173</c:v>
                </c:pt>
                <c:pt idx="1483">
                  <c:v>259.96432544017</c:v>
                </c:pt>
                <c:pt idx="1484">
                  <c:v>259.931757372909</c:v>
                </c:pt>
                <c:pt idx="1485">
                  <c:v>261.843252397511</c:v>
                </c:pt>
                <c:pt idx="1486">
                  <c:v>262.013107394454</c:v>
                </c:pt>
                <c:pt idx="1487">
                  <c:v>263.836919161047</c:v>
                </c:pt>
                <c:pt idx="1488">
                  <c:v>263.05278031085</c:v>
                </c:pt>
                <c:pt idx="1489">
                  <c:v>262.33528073674</c:v>
                </c:pt>
                <c:pt idx="1490">
                  <c:v>261.954985920574</c:v>
                </c:pt>
                <c:pt idx="1491">
                  <c:v>259.310458859015</c:v>
                </c:pt>
                <c:pt idx="1492">
                  <c:v>257.370905191851</c:v>
                </c:pt>
                <c:pt idx="1493">
                  <c:v>258.442645128318</c:v>
                </c:pt>
                <c:pt idx="1494">
                  <c:v>257.861931436703</c:v>
                </c:pt>
                <c:pt idx="1495">
                  <c:v>257.193534487078</c:v>
                </c:pt>
                <c:pt idx="1496">
                  <c:v>257.481636620537</c:v>
                </c:pt>
                <c:pt idx="1497">
                  <c:v>256.390856890902</c:v>
                </c:pt>
                <c:pt idx="1498">
                  <c:v>252.853463739215</c:v>
                </c:pt>
                <c:pt idx="1499">
                  <c:v>252.101892956279</c:v>
                </c:pt>
                <c:pt idx="1500">
                  <c:v>253.428665911756</c:v>
                </c:pt>
                <c:pt idx="1501">
                  <c:v>251.011113226644</c:v>
                </c:pt>
                <c:pt idx="1502">
                  <c:v>252.281267849806</c:v>
                </c:pt>
                <c:pt idx="1503">
                  <c:v>253.958272790131</c:v>
                </c:pt>
                <c:pt idx="1504">
                  <c:v>254.721367658406</c:v>
                </c:pt>
                <c:pt idx="1505">
                  <c:v>253.736809932759</c:v>
                </c:pt>
                <c:pt idx="1506">
                  <c:v>251.4094457416</c:v>
                </c:pt>
                <c:pt idx="1507">
                  <c:v>257.814331953783</c:v>
                </c:pt>
                <c:pt idx="1508">
                  <c:v>258.29984667956</c:v>
                </c:pt>
                <c:pt idx="1509">
                  <c:v>256.965056969065</c:v>
                </c:pt>
                <c:pt idx="1510">
                  <c:v>257.475123007085</c:v>
                </c:pt>
                <c:pt idx="1511">
                  <c:v>259.214758845988</c:v>
                </c:pt>
                <c:pt idx="1512">
                  <c:v>259.894679880951</c:v>
                </c:pt>
                <c:pt idx="1513">
                  <c:v>260.082071529497</c:v>
                </c:pt>
                <c:pt idx="1514">
                  <c:v>258.612500125262</c:v>
                </c:pt>
                <c:pt idx="1515">
                  <c:v>255.24446092333</c:v>
                </c:pt>
                <c:pt idx="1516">
                  <c:v>257.365393672776</c:v>
                </c:pt>
                <c:pt idx="1517">
                  <c:v>257.792786924673</c:v>
                </c:pt>
                <c:pt idx="1518">
                  <c:v>258.734254592097</c:v>
                </c:pt>
                <c:pt idx="1519">
                  <c:v>255.076610115141</c:v>
                </c:pt>
                <c:pt idx="1520">
                  <c:v>256.248058442144</c:v>
                </c:pt>
                <c:pt idx="1521">
                  <c:v>257.668527221894</c:v>
                </c:pt>
                <c:pt idx="1522">
                  <c:v>254.778988085098</c:v>
                </c:pt>
                <c:pt idx="1523">
                  <c:v>255.358699682336</c:v>
                </c:pt>
                <c:pt idx="1524">
                  <c:v>255.499493942339</c:v>
                </c:pt>
                <c:pt idx="1525">
                  <c:v>252.313835917067</c:v>
                </c:pt>
                <c:pt idx="1526">
                  <c:v>249.177781563468</c:v>
                </c:pt>
                <c:pt idx="1527">
                  <c:v>245.317714022307</c:v>
                </c:pt>
                <c:pt idx="1528">
                  <c:v>248.177691374974</c:v>
                </c:pt>
                <c:pt idx="1529">
                  <c:v>245.016584661943</c:v>
                </c:pt>
                <c:pt idx="1530">
                  <c:v>240.783738012446</c:v>
                </c:pt>
                <c:pt idx="1531">
                  <c:v>243.12412943051</c:v>
                </c:pt>
                <c:pt idx="1532">
                  <c:v>239.168361876321</c:v>
                </c:pt>
                <c:pt idx="1533">
                  <c:v>236.886592979327</c:v>
                </c:pt>
                <c:pt idx="1534">
                  <c:v>231.995871371166</c:v>
                </c:pt>
                <c:pt idx="1535">
                  <c:v>234.578268581335</c:v>
                </c:pt>
                <c:pt idx="1536">
                  <c:v>236.305378240523</c:v>
                </c:pt>
                <c:pt idx="1537">
                  <c:v>238.275996833382</c:v>
                </c:pt>
                <c:pt idx="1538">
                  <c:v>230.503251796254</c:v>
                </c:pt>
                <c:pt idx="1539">
                  <c:v>231.629104829093</c:v>
                </c:pt>
                <c:pt idx="1540">
                  <c:v>225.597999819623</c:v>
                </c:pt>
                <c:pt idx="1541">
                  <c:v>229.603872092674</c:v>
                </c:pt>
                <c:pt idx="1542">
                  <c:v>233.552624986221</c:v>
                </c:pt>
                <c:pt idx="1543">
                  <c:v>228.673928510587</c:v>
                </c:pt>
                <c:pt idx="1544">
                  <c:v>223.78170376086</c:v>
                </c:pt>
                <c:pt idx="1545">
                  <c:v>227.268992193685</c:v>
                </c:pt>
                <c:pt idx="1546">
                  <c:v>227.606697998818</c:v>
                </c:pt>
                <c:pt idx="1547">
                  <c:v>230.163541802367</c:v>
                </c:pt>
                <c:pt idx="1548">
                  <c:v>231.720796464611</c:v>
                </c:pt>
                <c:pt idx="1549">
                  <c:v>240.476095038631</c:v>
                </c:pt>
                <c:pt idx="1550">
                  <c:v>238.248940285196</c:v>
                </c:pt>
                <c:pt idx="1551">
                  <c:v>241.009710294516</c:v>
                </c:pt>
                <c:pt idx="1552">
                  <c:v>238.925855037027</c:v>
                </c:pt>
                <c:pt idx="1553">
                  <c:v>242.820494834203</c:v>
                </c:pt>
                <c:pt idx="1554">
                  <c:v>242.474271226864</c:v>
                </c:pt>
                <c:pt idx="1555">
                  <c:v>244.04555521039</c:v>
                </c:pt>
                <c:pt idx="1556">
                  <c:v>244.158791875019</c:v>
                </c:pt>
                <c:pt idx="1557">
                  <c:v>246.280726718842</c:v>
                </c:pt>
                <c:pt idx="1558">
                  <c:v>244.291569380004</c:v>
                </c:pt>
                <c:pt idx="1559">
                  <c:v>242.236774859456</c:v>
                </c:pt>
                <c:pt idx="1560">
                  <c:v>239.480013227646</c:v>
                </c:pt>
                <c:pt idx="1561">
                  <c:v>241.431592027337</c:v>
                </c:pt>
                <c:pt idx="1562">
                  <c:v>240.459560481406</c:v>
                </c:pt>
                <c:pt idx="1563">
                  <c:v>242.28287120081</c:v>
                </c:pt>
                <c:pt idx="1564">
                  <c:v>240.478099227385</c:v>
                </c:pt>
                <c:pt idx="1565">
                  <c:v>241.698149131685</c:v>
                </c:pt>
                <c:pt idx="1566">
                  <c:v>240.831337495365</c:v>
                </c:pt>
                <c:pt idx="1567">
                  <c:v>243.819081881132</c:v>
                </c:pt>
                <c:pt idx="1568">
                  <c:v>243.77599182291</c:v>
                </c:pt>
                <c:pt idx="1569">
                  <c:v>242.267839785151</c:v>
                </c:pt>
                <c:pt idx="1570">
                  <c:v>238.657293743925</c:v>
                </c:pt>
                <c:pt idx="1571">
                  <c:v>234.28515597599</c:v>
                </c:pt>
                <c:pt idx="1572">
                  <c:v>234.61634816767</c:v>
                </c:pt>
                <c:pt idx="1573">
                  <c:v>237.392149592649</c:v>
                </c:pt>
                <c:pt idx="1574">
                  <c:v>236.930184084737</c:v>
                </c:pt>
                <c:pt idx="1575">
                  <c:v>236.99481917207</c:v>
                </c:pt>
                <c:pt idx="1576">
                  <c:v>236.674650018539</c:v>
                </c:pt>
                <c:pt idx="1577">
                  <c:v>237.085508713211</c:v>
                </c:pt>
                <c:pt idx="1578">
                  <c:v>237.042418654989</c:v>
                </c:pt>
                <c:pt idx="1579">
                  <c:v>237.689771622691</c:v>
                </c:pt>
                <c:pt idx="1580">
                  <c:v>240.820314457216</c:v>
                </c:pt>
                <c:pt idx="1581">
                  <c:v>239.637843092062</c:v>
                </c:pt>
                <c:pt idx="1582">
                  <c:v>239.572205910353</c:v>
                </c:pt>
                <c:pt idx="1583">
                  <c:v>235.970678718522</c:v>
                </c:pt>
                <c:pt idx="1584">
                  <c:v>234.315719854496</c:v>
                </c:pt>
                <c:pt idx="1585">
                  <c:v>235.327334128328</c:v>
                </c:pt>
                <c:pt idx="1586">
                  <c:v>234.546201561263</c:v>
                </c:pt>
                <c:pt idx="1587">
                  <c:v>234.655930895572</c:v>
                </c:pt>
                <c:pt idx="1588">
                  <c:v>234.156386848513</c:v>
                </c:pt>
                <c:pt idx="1589">
                  <c:v>231.714282851159</c:v>
                </c:pt>
                <c:pt idx="1590">
                  <c:v>232.907777254462</c:v>
                </c:pt>
                <c:pt idx="1591">
                  <c:v>232.635708631039</c:v>
                </c:pt>
                <c:pt idx="1592">
                  <c:v>232.101091280777</c:v>
                </c:pt>
                <c:pt idx="1593">
                  <c:v>236.723752643024</c:v>
                </c:pt>
                <c:pt idx="1594">
                  <c:v>239.038590654468</c:v>
                </c:pt>
                <c:pt idx="1595">
                  <c:v>240.393923299696</c:v>
                </c:pt>
                <c:pt idx="1596">
                  <c:v>241.36144542093</c:v>
                </c:pt>
                <c:pt idx="1597">
                  <c:v>242.186169093405</c:v>
                </c:pt>
                <c:pt idx="1598">
                  <c:v>240.633924903047</c:v>
                </c:pt>
                <c:pt idx="1599">
                  <c:v>241.533805653817</c:v>
                </c:pt>
                <c:pt idx="1600">
                  <c:v>238.739966530048</c:v>
                </c:pt>
                <c:pt idx="1601">
                  <c:v>240.719603972302</c:v>
                </c:pt>
                <c:pt idx="1602">
                  <c:v>241.063823390887</c:v>
                </c:pt>
                <c:pt idx="1603">
                  <c:v>239.964024811857</c:v>
                </c:pt>
                <c:pt idx="1604">
                  <c:v>239.157338838172</c:v>
                </c:pt>
                <c:pt idx="1605">
                  <c:v>240.561273060697</c:v>
                </c:pt>
                <c:pt idx="1606">
                  <c:v>242.263330360453</c:v>
                </c:pt>
                <c:pt idx="1607">
                  <c:v>243.216823160405</c:v>
                </c:pt>
                <c:pt idx="1608">
                  <c:v>244.815163692117</c:v>
                </c:pt>
                <c:pt idx="1609">
                  <c:v>244.498000821717</c:v>
                </c:pt>
                <c:pt idx="1610">
                  <c:v>239.320680221663</c:v>
                </c:pt>
                <c:pt idx="1611">
                  <c:v>240.129871431291</c:v>
                </c:pt>
                <c:pt idx="1612">
                  <c:v>242.575983806155</c:v>
                </c:pt>
                <c:pt idx="1613">
                  <c:v>242.617069675622</c:v>
                </c:pt>
                <c:pt idx="1614">
                  <c:v>241.024240662986</c:v>
                </c:pt>
                <c:pt idx="1615">
                  <c:v>241.289294625768</c:v>
                </c:pt>
                <c:pt idx="1616">
                  <c:v>241.231674199076</c:v>
                </c:pt>
                <c:pt idx="1617">
                  <c:v>243.852652042769</c:v>
                </c:pt>
                <c:pt idx="1618">
                  <c:v>242.892645629365</c:v>
                </c:pt>
                <c:pt idx="1619">
                  <c:v>242.383581685723</c:v>
                </c:pt>
                <c:pt idx="1620">
                  <c:v>240.465072000481</c:v>
                </c:pt>
                <c:pt idx="1621">
                  <c:v>239.195919471696</c:v>
                </c:pt>
                <c:pt idx="1622">
                  <c:v>238.172280065337</c:v>
                </c:pt>
                <c:pt idx="1623">
                  <c:v>240.462065717349</c:v>
                </c:pt>
                <c:pt idx="1624">
                  <c:v>240.355843713361</c:v>
                </c:pt>
                <c:pt idx="1625">
                  <c:v>243.009890671503</c:v>
                </c:pt>
                <c:pt idx="1626">
                  <c:v>243.680792857071</c:v>
                </c:pt>
                <c:pt idx="1627">
                  <c:v>244.346684570753</c:v>
                </c:pt>
                <c:pt idx="1628">
                  <c:v>248.261867302663</c:v>
                </c:pt>
                <c:pt idx="1629">
                  <c:v>246.664528865329</c:v>
                </c:pt>
                <c:pt idx="1630">
                  <c:v>246.76223306711</c:v>
                </c:pt>
                <c:pt idx="1631">
                  <c:v>246.875970778928</c:v>
                </c:pt>
                <c:pt idx="1632">
                  <c:v>246.221102103396</c:v>
                </c:pt>
                <c:pt idx="1633">
                  <c:v>246.352877514004</c:v>
                </c:pt>
                <c:pt idx="1634">
                  <c:v>245.229529717109</c:v>
                </c:pt>
                <c:pt idx="1635">
                  <c:v>244.871280977242</c:v>
                </c:pt>
                <c:pt idx="1636">
                  <c:v>244.469441131966</c:v>
                </c:pt>
                <c:pt idx="1637">
                  <c:v>244.170315960357</c:v>
                </c:pt>
                <c:pt idx="1638">
                  <c:v>243.385175015783</c:v>
                </c:pt>
                <c:pt idx="1639">
                  <c:v>242.054894729986</c:v>
                </c:pt>
                <c:pt idx="1640">
                  <c:v>241.287290437013</c:v>
                </c:pt>
                <c:pt idx="1641">
                  <c:v>242.826006353278</c:v>
                </c:pt>
                <c:pt idx="1642">
                  <c:v>243.027928370294</c:v>
                </c:pt>
                <c:pt idx="1643">
                  <c:v>242.697738272991</c:v>
                </c:pt>
                <c:pt idx="1644">
                  <c:v>243.855157278712</c:v>
                </c:pt>
                <c:pt idx="1645">
                  <c:v>242.584501608361</c:v>
                </c:pt>
                <c:pt idx="1646">
                  <c:v>241.413053281358</c:v>
                </c:pt>
                <c:pt idx="1647">
                  <c:v>242.262829313265</c:v>
                </c:pt>
                <c:pt idx="1648">
                  <c:v>241.308334418936</c:v>
                </c:pt>
                <c:pt idx="1649">
                  <c:v>241.061819202132</c:v>
                </c:pt>
                <c:pt idx="1650">
                  <c:v>239.645358799892</c:v>
                </c:pt>
                <c:pt idx="1651">
                  <c:v>239.23450010522</c:v>
                </c:pt>
                <c:pt idx="1652">
                  <c:v>239.477507991703</c:v>
                </c:pt>
                <c:pt idx="1653">
                  <c:v>238.289525107475</c:v>
                </c:pt>
                <c:pt idx="1654">
                  <c:v>236.846008157048</c:v>
                </c:pt>
                <c:pt idx="1655">
                  <c:v>234.80574400497</c:v>
                </c:pt>
                <c:pt idx="1656">
                  <c:v>235.269713701636</c:v>
                </c:pt>
                <c:pt idx="1657">
                  <c:v>234.471044482969</c:v>
                </c:pt>
                <c:pt idx="1658">
                  <c:v>231.67019069856</c:v>
                </c:pt>
                <c:pt idx="1659">
                  <c:v>232.662264132036</c:v>
                </c:pt>
                <c:pt idx="1660">
                  <c:v>233.193374151978</c:v>
                </c:pt>
                <c:pt idx="1661">
                  <c:v>233.952961689932</c:v>
                </c:pt>
                <c:pt idx="1662">
                  <c:v>234.633383772084</c:v>
                </c:pt>
                <c:pt idx="1663">
                  <c:v>233.778597268291</c:v>
                </c:pt>
                <c:pt idx="1664">
                  <c:v>234.959064444689</c:v>
                </c:pt>
                <c:pt idx="1665">
                  <c:v>231.114028319187</c:v>
                </c:pt>
                <c:pt idx="1666">
                  <c:v>231.889649367177</c:v>
                </c:pt>
                <c:pt idx="1667">
                  <c:v>228.27960437314</c:v>
                </c:pt>
              </c:numCache>
            </c:numRef>
          </c:val>
          <c:smooth val="0"/>
        </c:ser>
        <c:ser>
          <c:idx val="1"/>
          <c:order val="1"/>
          <c:tx>
            <c:strRef>
              <c:f>"Nifty 50 expected earnings (12-month forward EPS)"</c:f>
              <c:strCache>
                <c:ptCount val="1"/>
                <c:pt idx="0">
                  <c:v>Nifty 50 expected earnings (12-month forward EPS)</c:v>
                </c:pt>
              </c:strCache>
            </c:strRef>
          </c:tx>
          <c:spPr>
            <a:solidFill>
              <a:srgbClr val="cf6827"/>
            </a:solidFill>
            <a:ln w="28440">
              <a:solidFill>
                <a:srgbClr val="cf68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Data!$A$44:$A$1711</c:f>
              <c:numCache>
                <c:formatCode>yyyy</c:formatCode>
                <c:ptCount val="1668"/>
                <c:pt idx="0">
                  <c:v>01-Jan-2020</c:v>
                </c:pt>
                <c:pt idx="1">
                  <c:v>02-Jan-2020</c:v>
                </c:pt>
                <c:pt idx="2">
                  <c:v>03-Jan-2020</c:v>
                </c:pt>
                <c:pt idx="3">
                  <c:v>06-Jan-2020</c:v>
                </c:pt>
                <c:pt idx="4">
                  <c:v>07-Jan-2020</c:v>
                </c:pt>
                <c:pt idx="5">
                  <c:v>08-Jan-2020</c:v>
                </c:pt>
                <c:pt idx="6">
                  <c:v>09-Jan-2020</c:v>
                </c:pt>
                <c:pt idx="7">
                  <c:v>10-Jan-2020</c:v>
                </c:pt>
                <c:pt idx="8">
                  <c:v>13-Jan-2020</c:v>
                </c:pt>
                <c:pt idx="9">
                  <c:v>14-Jan-2020</c:v>
                </c:pt>
                <c:pt idx="10">
                  <c:v>15-Jan-2020</c:v>
                </c:pt>
                <c:pt idx="11">
                  <c:v>16-Jan-2020</c:v>
                </c:pt>
                <c:pt idx="12">
                  <c:v>17-Jan-2020</c:v>
                </c:pt>
                <c:pt idx="13">
                  <c:v>20-Jan-2020</c:v>
                </c:pt>
                <c:pt idx="14">
                  <c:v>21-Jan-2020</c:v>
                </c:pt>
                <c:pt idx="15">
                  <c:v>22-Jan-2020</c:v>
                </c:pt>
                <c:pt idx="16">
                  <c:v>23-Jan-2020</c:v>
                </c:pt>
                <c:pt idx="17">
                  <c:v>24-Jan-2020</c:v>
                </c:pt>
                <c:pt idx="18">
                  <c:v>27-Jan-2020</c:v>
                </c:pt>
                <c:pt idx="19">
                  <c:v>28-Jan-2020</c:v>
                </c:pt>
                <c:pt idx="20">
                  <c:v>29-Jan-2020</c:v>
                </c:pt>
                <c:pt idx="21">
                  <c:v>30-Jan-2020</c:v>
                </c:pt>
                <c:pt idx="22">
                  <c:v>31-Jan-2020</c:v>
                </c:pt>
                <c:pt idx="23">
                  <c:v>03-Feb-2020</c:v>
                </c:pt>
                <c:pt idx="24">
                  <c:v>04-Feb-2020</c:v>
                </c:pt>
                <c:pt idx="25">
                  <c:v>05-Feb-2020</c:v>
                </c:pt>
                <c:pt idx="26">
                  <c:v>06-Feb-2020</c:v>
                </c:pt>
                <c:pt idx="27">
                  <c:v>07-Feb-2020</c:v>
                </c:pt>
                <c:pt idx="28">
                  <c:v>10-Feb-2020</c:v>
                </c:pt>
                <c:pt idx="29">
                  <c:v>11-Feb-2020</c:v>
                </c:pt>
                <c:pt idx="30">
                  <c:v>12-Feb-2020</c:v>
                </c:pt>
                <c:pt idx="31">
                  <c:v>13-Feb-2020</c:v>
                </c:pt>
                <c:pt idx="32">
                  <c:v>14-Feb-2020</c:v>
                </c:pt>
                <c:pt idx="33">
                  <c:v>17-Feb-2020</c:v>
                </c:pt>
                <c:pt idx="34">
                  <c:v>18-Feb-2020</c:v>
                </c:pt>
                <c:pt idx="35">
                  <c:v>19-Feb-2020</c:v>
                </c:pt>
                <c:pt idx="36">
                  <c:v>20-Feb-2020</c:v>
                </c:pt>
                <c:pt idx="37">
                  <c:v>24-Feb-2020</c:v>
                </c:pt>
                <c:pt idx="38">
                  <c:v>25-Feb-2020</c:v>
                </c:pt>
                <c:pt idx="39">
                  <c:v>26-Feb-2020</c:v>
                </c:pt>
                <c:pt idx="40">
                  <c:v>27-Feb-2020</c:v>
                </c:pt>
                <c:pt idx="41">
                  <c:v>28-Feb-2020</c:v>
                </c:pt>
                <c:pt idx="42">
                  <c:v>02-Mar-2020</c:v>
                </c:pt>
                <c:pt idx="43">
                  <c:v>03-Mar-2020</c:v>
                </c:pt>
                <c:pt idx="44">
                  <c:v>04-Mar-2020</c:v>
                </c:pt>
                <c:pt idx="45">
                  <c:v>05-Mar-2020</c:v>
                </c:pt>
                <c:pt idx="46">
                  <c:v>06-Mar-2020</c:v>
                </c:pt>
                <c:pt idx="47">
                  <c:v>09-Mar-2020</c:v>
                </c:pt>
                <c:pt idx="48">
                  <c:v>11-Mar-2020</c:v>
                </c:pt>
                <c:pt idx="49">
                  <c:v>12-Mar-2020</c:v>
                </c:pt>
                <c:pt idx="50">
                  <c:v>13-Mar-2020</c:v>
                </c:pt>
                <c:pt idx="51">
                  <c:v>16-Mar-2020</c:v>
                </c:pt>
                <c:pt idx="52">
                  <c:v>17-Mar-2020</c:v>
                </c:pt>
                <c:pt idx="53">
                  <c:v>18-Mar-2020</c:v>
                </c:pt>
                <c:pt idx="54">
                  <c:v>19-Mar-2020</c:v>
                </c:pt>
                <c:pt idx="55">
                  <c:v>20-Mar-2020</c:v>
                </c:pt>
                <c:pt idx="56">
                  <c:v>23-Mar-2020</c:v>
                </c:pt>
                <c:pt idx="57">
                  <c:v>24-Mar-2020</c:v>
                </c:pt>
                <c:pt idx="58">
                  <c:v>25-Mar-2020</c:v>
                </c:pt>
                <c:pt idx="59">
                  <c:v>26-Mar-2020</c:v>
                </c:pt>
                <c:pt idx="60">
                  <c:v>27-Mar-2020</c:v>
                </c:pt>
                <c:pt idx="61">
                  <c:v>30-Mar-2020</c:v>
                </c:pt>
                <c:pt idx="62">
                  <c:v>31-Mar-2020</c:v>
                </c:pt>
                <c:pt idx="63">
                  <c:v>01-Apr-2020</c:v>
                </c:pt>
                <c:pt idx="64">
                  <c:v>03-Apr-2020</c:v>
                </c:pt>
                <c:pt idx="65">
                  <c:v>07-Apr-2020</c:v>
                </c:pt>
                <c:pt idx="66">
                  <c:v>08-Apr-2020</c:v>
                </c:pt>
                <c:pt idx="67">
                  <c:v>09-Apr-2020</c:v>
                </c:pt>
                <c:pt idx="68">
                  <c:v>13-Apr-2020</c:v>
                </c:pt>
                <c:pt idx="69">
                  <c:v>15-Apr-2020</c:v>
                </c:pt>
                <c:pt idx="70">
                  <c:v>16-Apr-2020</c:v>
                </c:pt>
                <c:pt idx="71">
                  <c:v>17-Apr-2020</c:v>
                </c:pt>
                <c:pt idx="72">
                  <c:v>20-Apr-2020</c:v>
                </c:pt>
                <c:pt idx="73">
                  <c:v>21-Apr-2020</c:v>
                </c:pt>
                <c:pt idx="74">
                  <c:v>22-Apr-2020</c:v>
                </c:pt>
                <c:pt idx="75">
                  <c:v>23-Apr-2020</c:v>
                </c:pt>
                <c:pt idx="76">
                  <c:v>24-Apr-2020</c:v>
                </c:pt>
                <c:pt idx="77">
                  <c:v>27-Apr-2020</c:v>
                </c:pt>
                <c:pt idx="78">
                  <c:v>28-Apr-2020</c:v>
                </c:pt>
                <c:pt idx="79">
                  <c:v>29-Apr-2020</c:v>
                </c:pt>
                <c:pt idx="80">
                  <c:v>30-Apr-2020</c:v>
                </c:pt>
                <c:pt idx="81">
                  <c:v>04-May-2020</c:v>
                </c:pt>
                <c:pt idx="82">
                  <c:v>05-May-2020</c:v>
                </c:pt>
                <c:pt idx="83">
                  <c:v>06-May-2020</c:v>
                </c:pt>
                <c:pt idx="84">
                  <c:v>07-May-2020</c:v>
                </c:pt>
                <c:pt idx="85">
                  <c:v>08-May-2020</c:v>
                </c:pt>
                <c:pt idx="86">
                  <c:v>11-May-2020</c:v>
                </c:pt>
                <c:pt idx="87">
                  <c:v>12-May-2020</c:v>
                </c:pt>
                <c:pt idx="88">
                  <c:v>13-May-2020</c:v>
                </c:pt>
                <c:pt idx="89">
                  <c:v>14-May-2020</c:v>
                </c:pt>
                <c:pt idx="90">
                  <c:v>15-May-2020</c:v>
                </c:pt>
                <c:pt idx="91">
                  <c:v>18-May-2020</c:v>
                </c:pt>
                <c:pt idx="92">
                  <c:v>19-May-2020</c:v>
                </c:pt>
                <c:pt idx="93">
                  <c:v>20-May-2020</c:v>
                </c:pt>
                <c:pt idx="94">
                  <c:v>21-May-2020</c:v>
                </c:pt>
                <c:pt idx="95">
                  <c:v>22-May-2020</c:v>
                </c:pt>
                <c:pt idx="96">
                  <c:v>26-May-2020</c:v>
                </c:pt>
                <c:pt idx="97">
                  <c:v>27-May-2020</c:v>
                </c:pt>
                <c:pt idx="98">
                  <c:v>28-May-2020</c:v>
                </c:pt>
                <c:pt idx="99">
                  <c:v>29-May-2020</c:v>
                </c:pt>
                <c:pt idx="100">
                  <c:v>01-Jun-2020</c:v>
                </c:pt>
                <c:pt idx="101">
                  <c:v>02-Jun-2020</c:v>
                </c:pt>
                <c:pt idx="102">
                  <c:v>03-Jun-2020</c:v>
                </c:pt>
                <c:pt idx="103">
                  <c:v>04-Jun-2020</c:v>
                </c:pt>
                <c:pt idx="104">
                  <c:v>05-Jun-2020</c:v>
                </c:pt>
                <c:pt idx="105">
                  <c:v>08-Jun-2020</c:v>
                </c:pt>
                <c:pt idx="106">
                  <c:v>09-Jun-2020</c:v>
                </c:pt>
                <c:pt idx="107">
                  <c:v>10-Jun-2020</c:v>
                </c:pt>
                <c:pt idx="108">
                  <c:v>11-Jun-2020</c:v>
                </c:pt>
                <c:pt idx="109">
                  <c:v>12-Jun-2020</c:v>
                </c:pt>
                <c:pt idx="110">
                  <c:v>15-Jun-2020</c:v>
                </c:pt>
                <c:pt idx="111">
                  <c:v>16-Jun-2020</c:v>
                </c:pt>
                <c:pt idx="112">
                  <c:v>17-Jun-2020</c:v>
                </c:pt>
                <c:pt idx="113">
                  <c:v>18-Jun-2020</c:v>
                </c:pt>
                <c:pt idx="114">
                  <c:v>19-Jun-2020</c:v>
                </c:pt>
                <c:pt idx="115">
                  <c:v>22-Jun-2020</c:v>
                </c:pt>
                <c:pt idx="116">
                  <c:v>23-Jun-2020</c:v>
                </c:pt>
                <c:pt idx="117">
                  <c:v>24-Jun-2020</c:v>
                </c:pt>
                <c:pt idx="118">
                  <c:v>25-Jun-2020</c:v>
                </c:pt>
                <c:pt idx="119">
                  <c:v>26-Jun-2020</c:v>
                </c:pt>
                <c:pt idx="120">
                  <c:v>29-Jun-2020</c:v>
                </c:pt>
                <c:pt idx="121">
                  <c:v>30-Jun-2020</c:v>
                </c:pt>
                <c:pt idx="122">
                  <c:v>01-Jul-2020</c:v>
                </c:pt>
                <c:pt idx="123">
                  <c:v>02-Jul-2020</c:v>
                </c:pt>
                <c:pt idx="124">
                  <c:v>03-Jul-2020</c:v>
                </c:pt>
                <c:pt idx="125">
                  <c:v>06-Jul-2020</c:v>
                </c:pt>
                <c:pt idx="126">
                  <c:v>07-Jul-2020</c:v>
                </c:pt>
                <c:pt idx="127">
                  <c:v>08-Jul-2020</c:v>
                </c:pt>
                <c:pt idx="128">
                  <c:v>09-Jul-2020</c:v>
                </c:pt>
                <c:pt idx="129">
                  <c:v>10-Jul-2020</c:v>
                </c:pt>
                <c:pt idx="130">
                  <c:v>13-Jul-2020</c:v>
                </c:pt>
                <c:pt idx="131">
                  <c:v>14-Jul-2020</c:v>
                </c:pt>
                <c:pt idx="132">
                  <c:v>15-Jul-2020</c:v>
                </c:pt>
                <c:pt idx="133">
                  <c:v>16-Jul-2020</c:v>
                </c:pt>
                <c:pt idx="134">
                  <c:v>17-Jul-2020</c:v>
                </c:pt>
                <c:pt idx="135">
                  <c:v>20-Jul-2020</c:v>
                </c:pt>
                <c:pt idx="136">
                  <c:v>21-Jul-2020</c:v>
                </c:pt>
                <c:pt idx="137">
                  <c:v>22-Jul-2020</c:v>
                </c:pt>
                <c:pt idx="138">
                  <c:v>23-Jul-2020</c:v>
                </c:pt>
                <c:pt idx="139">
                  <c:v>24-Jul-2020</c:v>
                </c:pt>
                <c:pt idx="140">
                  <c:v>27-Jul-2020</c:v>
                </c:pt>
                <c:pt idx="141">
                  <c:v>28-Jul-2020</c:v>
                </c:pt>
                <c:pt idx="142">
                  <c:v>29-Jul-2020</c:v>
                </c:pt>
                <c:pt idx="143">
                  <c:v>30-Jul-2020</c:v>
                </c:pt>
                <c:pt idx="144">
                  <c:v>31-Jul-2020</c:v>
                </c:pt>
                <c:pt idx="145">
                  <c:v>03-Aug-2020</c:v>
                </c:pt>
                <c:pt idx="146">
                  <c:v>04-Aug-2020</c:v>
                </c:pt>
                <c:pt idx="147">
                  <c:v>05-Aug-2020</c:v>
                </c:pt>
                <c:pt idx="148">
                  <c:v>06-Aug-2020</c:v>
                </c:pt>
                <c:pt idx="149">
                  <c:v>07-Aug-2020</c:v>
                </c:pt>
                <c:pt idx="150">
                  <c:v>10-Aug-2020</c:v>
                </c:pt>
                <c:pt idx="151">
                  <c:v>11-Aug-2020</c:v>
                </c:pt>
                <c:pt idx="152">
                  <c:v>12-Aug-2020</c:v>
                </c:pt>
                <c:pt idx="153">
                  <c:v>13-Aug-2020</c:v>
                </c:pt>
                <c:pt idx="154">
                  <c:v>14-Aug-2020</c:v>
                </c:pt>
                <c:pt idx="155">
                  <c:v>17-Aug-2020</c:v>
                </c:pt>
                <c:pt idx="156">
                  <c:v>18-Aug-2020</c:v>
                </c:pt>
                <c:pt idx="157">
                  <c:v>19-Aug-2020</c:v>
                </c:pt>
                <c:pt idx="158">
                  <c:v>20-Aug-2020</c:v>
                </c:pt>
                <c:pt idx="159">
                  <c:v>21-Aug-2020</c:v>
                </c:pt>
                <c:pt idx="160">
                  <c:v>24-Aug-2020</c:v>
                </c:pt>
                <c:pt idx="161">
                  <c:v>25-Aug-2020</c:v>
                </c:pt>
                <c:pt idx="162">
                  <c:v>26-Aug-2020</c:v>
                </c:pt>
                <c:pt idx="163">
                  <c:v>27-Aug-2020</c:v>
                </c:pt>
                <c:pt idx="164">
                  <c:v>28-Aug-2020</c:v>
                </c:pt>
                <c:pt idx="165">
                  <c:v>31-Aug-2020</c:v>
                </c:pt>
                <c:pt idx="166">
                  <c:v>01-Sep-2020</c:v>
                </c:pt>
                <c:pt idx="167">
                  <c:v>02-Sep-2020</c:v>
                </c:pt>
                <c:pt idx="168">
                  <c:v>03-Sep-2020</c:v>
                </c:pt>
                <c:pt idx="169">
                  <c:v>04-Sep-2020</c:v>
                </c:pt>
                <c:pt idx="170">
                  <c:v>07-Sep-2020</c:v>
                </c:pt>
                <c:pt idx="171">
                  <c:v>08-Sep-2020</c:v>
                </c:pt>
                <c:pt idx="172">
                  <c:v>09-Sep-2020</c:v>
                </c:pt>
                <c:pt idx="173">
                  <c:v>10-Sep-2020</c:v>
                </c:pt>
                <c:pt idx="174">
                  <c:v>11-Sep-2020</c:v>
                </c:pt>
                <c:pt idx="175">
                  <c:v>14-Sep-2020</c:v>
                </c:pt>
                <c:pt idx="176">
                  <c:v>15-Sep-2020</c:v>
                </c:pt>
                <c:pt idx="177">
                  <c:v>16-Sep-2020</c:v>
                </c:pt>
                <c:pt idx="178">
                  <c:v>17-Sep-2020</c:v>
                </c:pt>
                <c:pt idx="179">
                  <c:v>18-Sep-2020</c:v>
                </c:pt>
                <c:pt idx="180">
                  <c:v>21-Sep-2020</c:v>
                </c:pt>
                <c:pt idx="181">
                  <c:v>22-Sep-2020</c:v>
                </c:pt>
                <c:pt idx="182">
                  <c:v>23-Sep-2020</c:v>
                </c:pt>
                <c:pt idx="183">
                  <c:v>24-Sep-2020</c:v>
                </c:pt>
                <c:pt idx="184">
                  <c:v>25-Sep-2020</c:v>
                </c:pt>
                <c:pt idx="185">
                  <c:v>28-Sep-2020</c:v>
                </c:pt>
                <c:pt idx="186">
                  <c:v>29-Sep-2020</c:v>
                </c:pt>
                <c:pt idx="187">
                  <c:v>30-Sep-2020</c:v>
                </c:pt>
                <c:pt idx="188">
                  <c:v>01-Oct-2020</c:v>
                </c:pt>
                <c:pt idx="189">
                  <c:v>05-Oct-2020</c:v>
                </c:pt>
                <c:pt idx="190">
                  <c:v>06-Oct-2020</c:v>
                </c:pt>
                <c:pt idx="191">
                  <c:v>07-Oct-2020</c:v>
                </c:pt>
                <c:pt idx="192">
                  <c:v>08-Oct-2020</c:v>
                </c:pt>
                <c:pt idx="193">
                  <c:v>09-Oct-2020</c:v>
                </c:pt>
                <c:pt idx="194">
                  <c:v>12-Oct-2020</c:v>
                </c:pt>
                <c:pt idx="195">
                  <c:v>13-Oct-2020</c:v>
                </c:pt>
                <c:pt idx="196">
                  <c:v>14-Oct-2020</c:v>
                </c:pt>
                <c:pt idx="197">
                  <c:v>15-Oct-2020</c:v>
                </c:pt>
                <c:pt idx="198">
                  <c:v>16-Oct-2020</c:v>
                </c:pt>
                <c:pt idx="199">
                  <c:v>19-Oct-2020</c:v>
                </c:pt>
                <c:pt idx="200">
                  <c:v>20-Oct-2020</c:v>
                </c:pt>
                <c:pt idx="201">
                  <c:v>21-Oct-2020</c:v>
                </c:pt>
                <c:pt idx="202">
                  <c:v>22-Oct-2020</c:v>
                </c:pt>
                <c:pt idx="203">
                  <c:v>23-Oct-2020</c:v>
                </c:pt>
                <c:pt idx="204">
                  <c:v>26-Oct-2020</c:v>
                </c:pt>
                <c:pt idx="205">
                  <c:v>27-Oct-2020</c:v>
                </c:pt>
                <c:pt idx="206">
                  <c:v>28-Oct-2020</c:v>
                </c:pt>
                <c:pt idx="207">
                  <c:v>29-Oct-2020</c:v>
                </c:pt>
                <c:pt idx="208">
                  <c:v>30-Oct-2020</c:v>
                </c:pt>
                <c:pt idx="209">
                  <c:v>02-Nov-2020</c:v>
                </c:pt>
                <c:pt idx="210">
                  <c:v>03-Nov-2020</c:v>
                </c:pt>
                <c:pt idx="211">
                  <c:v>04-Nov-2020</c:v>
                </c:pt>
                <c:pt idx="212">
                  <c:v>05-Nov-2020</c:v>
                </c:pt>
                <c:pt idx="213">
                  <c:v>06-Nov-2020</c:v>
                </c:pt>
                <c:pt idx="214">
                  <c:v>09-Nov-2020</c:v>
                </c:pt>
                <c:pt idx="215">
                  <c:v>10-Nov-2020</c:v>
                </c:pt>
                <c:pt idx="216">
                  <c:v>11-Nov-2020</c:v>
                </c:pt>
                <c:pt idx="217">
                  <c:v>12-Nov-2020</c:v>
                </c:pt>
                <c:pt idx="218">
                  <c:v>13-Nov-2020</c:v>
                </c:pt>
                <c:pt idx="219">
                  <c:v>17-Nov-2020</c:v>
                </c:pt>
                <c:pt idx="220">
                  <c:v>18-Nov-2020</c:v>
                </c:pt>
                <c:pt idx="221">
                  <c:v>19-Nov-2020</c:v>
                </c:pt>
                <c:pt idx="222">
                  <c:v>20-Nov-2020</c:v>
                </c:pt>
                <c:pt idx="223">
                  <c:v>23-Nov-2020</c:v>
                </c:pt>
                <c:pt idx="224">
                  <c:v>24-Nov-2020</c:v>
                </c:pt>
                <c:pt idx="225">
                  <c:v>25-Nov-2020</c:v>
                </c:pt>
                <c:pt idx="226">
                  <c:v>26-Nov-2020</c:v>
                </c:pt>
                <c:pt idx="227">
                  <c:v>27-Nov-2020</c:v>
                </c:pt>
                <c:pt idx="228">
                  <c:v>01-Dec-2020</c:v>
                </c:pt>
                <c:pt idx="229">
                  <c:v>02-Dec-2020</c:v>
                </c:pt>
                <c:pt idx="230">
                  <c:v>03-Dec-2020</c:v>
                </c:pt>
                <c:pt idx="231">
                  <c:v>04-Dec-2020</c:v>
                </c:pt>
                <c:pt idx="232">
                  <c:v>07-Dec-2020</c:v>
                </c:pt>
                <c:pt idx="233">
                  <c:v>08-Dec-2020</c:v>
                </c:pt>
                <c:pt idx="234">
                  <c:v>09-Dec-2020</c:v>
                </c:pt>
                <c:pt idx="235">
                  <c:v>10-Dec-2020</c:v>
                </c:pt>
                <c:pt idx="236">
                  <c:v>11-Dec-2020</c:v>
                </c:pt>
                <c:pt idx="237">
                  <c:v>14-Dec-2020</c:v>
                </c:pt>
                <c:pt idx="238">
                  <c:v>15-Dec-2020</c:v>
                </c:pt>
                <c:pt idx="239">
                  <c:v>16-Dec-2020</c:v>
                </c:pt>
                <c:pt idx="240">
                  <c:v>17-Dec-2020</c:v>
                </c:pt>
                <c:pt idx="241">
                  <c:v>18-Dec-2020</c:v>
                </c:pt>
                <c:pt idx="242">
                  <c:v>21-Dec-2020</c:v>
                </c:pt>
                <c:pt idx="243">
                  <c:v>22-Dec-2020</c:v>
                </c:pt>
                <c:pt idx="244">
                  <c:v>23-Dec-2020</c:v>
                </c:pt>
                <c:pt idx="245">
                  <c:v>24-Dec-2020</c:v>
                </c:pt>
                <c:pt idx="246">
                  <c:v>28-Dec-2020</c:v>
                </c:pt>
                <c:pt idx="247">
                  <c:v>29-Dec-2020</c:v>
                </c:pt>
                <c:pt idx="248">
                  <c:v>30-Dec-2020</c:v>
                </c:pt>
                <c:pt idx="249">
                  <c:v>31-Dec-2020</c:v>
                </c:pt>
                <c:pt idx="250">
                  <c:v>01-Jan-2021</c:v>
                </c:pt>
                <c:pt idx="251">
                  <c:v>04-Jan-2021</c:v>
                </c:pt>
                <c:pt idx="252">
                  <c:v>05-Jan-2021</c:v>
                </c:pt>
                <c:pt idx="253">
                  <c:v>06-Jan-2021</c:v>
                </c:pt>
                <c:pt idx="254">
                  <c:v>07-Jan-2021</c:v>
                </c:pt>
                <c:pt idx="255">
                  <c:v>08-Jan-2021</c:v>
                </c:pt>
                <c:pt idx="256">
                  <c:v>11-Jan-2021</c:v>
                </c:pt>
                <c:pt idx="257">
                  <c:v>12-Jan-2021</c:v>
                </c:pt>
                <c:pt idx="258">
                  <c:v>13-Jan-2021</c:v>
                </c:pt>
                <c:pt idx="259">
                  <c:v>14-Jan-2021</c:v>
                </c:pt>
                <c:pt idx="260">
                  <c:v>15-Jan-2021</c:v>
                </c:pt>
                <c:pt idx="261">
                  <c:v>18-Jan-2021</c:v>
                </c:pt>
                <c:pt idx="262">
                  <c:v>19-Jan-2021</c:v>
                </c:pt>
                <c:pt idx="263">
                  <c:v>20-Jan-2021</c:v>
                </c:pt>
                <c:pt idx="264">
                  <c:v>21-Jan-2021</c:v>
                </c:pt>
                <c:pt idx="265">
                  <c:v>22-Jan-2021</c:v>
                </c:pt>
                <c:pt idx="266">
                  <c:v>25-Jan-2021</c:v>
                </c:pt>
                <c:pt idx="267">
                  <c:v>27-Jan-2021</c:v>
                </c:pt>
                <c:pt idx="268">
                  <c:v>28-Jan-2021</c:v>
                </c:pt>
                <c:pt idx="269">
                  <c:v>29-Jan-2021</c:v>
                </c:pt>
                <c:pt idx="270">
                  <c:v>01-Feb-2021</c:v>
                </c:pt>
                <c:pt idx="271">
                  <c:v>02-Feb-2021</c:v>
                </c:pt>
                <c:pt idx="272">
                  <c:v>03-Feb-2021</c:v>
                </c:pt>
                <c:pt idx="273">
                  <c:v>04-Feb-2021</c:v>
                </c:pt>
                <c:pt idx="274">
                  <c:v>05-Feb-2021</c:v>
                </c:pt>
                <c:pt idx="275">
                  <c:v>08-Feb-2021</c:v>
                </c:pt>
                <c:pt idx="276">
                  <c:v>09-Feb-2021</c:v>
                </c:pt>
                <c:pt idx="277">
                  <c:v>10-Feb-2021</c:v>
                </c:pt>
                <c:pt idx="278">
                  <c:v>11-Feb-2021</c:v>
                </c:pt>
                <c:pt idx="279">
                  <c:v>12-Feb-2021</c:v>
                </c:pt>
                <c:pt idx="280">
                  <c:v>15-Feb-2021</c:v>
                </c:pt>
                <c:pt idx="281">
                  <c:v>16-Feb-2021</c:v>
                </c:pt>
                <c:pt idx="282">
                  <c:v>17-Feb-2021</c:v>
                </c:pt>
                <c:pt idx="283">
                  <c:v>18-Feb-2021</c:v>
                </c:pt>
                <c:pt idx="284">
                  <c:v>19-Feb-2021</c:v>
                </c:pt>
                <c:pt idx="285">
                  <c:v>22-Feb-2021</c:v>
                </c:pt>
                <c:pt idx="286">
                  <c:v>23-Feb-2021</c:v>
                </c:pt>
                <c:pt idx="287">
                  <c:v>24-Feb-2021</c:v>
                </c:pt>
                <c:pt idx="288">
                  <c:v>25-Feb-2021</c:v>
                </c:pt>
                <c:pt idx="289">
                  <c:v>26-Feb-2021</c:v>
                </c:pt>
                <c:pt idx="290">
                  <c:v>01-Mar-2021</c:v>
                </c:pt>
                <c:pt idx="291">
                  <c:v>02-Mar-2021</c:v>
                </c:pt>
                <c:pt idx="292">
                  <c:v>03-Mar-2021</c:v>
                </c:pt>
                <c:pt idx="293">
                  <c:v>04-Mar-2021</c:v>
                </c:pt>
                <c:pt idx="294">
                  <c:v>05-Mar-2021</c:v>
                </c:pt>
                <c:pt idx="295">
                  <c:v>08-Mar-2021</c:v>
                </c:pt>
                <c:pt idx="296">
                  <c:v>09-Mar-2021</c:v>
                </c:pt>
                <c:pt idx="297">
                  <c:v>10-Mar-2021</c:v>
                </c:pt>
                <c:pt idx="298">
                  <c:v>12-Mar-2021</c:v>
                </c:pt>
                <c:pt idx="299">
                  <c:v>15-Mar-2021</c:v>
                </c:pt>
                <c:pt idx="300">
                  <c:v>16-Mar-2021</c:v>
                </c:pt>
                <c:pt idx="301">
                  <c:v>17-Mar-2021</c:v>
                </c:pt>
                <c:pt idx="302">
                  <c:v>18-Mar-2021</c:v>
                </c:pt>
                <c:pt idx="303">
                  <c:v>19-Mar-2021</c:v>
                </c:pt>
                <c:pt idx="304">
                  <c:v>22-Mar-2021</c:v>
                </c:pt>
                <c:pt idx="305">
                  <c:v>23-Mar-2021</c:v>
                </c:pt>
                <c:pt idx="306">
                  <c:v>24-Mar-2021</c:v>
                </c:pt>
                <c:pt idx="307">
                  <c:v>25-Mar-2021</c:v>
                </c:pt>
                <c:pt idx="308">
                  <c:v>26-Mar-2021</c:v>
                </c:pt>
                <c:pt idx="309">
                  <c:v>30-Mar-2021</c:v>
                </c:pt>
                <c:pt idx="310">
                  <c:v>31-Mar-2021</c:v>
                </c:pt>
                <c:pt idx="311">
                  <c:v>01-Apr-2021</c:v>
                </c:pt>
                <c:pt idx="312">
                  <c:v>05-Apr-2021</c:v>
                </c:pt>
                <c:pt idx="313">
                  <c:v>06-Apr-2021</c:v>
                </c:pt>
                <c:pt idx="314">
                  <c:v>07-Apr-2021</c:v>
                </c:pt>
                <c:pt idx="315">
                  <c:v>08-Apr-2021</c:v>
                </c:pt>
                <c:pt idx="316">
                  <c:v>09-Apr-2021</c:v>
                </c:pt>
                <c:pt idx="317">
                  <c:v>12-Apr-2021</c:v>
                </c:pt>
                <c:pt idx="318">
                  <c:v>13-Apr-2021</c:v>
                </c:pt>
                <c:pt idx="319">
                  <c:v>15-Apr-2021</c:v>
                </c:pt>
                <c:pt idx="320">
                  <c:v>16-Apr-2021</c:v>
                </c:pt>
                <c:pt idx="321">
                  <c:v>19-Apr-2021</c:v>
                </c:pt>
                <c:pt idx="322">
                  <c:v>20-Apr-2021</c:v>
                </c:pt>
                <c:pt idx="323">
                  <c:v>22-Apr-2021</c:v>
                </c:pt>
                <c:pt idx="324">
                  <c:v>23-Apr-2021</c:v>
                </c:pt>
                <c:pt idx="325">
                  <c:v>26-Apr-2021</c:v>
                </c:pt>
                <c:pt idx="326">
                  <c:v>27-Apr-2021</c:v>
                </c:pt>
                <c:pt idx="327">
                  <c:v>28-Apr-2021</c:v>
                </c:pt>
                <c:pt idx="328">
                  <c:v>29-Apr-2021</c:v>
                </c:pt>
                <c:pt idx="329">
                  <c:v>30-Apr-2021</c:v>
                </c:pt>
                <c:pt idx="330">
                  <c:v>03-May-2021</c:v>
                </c:pt>
                <c:pt idx="331">
                  <c:v>04-May-2021</c:v>
                </c:pt>
                <c:pt idx="332">
                  <c:v>05-May-2021</c:v>
                </c:pt>
                <c:pt idx="333">
                  <c:v>06-May-2021</c:v>
                </c:pt>
                <c:pt idx="334">
                  <c:v>07-May-2021</c:v>
                </c:pt>
                <c:pt idx="335">
                  <c:v>10-May-2021</c:v>
                </c:pt>
                <c:pt idx="336">
                  <c:v>11-May-2021</c:v>
                </c:pt>
                <c:pt idx="337">
                  <c:v>12-May-2021</c:v>
                </c:pt>
                <c:pt idx="338">
                  <c:v>14-May-2021</c:v>
                </c:pt>
                <c:pt idx="339">
                  <c:v>17-May-2021</c:v>
                </c:pt>
                <c:pt idx="340">
                  <c:v>18-May-2021</c:v>
                </c:pt>
                <c:pt idx="341">
                  <c:v>19-May-2021</c:v>
                </c:pt>
                <c:pt idx="342">
                  <c:v>20-May-2021</c:v>
                </c:pt>
                <c:pt idx="343">
                  <c:v>21-May-2021</c:v>
                </c:pt>
                <c:pt idx="344">
                  <c:v>24-May-2021</c:v>
                </c:pt>
                <c:pt idx="345">
                  <c:v>25-May-2021</c:v>
                </c:pt>
                <c:pt idx="346">
                  <c:v>26-May-2021</c:v>
                </c:pt>
                <c:pt idx="347">
                  <c:v>27-May-2021</c:v>
                </c:pt>
                <c:pt idx="348">
                  <c:v>28-May-2021</c:v>
                </c:pt>
                <c:pt idx="349">
                  <c:v>31-May-2021</c:v>
                </c:pt>
                <c:pt idx="350">
                  <c:v>01-Jun-2021</c:v>
                </c:pt>
                <c:pt idx="351">
                  <c:v>02-Jun-2021</c:v>
                </c:pt>
                <c:pt idx="352">
                  <c:v>03-Jun-2021</c:v>
                </c:pt>
                <c:pt idx="353">
                  <c:v>04-Jun-2021</c:v>
                </c:pt>
                <c:pt idx="354">
                  <c:v>07-Jun-2021</c:v>
                </c:pt>
                <c:pt idx="355">
                  <c:v>08-Jun-2021</c:v>
                </c:pt>
                <c:pt idx="356">
                  <c:v>09-Jun-2021</c:v>
                </c:pt>
                <c:pt idx="357">
                  <c:v>10-Jun-2021</c:v>
                </c:pt>
                <c:pt idx="358">
                  <c:v>11-Jun-2021</c:v>
                </c:pt>
                <c:pt idx="359">
                  <c:v>14-Jun-2021</c:v>
                </c:pt>
                <c:pt idx="360">
                  <c:v>15-Jun-2021</c:v>
                </c:pt>
                <c:pt idx="361">
                  <c:v>16-Jun-2021</c:v>
                </c:pt>
                <c:pt idx="362">
                  <c:v>17-Jun-2021</c:v>
                </c:pt>
                <c:pt idx="363">
                  <c:v>18-Jun-2021</c:v>
                </c:pt>
                <c:pt idx="364">
                  <c:v>21-Jun-2021</c:v>
                </c:pt>
                <c:pt idx="365">
                  <c:v>22-Jun-2021</c:v>
                </c:pt>
                <c:pt idx="366">
                  <c:v>23-Jun-2021</c:v>
                </c:pt>
                <c:pt idx="367">
                  <c:v>24-Jun-2021</c:v>
                </c:pt>
                <c:pt idx="368">
                  <c:v>25-Jun-2021</c:v>
                </c:pt>
                <c:pt idx="369">
                  <c:v>28-Jun-2021</c:v>
                </c:pt>
                <c:pt idx="370">
                  <c:v>29-Jun-2021</c:v>
                </c:pt>
                <c:pt idx="371">
                  <c:v>30-Jun-2021</c:v>
                </c:pt>
                <c:pt idx="372">
                  <c:v>01-Jul-2021</c:v>
                </c:pt>
                <c:pt idx="373">
                  <c:v>02-Jul-2021</c:v>
                </c:pt>
                <c:pt idx="374">
                  <c:v>05-Jul-2021</c:v>
                </c:pt>
                <c:pt idx="375">
                  <c:v>06-Jul-2021</c:v>
                </c:pt>
                <c:pt idx="376">
                  <c:v>07-Jul-2021</c:v>
                </c:pt>
                <c:pt idx="377">
                  <c:v>08-Jul-2021</c:v>
                </c:pt>
                <c:pt idx="378">
                  <c:v>09-Jul-2021</c:v>
                </c:pt>
                <c:pt idx="379">
                  <c:v>12-Jul-2021</c:v>
                </c:pt>
                <c:pt idx="380">
                  <c:v>13-Jul-2021</c:v>
                </c:pt>
                <c:pt idx="381">
                  <c:v>14-Jul-2021</c:v>
                </c:pt>
                <c:pt idx="382">
                  <c:v>15-Jul-2021</c:v>
                </c:pt>
                <c:pt idx="383">
                  <c:v>16-Jul-2021</c:v>
                </c:pt>
                <c:pt idx="384">
                  <c:v>19-Jul-2021</c:v>
                </c:pt>
                <c:pt idx="385">
                  <c:v>20-Jul-2021</c:v>
                </c:pt>
                <c:pt idx="386">
                  <c:v>22-Jul-2021</c:v>
                </c:pt>
                <c:pt idx="387">
                  <c:v>23-Jul-2021</c:v>
                </c:pt>
                <c:pt idx="388">
                  <c:v>26-Jul-2021</c:v>
                </c:pt>
                <c:pt idx="389">
                  <c:v>27-Jul-2021</c:v>
                </c:pt>
                <c:pt idx="390">
                  <c:v>28-Jul-2021</c:v>
                </c:pt>
                <c:pt idx="391">
                  <c:v>29-Jul-2021</c:v>
                </c:pt>
                <c:pt idx="392">
                  <c:v>30-Jul-2021</c:v>
                </c:pt>
                <c:pt idx="393">
                  <c:v>02-Aug-2021</c:v>
                </c:pt>
                <c:pt idx="394">
                  <c:v>03-Aug-2021</c:v>
                </c:pt>
                <c:pt idx="395">
                  <c:v>04-Aug-2021</c:v>
                </c:pt>
                <c:pt idx="396">
                  <c:v>05-Aug-2021</c:v>
                </c:pt>
                <c:pt idx="397">
                  <c:v>06-Aug-2021</c:v>
                </c:pt>
                <c:pt idx="398">
                  <c:v>09-Aug-2021</c:v>
                </c:pt>
                <c:pt idx="399">
                  <c:v>10-Aug-2021</c:v>
                </c:pt>
                <c:pt idx="400">
                  <c:v>11-Aug-2021</c:v>
                </c:pt>
                <c:pt idx="401">
                  <c:v>12-Aug-2021</c:v>
                </c:pt>
                <c:pt idx="402">
                  <c:v>13-Aug-2021</c:v>
                </c:pt>
                <c:pt idx="403">
                  <c:v>16-Aug-2021</c:v>
                </c:pt>
                <c:pt idx="404">
                  <c:v>17-Aug-2021</c:v>
                </c:pt>
                <c:pt idx="405">
                  <c:v>18-Aug-2021</c:v>
                </c:pt>
                <c:pt idx="406">
                  <c:v>20-Aug-2021</c:v>
                </c:pt>
                <c:pt idx="407">
                  <c:v>23-Aug-2021</c:v>
                </c:pt>
                <c:pt idx="408">
                  <c:v>24-Aug-2021</c:v>
                </c:pt>
                <c:pt idx="409">
                  <c:v>25-Aug-2021</c:v>
                </c:pt>
                <c:pt idx="410">
                  <c:v>26-Aug-2021</c:v>
                </c:pt>
                <c:pt idx="411">
                  <c:v>27-Aug-2021</c:v>
                </c:pt>
                <c:pt idx="412">
                  <c:v>30-Aug-2021</c:v>
                </c:pt>
                <c:pt idx="413">
                  <c:v>31-Aug-2021</c:v>
                </c:pt>
                <c:pt idx="414">
                  <c:v>01-Sep-2021</c:v>
                </c:pt>
                <c:pt idx="415">
                  <c:v>02-Sep-2021</c:v>
                </c:pt>
                <c:pt idx="416">
                  <c:v>03-Sep-2021</c:v>
                </c:pt>
                <c:pt idx="417">
                  <c:v>06-Sep-2021</c:v>
                </c:pt>
                <c:pt idx="418">
                  <c:v>07-Sep-2021</c:v>
                </c:pt>
                <c:pt idx="419">
                  <c:v>08-Sep-2021</c:v>
                </c:pt>
                <c:pt idx="420">
                  <c:v>09-Sep-2021</c:v>
                </c:pt>
                <c:pt idx="421">
                  <c:v>13-Sep-2021</c:v>
                </c:pt>
                <c:pt idx="422">
                  <c:v>14-Sep-2021</c:v>
                </c:pt>
                <c:pt idx="423">
                  <c:v>15-Sep-2021</c:v>
                </c:pt>
                <c:pt idx="424">
                  <c:v>16-Sep-2021</c:v>
                </c:pt>
                <c:pt idx="425">
                  <c:v>17-Sep-2021</c:v>
                </c:pt>
                <c:pt idx="426">
                  <c:v>20-Sep-2021</c:v>
                </c:pt>
                <c:pt idx="427">
                  <c:v>21-Sep-2021</c:v>
                </c:pt>
                <c:pt idx="428">
                  <c:v>22-Sep-2021</c:v>
                </c:pt>
                <c:pt idx="429">
                  <c:v>23-Sep-2021</c:v>
                </c:pt>
                <c:pt idx="430">
                  <c:v>24-Sep-2021</c:v>
                </c:pt>
                <c:pt idx="431">
                  <c:v>27-Sep-2021</c:v>
                </c:pt>
                <c:pt idx="432">
                  <c:v>28-Sep-2021</c:v>
                </c:pt>
                <c:pt idx="433">
                  <c:v>29-Sep-2021</c:v>
                </c:pt>
                <c:pt idx="434">
                  <c:v>30-Sep-2021</c:v>
                </c:pt>
                <c:pt idx="435">
                  <c:v>01-Oct-2021</c:v>
                </c:pt>
                <c:pt idx="436">
                  <c:v>04-Oct-2021</c:v>
                </c:pt>
                <c:pt idx="437">
                  <c:v>05-Oct-2021</c:v>
                </c:pt>
                <c:pt idx="438">
                  <c:v>06-Oct-2021</c:v>
                </c:pt>
                <c:pt idx="439">
                  <c:v>07-Oct-2021</c:v>
                </c:pt>
                <c:pt idx="440">
                  <c:v>08-Oct-2021</c:v>
                </c:pt>
                <c:pt idx="441">
                  <c:v>11-Oct-2021</c:v>
                </c:pt>
                <c:pt idx="442">
                  <c:v>12-Oct-2021</c:v>
                </c:pt>
                <c:pt idx="443">
                  <c:v>13-Oct-2021</c:v>
                </c:pt>
                <c:pt idx="444">
                  <c:v>14-Oct-2021</c:v>
                </c:pt>
                <c:pt idx="445">
                  <c:v>18-Oct-2021</c:v>
                </c:pt>
                <c:pt idx="446">
                  <c:v>19-Oct-2021</c:v>
                </c:pt>
                <c:pt idx="447">
                  <c:v>20-Oct-2021</c:v>
                </c:pt>
                <c:pt idx="448">
                  <c:v>21-Oct-2021</c:v>
                </c:pt>
                <c:pt idx="449">
                  <c:v>22-Oct-2021</c:v>
                </c:pt>
                <c:pt idx="450">
                  <c:v>25-Oct-2021</c:v>
                </c:pt>
                <c:pt idx="451">
                  <c:v>26-Oct-2021</c:v>
                </c:pt>
                <c:pt idx="452">
                  <c:v>27-Oct-2021</c:v>
                </c:pt>
                <c:pt idx="453">
                  <c:v>28-Oct-2021</c:v>
                </c:pt>
                <c:pt idx="454">
                  <c:v>29-Oct-2021</c:v>
                </c:pt>
                <c:pt idx="455">
                  <c:v>01-Nov-2021</c:v>
                </c:pt>
                <c:pt idx="456">
                  <c:v>02-Nov-2021</c:v>
                </c:pt>
                <c:pt idx="457">
                  <c:v>03-Nov-2021</c:v>
                </c:pt>
                <c:pt idx="458">
                  <c:v>04-Nov-2021</c:v>
                </c:pt>
                <c:pt idx="459">
                  <c:v>08-Nov-2021</c:v>
                </c:pt>
                <c:pt idx="460">
                  <c:v>09-Nov-2021</c:v>
                </c:pt>
                <c:pt idx="461">
                  <c:v>10-Nov-2021</c:v>
                </c:pt>
                <c:pt idx="462">
                  <c:v>11-Nov-2021</c:v>
                </c:pt>
                <c:pt idx="463">
                  <c:v>12-Nov-2021</c:v>
                </c:pt>
                <c:pt idx="464">
                  <c:v>15-Nov-2021</c:v>
                </c:pt>
                <c:pt idx="465">
                  <c:v>16-Nov-2021</c:v>
                </c:pt>
                <c:pt idx="466">
                  <c:v>17-Nov-2021</c:v>
                </c:pt>
                <c:pt idx="467">
                  <c:v>18-Nov-2021</c:v>
                </c:pt>
                <c:pt idx="468">
                  <c:v>22-Nov-2021</c:v>
                </c:pt>
                <c:pt idx="469">
                  <c:v>23-Nov-2021</c:v>
                </c:pt>
                <c:pt idx="470">
                  <c:v>24-Nov-2021</c:v>
                </c:pt>
                <c:pt idx="471">
                  <c:v>25-Nov-2021</c:v>
                </c:pt>
                <c:pt idx="472">
                  <c:v>26-Nov-2021</c:v>
                </c:pt>
                <c:pt idx="473">
                  <c:v>29-Nov-2021</c:v>
                </c:pt>
                <c:pt idx="474">
                  <c:v>30-Nov-2021</c:v>
                </c:pt>
                <c:pt idx="475">
                  <c:v>01-Dec-2021</c:v>
                </c:pt>
                <c:pt idx="476">
                  <c:v>02-Dec-2021</c:v>
                </c:pt>
                <c:pt idx="477">
                  <c:v>03-Dec-2021</c:v>
                </c:pt>
                <c:pt idx="478">
                  <c:v>06-Dec-2021</c:v>
                </c:pt>
                <c:pt idx="479">
                  <c:v>07-Dec-2021</c:v>
                </c:pt>
                <c:pt idx="480">
                  <c:v>08-Dec-2021</c:v>
                </c:pt>
                <c:pt idx="481">
                  <c:v>09-Dec-2021</c:v>
                </c:pt>
                <c:pt idx="482">
                  <c:v>10-Dec-2021</c:v>
                </c:pt>
                <c:pt idx="483">
                  <c:v>13-Dec-2021</c:v>
                </c:pt>
                <c:pt idx="484">
                  <c:v>14-Dec-2021</c:v>
                </c:pt>
                <c:pt idx="485">
                  <c:v>15-Dec-2021</c:v>
                </c:pt>
                <c:pt idx="486">
                  <c:v>16-Dec-2021</c:v>
                </c:pt>
                <c:pt idx="487">
                  <c:v>17-Dec-2021</c:v>
                </c:pt>
                <c:pt idx="488">
                  <c:v>20-Dec-2021</c:v>
                </c:pt>
                <c:pt idx="489">
                  <c:v>21-Dec-2021</c:v>
                </c:pt>
                <c:pt idx="490">
                  <c:v>22-Dec-2021</c:v>
                </c:pt>
                <c:pt idx="491">
                  <c:v>23-Dec-2021</c:v>
                </c:pt>
                <c:pt idx="492">
                  <c:v>24-Dec-2021</c:v>
                </c:pt>
                <c:pt idx="493">
                  <c:v>27-Dec-2021</c:v>
                </c:pt>
                <c:pt idx="494">
                  <c:v>28-Dec-2021</c:v>
                </c:pt>
                <c:pt idx="495">
                  <c:v>29-Dec-2021</c:v>
                </c:pt>
                <c:pt idx="496">
                  <c:v>30-Dec-2021</c:v>
                </c:pt>
                <c:pt idx="497">
                  <c:v>31-Dec-2021</c:v>
                </c:pt>
                <c:pt idx="498">
                  <c:v>03-Jan-2022</c:v>
                </c:pt>
                <c:pt idx="499">
                  <c:v>04-Jan-2022</c:v>
                </c:pt>
                <c:pt idx="500">
                  <c:v>05-Jan-2022</c:v>
                </c:pt>
                <c:pt idx="501">
                  <c:v>06-Jan-2022</c:v>
                </c:pt>
                <c:pt idx="502">
                  <c:v>07-Jan-2022</c:v>
                </c:pt>
                <c:pt idx="503">
                  <c:v>10-Jan-2022</c:v>
                </c:pt>
                <c:pt idx="504">
                  <c:v>11-Jan-2022</c:v>
                </c:pt>
                <c:pt idx="505">
                  <c:v>12-Jan-2022</c:v>
                </c:pt>
                <c:pt idx="506">
                  <c:v>13-Jan-2022</c:v>
                </c:pt>
                <c:pt idx="507">
                  <c:v>14-Jan-2022</c:v>
                </c:pt>
                <c:pt idx="508">
                  <c:v>17-Jan-2022</c:v>
                </c:pt>
                <c:pt idx="509">
                  <c:v>18-Jan-2022</c:v>
                </c:pt>
                <c:pt idx="510">
                  <c:v>19-Jan-2022</c:v>
                </c:pt>
                <c:pt idx="511">
                  <c:v>20-Jan-2022</c:v>
                </c:pt>
                <c:pt idx="512">
                  <c:v>21-Jan-2022</c:v>
                </c:pt>
                <c:pt idx="513">
                  <c:v>24-Jan-2022</c:v>
                </c:pt>
                <c:pt idx="514">
                  <c:v>25-Jan-2022</c:v>
                </c:pt>
                <c:pt idx="515">
                  <c:v>27-Jan-2022</c:v>
                </c:pt>
                <c:pt idx="516">
                  <c:v>28-Jan-2022</c:v>
                </c:pt>
                <c:pt idx="517">
                  <c:v>31-Jan-2022</c:v>
                </c:pt>
                <c:pt idx="518">
                  <c:v>01-Feb-2022</c:v>
                </c:pt>
                <c:pt idx="519">
                  <c:v>02-Feb-2022</c:v>
                </c:pt>
                <c:pt idx="520">
                  <c:v>03-Feb-2022</c:v>
                </c:pt>
                <c:pt idx="521">
                  <c:v>04-Feb-2022</c:v>
                </c:pt>
                <c:pt idx="522">
                  <c:v>07-Feb-2022</c:v>
                </c:pt>
                <c:pt idx="523">
                  <c:v>08-Feb-2022</c:v>
                </c:pt>
                <c:pt idx="524">
                  <c:v>09-Feb-2022</c:v>
                </c:pt>
                <c:pt idx="525">
                  <c:v>10-Feb-2022</c:v>
                </c:pt>
                <c:pt idx="526">
                  <c:v>11-Feb-2022</c:v>
                </c:pt>
                <c:pt idx="527">
                  <c:v>14-Feb-2022</c:v>
                </c:pt>
                <c:pt idx="528">
                  <c:v>15-Feb-2022</c:v>
                </c:pt>
                <c:pt idx="529">
                  <c:v>16-Feb-2022</c:v>
                </c:pt>
                <c:pt idx="530">
                  <c:v>17-Feb-2022</c:v>
                </c:pt>
                <c:pt idx="531">
                  <c:v>18-Feb-2022</c:v>
                </c:pt>
                <c:pt idx="532">
                  <c:v>21-Feb-2022</c:v>
                </c:pt>
                <c:pt idx="533">
                  <c:v>22-Feb-2022</c:v>
                </c:pt>
                <c:pt idx="534">
                  <c:v>23-Feb-2022</c:v>
                </c:pt>
                <c:pt idx="535">
                  <c:v>24-Feb-2022</c:v>
                </c:pt>
                <c:pt idx="536">
                  <c:v>25-Feb-2022</c:v>
                </c:pt>
                <c:pt idx="537">
                  <c:v>28-Feb-2022</c:v>
                </c:pt>
                <c:pt idx="538">
                  <c:v>02-Mar-2022</c:v>
                </c:pt>
                <c:pt idx="539">
                  <c:v>03-Mar-2022</c:v>
                </c:pt>
                <c:pt idx="540">
                  <c:v>04-Mar-2022</c:v>
                </c:pt>
                <c:pt idx="541">
                  <c:v>07-Mar-2022</c:v>
                </c:pt>
                <c:pt idx="542">
                  <c:v>08-Mar-2022</c:v>
                </c:pt>
                <c:pt idx="543">
                  <c:v>09-Mar-2022</c:v>
                </c:pt>
                <c:pt idx="544">
                  <c:v>10-Mar-2022</c:v>
                </c:pt>
                <c:pt idx="545">
                  <c:v>11-Mar-2022</c:v>
                </c:pt>
                <c:pt idx="546">
                  <c:v>14-Mar-2022</c:v>
                </c:pt>
                <c:pt idx="547">
                  <c:v>15-Mar-2022</c:v>
                </c:pt>
                <c:pt idx="548">
                  <c:v>16-Mar-2022</c:v>
                </c:pt>
                <c:pt idx="549">
                  <c:v>17-Mar-2022</c:v>
                </c:pt>
                <c:pt idx="550">
                  <c:v>21-Mar-2022</c:v>
                </c:pt>
                <c:pt idx="551">
                  <c:v>22-Mar-2022</c:v>
                </c:pt>
                <c:pt idx="552">
                  <c:v>23-Mar-2022</c:v>
                </c:pt>
                <c:pt idx="553">
                  <c:v>24-Mar-2022</c:v>
                </c:pt>
                <c:pt idx="554">
                  <c:v>25-Mar-2022</c:v>
                </c:pt>
                <c:pt idx="555">
                  <c:v>28-Mar-2022</c:v>
                </c:pt>
                <c:pt idx="556">
                  <c:v>29-Mar-2022</c:v>
                </c:pt>
                <c:pt idx="557">
                  <c:v>30-Mar-2022</c:v>
                </c:pt>
                <c:pt idx="558">
                  <c:v>31-Mar-2022</c:v>
                </c:pt>
                <c:pt idx="559">
                  <c:v>01-Apr-2022</c:v>
                </c:pt>
                <c:pt idx="560">
                  <c:v>04-Apr-2022</c:v>
                </c:pt>
                <c:pt idx="561">
                  <c:v>05-Apr-2022</c:v>
                </c:pt>
                <c:pt idx="562">
                  <c:v>06-Apr-2022</c:v>
                </c:pt>
                <c:pt idx="563">
                  <c:v>07-Apr-2022</c:v>
                </c:pt>
                <c:pt idx="564">
                  <c:v>08-Apr-2022</c:v>
                </c:pt>
                <c:pt idx="565">
                  <c:v>11-Apr-2022</c:v>
                </c:pt>
                <c:pt idx="566">
                  <c:v>12-Apr-2022</c:v>
                </c:pt>
                <c:pt idx="567">
                  <c:v>13-Apr-2022</c:v>
                </c:pt>
                <c:pt idx="568">
                  <c:v>18-Apr-2022</c:v>
                </c:pt>
                <c:pt idx="569">
                  <c:v>19-Apr-2022</c:v>
                </c:pt>
                <c:pt idx="570">
                  <c:v>20-Apr-2022</c:v>
                </c:pt>
                <c:pt idx="571">
                  <c:v>21-Apr-2022</c:v>
                </c:pt>
                <c:pt idx="572">
                  <c:v>22-Apr-2022</c:v>
                </c:pt>
                <c:pt idx="573">
                  <c:v>25-Apr-2022</c:v>
                </c:pt>
                <c:pt idx="574">
                  <c:v>26-Apr-2022</c:v>
                </c:pt>
                <c:pt idx="575">
                  <c:v>27-Apr-2022</c:v>
                </c:pt>
                <c:pt idx="576">
                  <c:v>28-Apr-2022</c:v>
                </c:pt>
                <c:pt idx="577">
                  <c:v>29-Apr-2022</c:v>
                </c:pt>
                <c:pt idx="578">
                  <c:v>02-May-2022</c:v>
                </c:pt>
                <c:pt idx="579">
                  <c:v>04-May-2022</c:v>
                </c:pt>
                <c:pt idx="580">
                  <c:v>05-May-2022</c:v>
                </c:pt>
                <c:pt idx="581">
                  <c:v>06-May-2022</c:v>
                </c:pt>
                <c:pt idx="582">
                  <c:v>09-May-2022</c:v>
                </c:pt>
                <c:pt idx="583">
                  <c:v>10-May-2022</c:v>
                </c:pt>
                <c:pt idx="584">
                  <c:v>11-May-2022</c:v>
                </c:pt>
                <c:pt idx="585">
                  <c:v>12-May-2022</c:v>
                </c:pt>
                <c:pt idx="586">
                  <c:v>13-May-2022</c:v>
                </c:pt>
                <c:pt idx="587">
                  <c:v>16-May-2022</c:v>
                </c:pt>
                <c:pt idx="588">
                  <c:v>17-May-2022</c:v>
                </c:pt>
                <c:pt idx="589">
                  <c:v>18-May-2022</c:v>
                </c:pt>
                <c:pt idx="590">
                  <c:v>19-May-2022</c:v>
                </c:pt>
                <c:pt idx="591">
                  <c:v>20-May-2022</c:v>
                </c:pt>
                <c:pt idx="592">
                  <c:v>23-May-2022</c:v>
                </c:pt>
                <c:pt idx="593">
                  <c:v>24-May-2022</c:v>
                </c:pt>
                <c:pt idx="594">
                  <c:v>25-May-2022</c:v>
                </c:pt>
                <c:pt idx="595">
                  <c:v>26-May-2022</c:v>
                </c:pt>
                <c:pt idx="596">
                  <c:v>27-May-2022</c:v>
                </c:pt>
                <c:pt idx="597">
                  <c:v>30-May-2022</c:v>
                </c:pt>
                <c:pt idx="598">
                  <c:v>31-May-2022</c:v>
                </c:pt>
                <c:pt idx="599">
                  <c:v>01-Jun-2022</c:v>
                </c:pt>
                <c:pt idx="600">
                  <c:v>02-Jun-2022</c:v>
                </c:pt>
                <c:pt idx="601">
                  <c:v>03-Jun-2022</c:v>
                </c:pt>
                <c:pt idx="602">
                  <c:v>06-Jun-2022</c:v>
                </c:pt>
                <c:pt idx="603">
                  <c:v>07-Jun-2022</c:v>
                </c:pt>
                <c:pt idx="604">
                  <c:v>08-Jun-2022</c:v>
                </c:pt>
                <c:pt idx="605">
                  <c:v>09-Jun-2022</c:v>
                </c:pt>
                <c:pt idx="606">
                  <c:v>10-Jun-2022</c:v>
                </c:pt>
                <c:pt idx="607">
                  <c:v>13-Jun-2022</c:v>
                </c:pt>
                <c:pt idx="608">
                  <c:v>14-Jun-2022</c:v>
                </c:pt>
                <c:pt idx="609">
                  <c:v>15-Jun-2022</c:v>
                </c:pt>
                <c:pt idx="610">
                  <c:v>16-Jun-2022</c:v>
                </c:pt>
                <c:pt idx="611">
                  <c:v>17-Jun-2022</c:v>
                </c:pt>
                <c:pt idx="612">
                  <c:v>20-Jun-2022</c:v>
                </c:pt>
                <c:pt idx="613">
                  <c:v>21-Jun-2022</c:v>
                </c:pt>
                <c:pt idx="614">
                  <c:v>22-Jun-2022</c:v>
                </c:pt>
                <c:pt idx="615">
                  <c:v>23-Jun-2022</c:v>
                </c:pt>
                <c:pt idx="616">
                  <c:v>24-Jun-2022</c:v>
                </c:pt>
                <c:pt idx="617">
                  <c:v>27-Jun-2022</c:v>
                </c:pt>
                <c:pt idx="618">
                  <c:v>28-Jun-2022</c:v>
                </c:pt>
                <c:pt idx="619">
                  <c:v>29-Jun-2022</c:v>
                </c:pt>
                <c:pt idx="620">
                  <c:v>30-Jun-2022</c:v>
                </c:pt>
                <c:pt idx="621">
                  <c:v>01-Jul-2022</c:v>
                </c:pt>
                <c:pt idx="622">
                  <c:v>04-Jul-2022</c:v>
                </c:pt>
                <c:pt idx="623">
                  <c:v>05-Jul-2022</c:v>
                </c:pt>
                <c:pt idx="624">
                  <c:v>06-Jul-2022</c:v>
                </c:pt>
                <c:pt idx="625">
                  <c:v>07-Jul-2022</c:v>
                </c:pt>
                <c:pt idx="626">
                  <c:v>08-Jul-2022</c:v>
                </c:pt>
                <c:pt idx="627">
                  <c:v>11-Jul-2022</c:v>
                </c:pt>
                <c:pt idx="628">
                  <c:v>12-Jul-2022</c:v>
                </c:pt>
                <c:pt idx="629">
                  <c:v>13-Jul-2022</c:v>
                </c:pt>
                <c:pt idx="630">
                  <c:v>14-Jul-2022</c:v>
                </c:pt>
                <c:pt idx="631">
                  <c:v>15-Jul-2022</c:v>
                </c:pt>
                <c:pt idx="632">
                  <c:v>18-Jul-2022</c:v>
                </c:pt>
                <c:pt idx="633">
                  <c:v>19-Jul-2022</c:v>
                </c:pt>
                <c:pt idx="634">
                  <c:v>20-Jul-2022</c:v>
                </c:pt>
                <c:pt idx="635">
                  <c:v>21-Jul-2022</c:v>
                </c:pt>
                <c:pt idx="636">
                  <c:v>22-Jul-2022</c:v>
                </c:pt>
                <c:pt idx="637">
                  <c:v>25-Jul-2022</c:v>
                </c:pt>
                <c:pt idx="638">
                  <c:v>26-Jul-2022</c:v>
                </c:pt>
                <c:pt idx="639">
                  <c:v>27-Jul-2022</c:v>
                </c:pt>
                <c:pt idx="640">
                  <c:v>28-Jul-2022</c:v>
                </c:pt>
                <c:pt idx="641">
                  <c:v>29-Jul-2022</c:v>
                </c:pt>
                <c:pt idx="642">
                  <c:v>01-Aug-2022</c:v>
                </c:pt>
                <c:pt idx="643">
                  <c:v>02-Aug-2022</c:v>
                </c:pt>
                <c:pt idx="644">
                  <c:v>03-Aug-2022</c:v>
                </c:pt>
                <c:pt idx="645">
                  <c:v>04-Aug-2022</c:v>
                </c:pt>
                <c:pt idx="646">
                  <c:v>05-Aug-2022</c:v>
                </c:pt>
                <c:pt idx="647">
                  <c:v>08-Aug-2022</c:v>
                </c:pt>
                <c:pt idx="648">
                  <c:v>10-Aug-2022</c:v>
                </c:pt>
                <c:pt idx="649">
                  <c:v>11-Aug-2022</c:v>
                </c:pt>
                <c:pt idx="650">
                  <c:v>12-Aug-2022</c:v>
                </c:pt>
                <c:pt idx="651">
                  <c:v>16-Aug-2022</c:v>
                </c:pt>
                <c:pt idx="652">
                  <c:v>17-Aug-2022</c:v>
                </c:pt>
                <c:pt idx="653">
                  <c:v>18-Aug-2022</c:v>
                </c:pt>
                <c:pt idx="654">
                  <c:v>19-Aug-2022</c:v>
                </c:pt>
                <c:pt idx="655">
                  <c:v>22-Aug-2022</c:v>
                </c:pt>
                <c:pt idx="656">
                  <c:v>23-Aug-2022</c:v>
                </c:pt>
                <c:pt idx="657">
                  <c:v>24-Aug-2022</c:v>
                </c:pt>
                <c:pt idx="658">
                  <c:v>25-Aug-2022</c:v>
                </c:pt>
                <c:pt idx="659">
                  <c:v>26-Aug-2022</c:v>
                </c:pt>
                <c:pt idx="660">
                  <c:v>29-Aug-2022</c:v>
                </c:pt>
                <c:pt idx="661">
                  <c:v>30-Aug-2022</c:v>
                </c:pt>
                <c:pt idx="662">
                  <c:v>01-Sep-2022</c:v>
                </c:pt>
                <c:pt idx="663">
                  <c:v>02-Sep-2022</c:v>
                </c:pt>
                <c:pt idx="664">
                  <c:v>05-Sep-2022</c:v>
                </c:pt>
                <c:pt idx="665">
                  <c:v>06-Sep-2022</c:v>
                </c:pt>
                <c:pt idx="666">
                  <c:v>07-Sep-2022</c:v>
                </c:pt>
                <c:pt idx="667">
                  <c:v>08-Sep-2022</c:v>
                </c:pt>
                <c:pt idx="668">
                  <c:v>09-Sep-2022</c:v>
                </c:pt>
                <c:pt idx="669">
                  <c:v>12-Sep-2022</c:v>
                </c:pt>
                <c:pt idx="670">
                  <c:v>13-Sep-2022</c:v>
                </c:pt>
                <c:pt idx="671">
                  <c:v>14-Sep-2022</c:v>
                </c:pt>
                <c:pt idx="672">
                  <c:v>15-Sep-2022</c:v>
                </c:pt>
                <c:pt idx="673">
                  <c:v>16-Sep-2022</c:v>
                </c:pt>
                <c:pt idx="674">
                  <c:v>19-Sep-2022</c:v>
                </c:pt>
                <c:pt idx="675">
                  <c:v>20-Sep-2022</c:v>
                </c:pt>
                <c:pt idx="676">
                  <c:v>21-Sep-2022</c:v>
                </c:pt>
                <c:pt idx="677">
                  <c:v>22-Sep-2022</c:v>
                </c:pt>
                <c:pt idx="678">
                  <c:v>23-Sep-2022</c:v>
                </c:pt>
                <c:pt idx="679">
                  <c:v>26-Sep-2022</c:v>
                </c:pt>
                <c:pt idx="680">
                  <c:v>27-Sep-2022</c:v>
                </c:pt>
                <c:pt idx="681">
                  <c:v>28-Sep-2022</c:v>
                </c:pt>
                <c:pt idx="682">
                  <c:v>29-Sep-2022</c:v>
                </c:pt>
                <c:pt idx="683">
                  <c:v>30-Sep-2022</c:v>
                </c:pt>
                <c:pt idx="684">
                  <c:v>03-Oct-2022</c:v>
                </c:pt>
                <c:pt idx="685">
                  <c:v>04-Oct-2022</c:v>
                </c:pt>
                <c:pt idx="686">
                  <c:v>06-Oct-2022</c:v>
                </c:pt>
                <c:pt idx="687">
                  <c:v>07-Oct-2022</c:v>
                </c:pt>
                <c:pt idx="688">
                  <c:v>10-Oct-2022</c:v>
                </c:pt>
                <c:pt idx="689">
                  <c:v>11-Oct-2022</c:v>
                </c:pt>
                <c:pt idx="690">
                  <c:v>12-Oct-2022</c:v>
                </c:pt>
                <c:pt idx="691">
                  <c:v>13-Oct-2022</c:v>
                </c:pt>
                <c:pt idx="692">
                  <c:v>14-Oct-2022</c:v>
                </c:pt>
                <c:pt idx="693">
                  <c:v>17-Oct-2022</c:v>
                </c:pt>
                <c:pt idx="694">
                  <c:v>18-Oct-2022</c:v>
                </c:pt>
                <c:pt idx="695">
                  <c:v>19-Oct-2022</c:v>
                </c:pt>
                <c:pt idx="696">
                  <c:v>20-Oct-2022</c:v>
                </c:pt>
                <c:pt idx="697">
                  <c:v>21-Oct-2022</c:v>
                </c:pt>
                <c:pt idx="698">
                  <c:v>24-Oct-2022</c:v>
                </c:pt>
                <c:pt idx="699">
                  <c:v>25-Oct-2022</c:v>
                </c:pt>
                <c:pt idx="700">
                  <c:v>27-Oct-2022</c:v>
                </c:pt>
                <c:pt idx="701">
                  <c:v>28-Oct-2022</c:v>
                </c:pt>
                <c:pt idx="702">
                  <c:v>31-Oct-2022</c:v>
                </c:pt>
                <c:pt idx="703">
                  <c:v>01-Nov-2022</c:v>
                </c:pt>
                <c:pt idx="704">
                  <c:v>02-Nov-2022</c:v>
                </c:pt>
                <c:pt idx="705">
                  <c:v>03-Nov-2022</c:v>
                </c:pt>
                <c:pt idx="706">
                  <c:v>04-Nov-2022</c:v>
                </c:pt>
                <c:pt idx="707">
                  <c:v>07-Nov-2022</c:v>
                </c:pt>
                <c:pt idx="708">
                  <c:v>09-Nov-2022</c:v>
                </c:pt>
                <c:pt idx="709">
                  <c:v>10-Nov-2022</c:v>
                </c:pt>
                <c:pt idx="710">
                  <c:v>11-Nov-2022</c:v>
                </c:pt>
                <c:pt idx="711">
                  <c:v>14-Nov-2022</c:v>
                </c:pt>
                <c:pt idx="712">
                  <c:v>15-Nov-2022</c:v>
                </c:pt>
                <c:pt idx="713">
                  <c:v>16-Nov-2022</c:v>
                </c:pt>
                <c:pt idx="714">
                  <c:v>17-Nov-2022</c:v>
                </c:pt>
                <c:pt idx="715">
                  <c:v>18-Nov-2022</c:v>
                </c:pt>
                <c:pt idx="716">
                  <c:v>21-Nov-2022</c:v>
                </c:pt>
                <c:pt idx="717">
                  <c:v>22-Nov-2022</c:v>
                </c:pt>
                <c:pt idx="718">
                  <c:v>23-Nov-2022</c:v>
                </c:pt>
                <c:pt idx="719">
                  <c:v>24-Nov-2022</c:v>
                </c:pt>
                <c:pt idx="720">
                  <c:v>25-Nov-2022</c:v>
                </c:pt>
                <c:pt idx="721">
                  <c:v>28-Nov-2022</c:v>
                </c:pt>
                <c:pt idx="722">
                  <c:v>29-Nov-2022</c:v>
                </c:pt>
                <c:pt idx="723">
                  <c:v>30-Nov-2022</c:v>
                </c:pt>
                <c:pt idx="724">
                  <c:v>01-Dec-2022</c:v>
                </c:pt>
                <c:pt idx="725">
                  <c:v>02-Dec-2022</c:v>
                </c:pt>
                <c:pt idx="726">
                  <c:v>05-Dec-2022</c:v>
                </c:pt>
                <c:pt idx="727">
                  <c:v>06-Dec-2022</c:v>
                </c:pt>
                <c:pt idx="728">
                  <c:v>07-Dec-2022</c:v>
                </c:pt>
                <c:pt idx="729">
                  <c:v>08-Dec-2022</c:v>
                </c:pt>
                <c:pt idx="730">
                  <c:v>09-Dec-2022</c:v>
                </c:pt>
                <c:pt idx="731">
                  <c:v>12-Dec-2022</c:v>
                </c:pt>
                <c:pt idx="732">
                  <c:v>13-Dec-2022</c:v>
                </c:pt>
                <c:pt idx="733">
                  <c:v>14-Dec-2022</c:v>
                </c:pt>
                <c:pt idx="734">
                  <c:v>15-Dec-2022</c:v>
                </c:pt>
                <c:pt idx="735">
                  <c:v>16-Dec-2022</c:v>
                </c:pt>
                <c:pt idx="736">
                  <c:v>19-Dec-2022</c:v>
                </c:pt>
                <c:pt idx="737">
                  <c:v>20-Dec-2022</c:v>
                </c:pt>
                <c:pt idx="738">
                  <c:v>21-Dec-2022</c:v>
                </c:pt>
                <c:pt idx="739">
                  <c:v>22-Dec-2022</c:v>
                </c:pt>
                <c:pt idx="740">
                  <c:v>23-Dec-2022</c:v>
                </c:pt>
                <c:pt idx="741">
                  <c:v>26-Dec-2022</c:v>
                </c:pt>
                <c:pt idx="742">
                  <c:v>27-Dec-2022</c:v>
                </c:pt>
                <c:pt idx="743">
                  <c:v>28-Dec-2022</c:v>
                </c:pt>
                <c:pt idx="744">
                  <c:v>29-Dec-2022</c:v>
                </c:pt>
                <c:pt idx="745">
                  <c:v>30-Dec-2022</c:v>
                </c:pt>
                <c:pt idx="746">
                  <c:v>02-Jan-2023</c:v>
                </c:pt>
                <c:pt idx="747">
                  <c:v>03-Jan-2023</c:v>
                </c:pt>
                <c:pt idx="748">
                  <c:v>04-Jan-2023</c:v>
                </c:pt>
                <c:pt idx="749">
                  <c:v>05-Jan-2023</c:v>
                </c:pt>
                <c:pt idx="750">
                  <c:v>06-Jan-2023</c:v>
                </c:pt>
                <c:pt idx="751">
                  <c:v>09-Jan-2023</c:v>
                </c:pt>
                <c:pt idx="752">
                  <c:v>10-Jan-2023</c:v>
                </c:pt>
                <c:pt idx="753">
                  <c:v>11-Jan-2023</c:v>
                </c:pt>
                <c:pt idx="754">
                  <c:v>12-Jan-2023</c:v>
                </c:pt>
                <c:pt idx="755">
                  <c:v>13-Jan-2023</c:v>
                </c:pt>
                <c:pt idx="756">
                  <c:v>16-Jan-2023</c:v>
                </c:pt>
                <c:pt idx="757">
                  <c:v>17-Jan-2023</c:v>
                </c:pt>
                <c:pt idx="758">
                  <c:v>18-Jan-2023</c:v>
                </c:pt>
                <c:pt idx="759">
                  <c:v>19-Jan-2023</c:v>
                </c:pt>
                <c:pt idx="760">
                  <c:v>20-Jan-2023</c:v>
                </c:pt>
                <c:pt idx="761">
                  <c:v>23-Jan-2023</c:v>
                </c:pt>
                <c:pt idx="762">
                  <c:v>24-Jan-2023</c:v>
                </c:pt>
                <c:pt idx="763">
                  <c:v>25-Jan-2023</c:v>
                </c:pt>
                <c:pt idx="764">
                  <c:v>27-Jan-2023</c:v>
                </c:pt>
                <c:pt idx="765">
                  <c:v>30-Jan-2023</c:v>
                </c:pt>
                <c:pt idx="766">
                  <c:v>31-Jan-2023</c:v>
                </c:pt>
                <c:pt idx="767">
                  <c:v>01-Feb-2023</c:v>
                </c:pt>
                <c:pt idx="768">
                  <c:v>02-Feb-2023</c:v>
                </c:pt>
                <c:pt idx="769">
                  <c:v>03-Feb-2023</c:v>
                </c:pt>
                <c:pt idx="770">
                  <c:v>06-Feb-2023</c:v>
                </c:pt>
                <c:pt idx="771">
                  <c:v>07-Feb-2023</c:v>
                </c:pt>
                <c:pt idx="772">
                  <c:v>08-Feb-2023</c:v>
                </c:pt>
                <c:pt idx="773">
                  <c:v>09-Feb-2023</c:v>
                </c:pt>
                <c:pt idx="774">
                  <c:v>10-Feb-2023</c:v>
                </c:pt>
                <c:pt idx="775">
                  <c:v>13-Feb-2023</c:v>
                </c:pt>
                <c:pt idx="776">
                  <c:v>14-Feb-2023</c:v>
                </c:pt>
                <c:pt idx="777">
                  <c:v>15-Feb-2023</c:v>
                </c:pt>
                <c:pt idx="778">
                  <c:v>16-Feb-2023</c:v>
                </c:pt>
                <c:pt idx="779">
                  <c:v>17-Feb-2023</c:v>
                </c:pt>
                <c:pt idx="780">
                  <c:v>20-Feb-2023</c:v>
                </c:pt>
                <c:pt idx="781">
                  <c:v>21-Feb-2023</c:v>
                </c:pt>
                <c:pt idx="782">
                  <c:v>22-Feb-2023</c:v>
                </c:pt>
                <c:pt idx="783">
                  <c:v>23-Feb-2023</c:v>
                </c:pt>
                <c:pt idx="784">
                  <c:v>24-Feb-2023</c:v>
                </c:pt>
                <c:pt idx="785">
                  <c:v>27-Feb-2023</c:v>
                </c:pt>
                <c:pt idx="786">
                  <c:v>28-Feb-2023</c:v>
                </c:pt>
                <c:pt idx="787">
                  <c:v>01-Mar-2023</c:v>
                </c:pt>
                <c:pt idx="788">
                  <c:v>02-Mar-2023</c:v>
                </c:pt>
                <c:pt idx="789">
                  <c:v>03-Mar-2023</c:v>
                </c:pt>
                <c:pt idx="790">
                  <c:v>06-Mar-2023</c:v>
                </c:pt>
                <c:pt idx="791">
                  <c:v>08-Mar-2023</c:v>
                </c:pt>
                <c:pt idx="792">
                  <c:v>09-Mar-2023</c:v>
                </c:pt>
                <c:pt idx="793">
                  <c:v>10-Mar-2023</c:v>
                </c:pt>
                <c:pt idx="794">
                  <c:v>13-Mar-2023</c:v>
                </c:pt>
                <c:pt idx="795">
                  <c:v>14-Mar-2023</c:v>
                </c:pt>
                <c:pt idx="796">
                  <c:v>15-Mar-2023</c:v>
                </c:pt>
                <c:pt idx="797">
                  <c:v>16-Mar-2023</c:v>
                </c:pt>
                <c:pt idx="798">
                  <c:v>17-Mar-2023</c:v>
                </c:pt>
                <c:pt idx="799">
                  <c:v>20-Mar-2023</c:v>
                </c:pt>
                <c:pt idx="800">
                  <c:v>21-Mar-2023</c:v>
                </c:pt>
                <c:pt idx="801">
                  <c:v>22-Mar-2023</c:v>
                </c:pt>
                <c:pt idx="802">
                  <c:v>23-Mar-2023</c:v>
                </c:pt>
                <c:pt idx="803">
                  <c:v>24-Mar-2023</c:v>
                </c:pt>
                <c:pt idx="804">
                  <c:v>27-Mar-2023</c:v>
                </c:pt>
                <c:pt idx="805">
                  <c:v>28-Mar-2023</c:v>
                </c:pt>
                <c:pt idx="806">
                  <c:v>29-Mar-2023</c:v>
                </c:pt>
                <c:pt idx="807">
                  <c:v>31-Mar-2023</c:v>
                </c:pt>
                <c:pt idx="808">
                  <c:v>03-Apr-2023</c:v>
                </c:pt>
                <c:pt idx="809">
                  <c:v>05-Apr-2023</c:v>
                </c:pt>
                <c:pt idx="810">
                  <c:v>06-Apr-2023</c:v>
                </c:pt>
                <c:pt idx="811">
                  <c:v>10-Apr-2023</c:v>
                </c:pt>
                <c:pt idx="812">
                  <c:v>11-Apr-2023</c:v>
                </c:pt>
                <c:pt idx="813">
                  <c:v>12-Apr-2023</c:v>
                </c:pt>
                <c:pt idx="814">
                  <c:v>13-Apr-2023</c:v>
                </c:pt>
                <c:pt idx="815">
                  <c:v>17-Apr-2023</c:v>
                </c:pt>
                <c:pt idx="816">
                  <c:v>18-Apr-2023</c:v>
                </c:pt>
                <c:pt idx="817">
                  <c:v>19-Apr-2023</c:v>
                </c:pt>
                <c:pt idx="818">
                  <c:v>20-Apr-2023</c:v>
                </c:pt>
                <c:pt idx="819">
                  <c:v>21-Apr-2023</c:v>
                </c:pt>
                <c:pt idx="820">
                  <c:v>24-Apr-2023</c:v>
                </c:pt>
                <c:pt idx="821">
                  <c:v>25-Apr-2023</c:v>
                </c:pt>
                <c:pt idx="822">
                  <c:v>26-Apr-2023</c:v>
                </c:pt>
                <c:pt idx="823">
                  <c:v>27-Apr-2023</c:v>
                </c:pt>
                <c:pt idx="824">
                  <c:v>28-Apr-2023</c:v>
                </c:pt>
                <c:pt idx="825">
                  <c:v>02-May-2023</c:v>
                </c:pt>
                <c:pt idx="826">
                  <c:v>03-May-2023</c:v>
                </c:pt>
                <c:pt idx="827">
                  <c:v>04-May-2023</c:v>
                </c:pt>
                <c:pt idx="828">
                  <c:v>05-May-2023</c:v>
                </c:pt>
                <c:pt idx="829">
                  <c:v>08-May-2023</c:v>
                </c:pt>
                <c:pt idx="830">
                  <c:v>09-May-2023</c:v>
                </c:pt>
                <c:pt idx="831">
                  <c:v>10-May-2023</c:v>
                </c:pt>
                <c:pt idx="832">
                  <c:v>11-May-2023</c:v>
                </c:pt>
                <c:pt idx="833">
                  <c:v>12-May-2023</c:v>
                </c:pt>
                <c:pt idx="834">
                  <c:v>15-May-2023</c:v>
                </c:pt>
                <c:pt idx="835">
                  <c:v>16-May-2023</c:v>
                </c:pt>
                <c:pt idx="836">
                  <c:v>17-May-2023</c:v>
                </c:pt>
                <c:pt idx="837">
                  <c:v>18-May-2023</c:v>
                </c:pt>
                <c:pt idx="838">
                  <c:v>19-May-2023</c:v>
                </c:pt>
                <c:pt idx="839">
                  <c:v>22-May-2023</c:v>
                </c:pt>
                <c:pt idx="840">
                  <c:v>23-May-2023</c:v>
                </c:pt>
                <c:pt idx="841">
                  <c:v>24-May-2023</c:v>
                </c:pt>
                <c:pt idx="842">
                  <c:v>25-May-2023</c:v>
                </c:pt>
                <c:pt idx="843">
                  <c:v>26-May-2023</c:v>
                </c:pt>
                <c:pt idx="844">
                  <c:v>29-May-2023</c:v>
                </c:pt>
                <c:pt idx="845">
                  <c:v>30-May-2023</c:v>
                </c:pt>
                <c:pt idx="846">
                  <c:v>31-May-2023</c:v>
                </c:pt>
                <c:pt idx="847">
                  <c:v>01-Jun-2023</c:v>
                </c:pt>
                <c:pt idx="848">
                  <c:v>02-Jun-2023</c:v>
                </c:pt>
                <c:pt idx="849">
                  <c:v>05-Jun-2023</c:v>
                </c:pt>
                <c:pt idx="850">
                  <c:v>06-Jun-2023</c:v>
                </c:pt>
                <c:pt idx="851">
                  <c:v>07-Jun-2023</c:v>
                </c:pt>
                <c:pt idx="852">
                  <c:v>08-Jun-2023</c:v>
                </c:pt>
                <c:pt idx="853">
                  <c:v>09-Jun-2023</c:v>
                </c:pt>
                <c:pt idx="854">
                  <c:v>12-Jun-2023</c:v>
                </c:pt>
                <c:pt idx="855">
                  <c:v>13-Jun-2023</c:v>
                </c:pt>
                <c:pt idx="856">
                  <c:v>14-Jun-2023</c:v>
                </c:pt>
                <c:pt idx="857">
                  <c:v>15-Jun-2023</c:v>
                </c:pt>
                <c:pt idx="858">
                  <c:v>16-Jun-2023</c:v>
                </c:pt>
                <c:pt idx="859">
                  <c:v>19-Jun-2023</c:v>
                </c:pt>
                <c:pt idx="860">
                  <c:v>20-Jun-2023</c:v>
                </c:pt>
                <c:pt idx="861">
                  <c:v>21-Jun-2023</c:v>
                </c:pt>
                <c:pt idx="862">
                  <c:v>22-Jun-2023</c:v>
                </c:pt>
                <c:pt idx="863">
                  <c:v>23-Jun-2023</c:v>
                </c:pt>
                <c:pt idx="864">
                  <c:v>26-Jun-2023</c:v>
                </c:pt>
                <c:pt idx="865">
                  <c:v>27-Jun-2023</c:v>
                </c:pt>
                <c:pt idx="866">
                  <c:v>28-Jun-2023</c:v>
                </c:pt>
                <c:pt idx="867">
                  <c:v>30-Jun-2023</c:v>
                </c:pt>
                <c:pt idx="868">
                  <c:v>03-Jul-2023</c:v>
                </c:pt>
                <c:pt idx="869">
                  <c:v>04-Jul-2023</c:v>
                </c:pt>
                <c:pt idx="870">
                  <c:v>05-Jul-2023</c:v>
                </c:pt>
                <c:pt idx="871">
                  <c:v>06-Jul-2023</c:v>
                </c:pt>
                <c:pt idx="872">
                  <c:v>07-Jul-2023</c:v>
                </c:pt>
                <c:pt idx="873">
                  <c:v>10-Jul-2023</c:v>
                </c:pt>
                <c:pt idx="874">
                  <c:v>11-Jul-2023</c:v>
                </c:pt>
                <c:pt idx="875">
                  <c:v>12-Jul-2023</c:v>
                </c:pt>
                <c:pt idx="876">
                  <c:v>13-Jul-2023</c:v>
                </c:pt>
                <c:pt idx="877">
                  <c:v>14-Jul-2023</c:v>
                </c:pt>
                <c:pt idx="878">
                  <c:v>17-Jul-2023</c:v>
                </c:pt>
                <c:pt idx="879">
                  <c:v>18-Jul-2023</c:v>
                </c:pt>
                <c:pt idx="880">
                  <c:v>19-Jul-2023</c:v>
                </c:pt>
                <c:pt idx="881">
                  <c:v>20-Jul-2023</c:v>
                </c:pt>
                <c:pt idx="882">
                  <c:v>21-Jul-2023</c:v>
                </c:pt>
                <c:pt idx="883">
                  <c:v>24-Jul-2023</c:v>
                </c:pt>
                <c:pt idx="884">
                  <c:v>25-Jul-2023</c:v>
                </c:pt>
                <c:pt idx="885">
                  <c:v>26-Jul-2023</c:v>
                </c:pt>
                <c:pt idx="886">
                  <c:v>27-Jul-2023</c:v>
                </c:pt>
                <c:pt idx="887">
                  <c:v>28-Jul-2023</c:v>
                </c:pt>
                <c:pt idx="888">
                  <c:v>31-Jul-2023</c:v>
                </c:pt>
                <c:pt idx="889">
                  <c:v>01-Aug-2023</c:v>
                </c:pt>
                <c:pt idx="890">
                  <c:v>02-Aug-2023</c:v>
                </c:pt>
                <c:pt idx="891">
                  <c:v>03-Aug-2023</c:v>
                </c:pt>
                <c:pt idx="892">
                  <c:v>04-Aug-2023</c:v>
                </c:pt>
                <c:pt idx="893">
                  <c:v>07-Aug-2023</c:v>
                </c:pt>
                <c:pt idx="894">
                  <c:v>08-Aug-2023</c:v>
                </c:pt>
                <c:pt idx="895">
                  <c:v>09-Aug-2023</c:v>
                </c:pt>
                <c:pt idx="896">
                  <c:v>10-Aug-2023</c:v>
                </c:pt>
                <c:pt idx="897">
                  <c:v>11-Aug-2023</c:v>
                </c:pt>
                <c:pt idx="898">
                  <c:v>14-Aug-2023</c:v>
                </c:pt>
                <c:pt idx="899">
                  <c:v>16-Aug-2023</c:v>
                </c:pt>
                <c:pt idx="900">
                  <c:v>17-Aug-2023</c:v>
                </c:pt>
                <c:pt idx="901">
                  <c:v>18-Aug-2023</c:v>
                </c:pt>
                <c:pt idx="902">
                  <c:v>21-Aug-2023</c:v>
                </c:pt>
                <c:pt idx="903">
                  <c:v>22-Aug-2023</c:v>
                </c:pt>
                <c:pt idx="904">
                  <c:v>23-Aug-2023</c:v>
                </c:pt>
                <c:pt idx="905">
                  <c:v>24-Aug-2023</c:v>
                </c:pt>
                <c:pt idx="906">
                  <c:v>25-Aug-2023</c:v>
                </c:pt>
                <c:pt idx="907">
                  <c:v>28-Aug-2023</c:v>
                </c:pt>
                <c:pt idx="908">
                  <c:v>29-Aug-2023</c:v>
                </c:pt>
                <c:pt idx="909">
                  <c:v>30-Aug-2023</c:v>
                </c:pt>
                <c:pt idx="910">
                  <c:v>31-Aug-2023</c:v>
                </c:pt>
                <c:pt idx="911">
                  <c:v>01-Sep-2023</c:v>
                </c:pt>
                <c:pt idx="912">
                  <c:v>04-Sep-2023</c:v>
                </c:pt>
                <c:pt idx="913">
                  <c:v>05-Sep-2023</c:v>
                </c:pt>
                <c:pt idx="914">
                  <c:v>06-Sep-2023</c:v>
                </c:pt>
                <c:pt idx="915">
                  <c:v>07-Sep-2023</c:v>
                </c:pt>
                <c:pt idx="916">
                  <c:v>08-Sep-2023</c:v>
                </c:pt>
                <c:pt idx="917">
                  <c:v>11-Sep-2023</c:v>
                </c:pt>
                <c:pt idx="918">
                  <c:v>12-Sep-2023</c:v>
                </c:pt>
                <c:pt idx="919">
                  <c:v>13-Sep-2023</c:v>
                </c:pt>
                <c:pt idx="920">
                  <c:v>14-Sep-2023</c:v>
                </c:pt>
                <c:pt idx="921">
                  <c:v>15-Sep-2023</c:v>
                </c:pt>
                <c:pt idx="922">
                  <c:v>18-Sep-2023</c:v>
                </c:pt>
                <c:pt idx="923">
                  <c:v>20-Sep-2023</c:v>
                </c:pt>
                <c:pt idx="924">
                  <c:v>21-Sep-2023</c:v>
                </c:pt>
                <c:pt idx="925">
                  <c:v>22-Sep-2023</c:v>
                </c:pt>
                <c:pt idx="926">
                  <c:v>25-Sep-2023</c:v>
                </c:pt>
                <c:pt idx="927">
                  <c:v>26-Sep-2023</c:v>
                </c:pt>
                <c:pt idx="928">
                  <c:v>27-Sep-2023</c:v>
                </c:pt>
                <c:pt idx="929">
                  <c:v>28-Sep-2023</c:v>
                </c:pt>
                <c:pt idx="930">
                  <c:v>29-Sep-2023</c:v>
                </c:pt>
                <c:pt idx="931">
                  <c:v>03-Oct-2023</c:v>
                </c:pt>
                <c:pt idx="932">
                  <c:v>04-Oct-2023</c:v>
                </c:pt>
                <c:pt idx="933">
                  <c:v>05-Oct-2023</c:v>
                </c:pt>
                <c:pt idx="934">
                  <c:v>06-Oct-2023</c:v>
                </c:pt>
                <c:pt idx="935">
                  <c:v>09-Oct-2023</c:v>
                </c:pt>
                <c:pt idx="936">
                  <c:v>10-Oct-2023</c:v>
                </c:pt>
                <c:pt idx="937">
                  <c:v>11-Oct-2023</c:v>
                </c:pt>
                <c:pt idx="938">
                  <c:v>12-Oct-2023</c:v>
                </c:pt>
                <c:pt idx="939">
                  <c:v>13-Oct-2023</c:v>
                </c:pt>
                <c:pt idx="940">
                  <c:v>16-Oct-2023</c:v>
                </c:pt>
                <c:pt idx="941">
                  <c:v>17-Oct-2023</c:v>
                </c:pt>
                <c:pt idx="942">
                  <c:v>18-Oct-2023</c:v>
                </c:pt>
                <c:pt idx="943">
                  <c:v>19-Oct-2023</c:v>
                </c:pt>
                <c:pt idx="944">
                  <c:v>20-Oct-2023</c:v>
                </c:pt>
                <c:pt idx="945">
                  <c:v>23-Oct-2023</c:v>
                </c:pt>
                <c:pt idx="946">
                  <c:v>25-Oct-2023</c:v>
                </c:pt>
                <c:pt idx="947">
                  <c:v>26-Oct-2023</c:v>
                </c:pt>
                <c:pt idx="948">
                  <c:v>27-Oct-2023</c:v>
                </c:pt>
                <c:pt idx="949">
                  <c:v>30-Oct-2023</c:v>
                </c:pt>
                <c:pt idx="950">
                  <c:v>31-Oct-2023</c:v>
                </c:pt>
                <c:pt idx="951">
                  <c:v>01-Nov-2023</c:v>
                </c:pt>
                <c:pt idx="952">
                  <c:v>02-Nov-2023</c:v>
                </c:pt>
                <c:pt idx="953">
                  <c:v>03-Nov-2023</c:v>
                </c:pt>
                <c:pt idx="954">
                  <c:v>06-Nov-2023</c:v>
                </c:pt>
                <c:pt idx="955">
                  <c:v>07-Nov-2023</c:v>
                </c:pt>
                <c:pt idx="956">
                  <c:v>08-Nov-2023</c:v>
                </c:pt>
                <c:pt idx="957">
                  <c:v>09-Nov-2023</c:v>
                </c:pt>
                <c:pt idx="958">
                  <c:v>10-Nov-2023</c:v>
                </c:pt>
                <c:pt idx="959">
                  <c:v>13-Nov-2023</c:v>
                </c:pt>
                <c:pt idx="960">
                  <c:v>15-Nov-2023</c:v>
                </c:pt>
                <c:pt idx="961">
                  <c:v>16-Nov-2023</c:v>
                </c:pt>
                <c:pt idx="962">
                  <c:v>17-Nov-2023</c:v>
                </c:pt>
                <c:pt idx="963">
                  <c:v>20-Nov-2023</c:v>
                </c:pt>
                <c:pt idx="964">
                  <c:v>21-Nov-2023</c:v>
                </c:pt>
                <c:pt idx="965">
                  <c:v>22-Nov-2023</c:v>
                </c:pt>
                <c:pt idx="966">
                  <c:v>23-Nov-2023</c:v>
                </c:pt>
                <c:pt idx="967">
                  <c:v>24-Nov-2023</c:v>
                </c:pt>
                <c:pt idx="968">
                  <c:v>28-Nov-2023</c:v>
                </c:pt>
                <c:pt idx="969">
                  <c:v>29-Nov-2023</c:v>
                </c:pt>
                <c:pt idx="970">
                  <c:v>30-Nov-2023</c:v>
                </c:pt>
                <c:pt idx="971">
                  <c:v>01-Dec-2023</c:v>
                </c:pt>
                <c:pt idx="972">
                  <c:v>04-Dec-2023</c:v>
                </c:pt>
                <c:pt idx="973">
                  <c:v>05-Dec-2023</c:v>
                </c:pt>
                <c:pt idx="974">
                  <c:v>06-Dec-2023</c:v>
                </c:pt>
                <c:pt idx="975">
                  <c:v>07-Dec-2023</c:v>
                </c:pt>
                <c:pt idx="976">
                  <c:v>08-Dec-2023</c:v>
                </c:pt>
                <c:pt idx="977">
                  <c:v>11-Dec-2023</c:v>
                </c:pt>
                <c:pt idx="978">
                  <c:v>12-Dec-2023</c:v>
                </c:pt>
                <c:pt idx="979">
                  <c:v>13-Dec-2023</c:v>
                </c:pt>
                <c:pt idx="980">
                  <c:v>14-Dec-2023</c:v>
                </c:pt>
                <c:pt idx="981">
                  <c:v>15-Dec-2023</c:v>
                </c:pt>
                <c:pt idx="982">
                  <c:v>18-Dec-2023</c:v>
                </c:pt>
                <c:pt idx="983">
                  <c:v>19-Dec-2023</c:v>
                </c:pt>
                <c:pt idx="984">
                  <c:v>20-Dec-2023</c:v>
                </c:pt>
                <c:pt idx="985">
                  <c:v>21-Dec-2023</c:v>
                </c:pt>
                <c:pt idx="986">
                  <c:v>22-Dec-2023</c:v>
                </c:pt>
                <c:pt idx="987">
                  <c:v>26-Dec-2023</c:v>
                </c:pt>
                <c:pt idx="988">
                  <c:v>27-Dec-2023</c:v>
                </c:pt>
                <c:pt idx="989">
                  <c:v>28-Dec-2023</c:v>
                </c:pt>
                <c:pt idx="990">
                  <c:v>29-Dec-2023</c:v>
                </c:pt>
                <c:pt idx="991">
                  <c:v>01-Jan-2024</c:v>
                </c:pt>
                <c:pt idx="992">
                  <c:v>02-Jan-2024</c:v>
                </c:pt>
                <c:pt idx="993">
                  <c:v>03-Jan-2024</c:v>
                </c:pt>
                <c:pt idx="994">
                  <c:v>04-Jan-2024</c:v>
                </c:pt>
                <c:pt idx="995">
                  <c:v>05-Jan-2024</c:v>
                </c:pt>
                <c:pt idx="996">
                  <c:v>08-Jan-2024</c:v>
                </c:pt>
                <c:pt idx="997">
                  <c:v>09-Jan-2024</c:v>
                </c:pt>
                <c:pt idx="998">
                  <c:v>10-Jan-2024</c:v>
                </c:pt>
                <c:pt idx="999">
                  <c:v>11-Jan-2024</c:v>
                </c:pt>
                <c:pt idx="1000">
                  <c:v>12-Jan-2024</c:v>
                </c:pt>
                <c:pt idx="1001">
                  <c:v>15-Jan-2024</c:v>
                </c:pt>
                <c:pt idx="1002">
                  <c:v>16-Jan-2024</c:v>
                </c:pt>
                <c:pt idx="1003">
                  <c:v>17-Jan-2024</c:v>
                </c:pt>
                <c:pt idx="1004">
                  <c:v>18-Jan-2024</c:v>
                </c:pt>
                <c:pt idx="1005">
                  <c:v>19-Jan-2024</c:v>
                </c:pt>
                <c:pt idx="1006">
                  <c:v>23-Jan-2024</c:v>
                </c:pt>
                <c:pt idx="1007">
                  <c:v>24-Jan-2024</c:v>
                </c:pt>
                <c:pt idx="1008">
                  <c:v>25-Jan-2024</c:v>
                </c:pt>
                <c:pt idx="1009">
                  <c:v>29-Jan-2024</c:v>
                </c:pt>
                <c:pt idx="1010">
                  <c:v>30-Jan-2024</c:v>
                </c:pt>
                <c:pt idx="1011">
                  <c:v>31-Jan-2024</c:v>
                </c:pt>
                <c:pt idx="1012">
                  <c:v>01-Feb-2024</c:v>
                </c:pt>
                <c:pt idx="1013">
                  <c:v>02-Feb-2024</c:v>
                </c:pt>
                <c:pt idx="1014">
                  <c:v>05-Feb-2024</c:v>
                </c:pt>
                <c:pt idx="1015">
                  <c:v>06-Feb-2024</c:v>
                </c:pt>
                <c:pt idx="1016">
                  <c:v>07-Feb-2024</c:v>
                </c:pt>
                <c:pt idx="1017">
                  <c:v>08-Feb-2024</c:v>
                </c:pt>
                <c:pt idx="1018">
                  <c:v>09-Feb-2024</c:v>
                </c:pt>
                <c:pt idx="1019">
                  <c:v>12-Feb-2024</c:v>
                </c:pt>
                <c:pt idx="1020">
                  <c:v>13-Feb-2024</c:v>
                </c:pt>
                <c:pt idx="1021">
                  <c:v>14-Feb-2024</c:v>
                </c:pt>
                <c:pt idx="1022">
                  <c:v>15-Feb-2024</c:v>
                </c:pt>
                <c:pt idx="1023">
                  <c:v>16-Feb-2024</c:v>
                </c:pt>
                <c:pt idx="1024">
                  <c:v>19-Feb-2024</c:v>
                </c:pt>
                <c:pt idx="1025">
                  <c:v>20-Feb-2024</c:v>
                </c:pt>
                <c:pt idx="1026">
                  <c:v>21-Feb-2024</c:v>
                </c:pt>
                <c:pt idx="1027">
                  <c:v>22-Feb-2024</c:v>
                </c:pt>
                <c:pt idx="1028">
                  <c:v>23-Feb-2024</c:v>
                </c:pt>
                <c:pt idx="1029">
                  <c:v>26-Feb-2024</c:v>
                </c:pt>
                <c:pt idx="1030">
                  <c:v>27-Feb-2024</c:v>
                </c:pt>
                <c:pt idx="1031">
                  <c:v>28-Feb-2024</c:v>
                </c:pt>
                <c:pt idx="1032">
                  <c:v>29-Feb-2024</c:v>
                </c:pt>
                <c:pt idx="1033">
                  <c:v>01-Mar-2024</c:v>
                </c:pt>
                <c:pt idx="1034">
                  <c:v>04-Mar-2024</c:v>
                </c:pt>
                <c:pt idx="1035">
                  <c:v>05-Mar-2024</c:v>
                </c:pt>
                <c:pt idx="1036">
                  <c:v>06-Mar-2024</c:v>
                </c:pt>
                <c:pt idx="1037">
                  <c:v>07-Mar-2024</c:v>
                </c:pt>
                <c:pt idx="1038">
                  <c:v>11-Mar-2024</c:v>
                </c:pt>
                <c:pt idx="1039">
                  <c:v>12-Mar-2024</c:v>
                </c:pt>
                <c:pt idx="1040">
                  <c:v>13-Mar-2024</c:v>
                </c:pt>
                <c:pt idx="1041">
                  <c:v>14-Mar-2024</c:v>
                </c:pt>
                <c:pt idx="1042">
                  <c:v>15-Mar-2024</c:v>
                </c:pt>
                <c:pt idx="1043">
                  <c:v>18-Mar-2024</c:v>
                </c:pt>
                <c:pt idx="1044">
                  <c:v>19-Mar-2024</c:v>
                </c:pt>
                <c:pt idx="1045">
                  <c:v>20-Mar-2024</c:v>
                </c:pt>
                <c:pt idx="1046">
                  <c:v>21-Mar-2024</c:v>
                </c:pt>
                <c:pt idx="1047">
                  <c:v>22-Mar-2024</c:v>
                </c:pt>
                <c:pt idx="1048">
                  <c:v>26-Mar-2024</c:v>
                </c:pt>
                <c:pt idx="1049">
                  <c:v>27-Mar-2024</c:v>
                </c:pt>
                <c:pt idx="1050">
                  <c:v>28-Mar-2024</c:v>
                </c:pt>
                <c:pt idx="1051">
                  <c:v>01-Apr-2024</c:v>
                </c:pt>
                <c:pt idx="1052">
                  <c:v>02-Apr-2024</c:v>
                </c:pt>
                <c:pt idx="1053">
                  <c:v>03-Apr-2024</c:v>
                </c:pt>
                <c:pt idx="1054">
                  <c:v>04-Apr-2024</c:v>
                </c:pt>
                <c:pt idx="1055">
                  <c:v>05-Apr-2024</c:v>
                </c:pt>
                <c:pt idx="1056">
                  <c:v>08-Apr-2024</c:v>
                </c:pt>
                <c:pt idx="1057">
                  <c:v>09-Apr-2024</c:v>
                </c:pt>
                <c:pt idx="1058">
                  <c:v>10-Apr-2024</c:v>
                </c:pt>
                <c:pt idx="1059">
                  <c:v>12-Apr-2024</c:v>
                </c:pt>
                <c:pt idx="1060">
                  <c:v>15-Apr-2024</c:v>
                </c:pt>
                <c:pt idx="1061">
                  <c:v>16-Apr-2024</c:v>
                </c:pt>
                <c:pt idx="1062">
                  <c:v>18-Apr-2024</c:v>
                </c:pt>
                <c:pt idx="1063">
                  <c:v>19-Apr-2024</c:v>
                </c:pt>
                <c:pt idx="1064">
                  <c:v>22-Apr-2024</c:v>
                </c:pt>
                <c:pt idx="1065">
                  <c:v>23-Apr-2024</c:v>
                </c:pt>
                <c:pt idx="1066">
                  <c:v>24-Apr-2024</c:v>
                </c:pt>
                <c:pt idx="1067">
                  <c:v>25-Apr-2024</c:v>
                </c:pt>
                <c:pt idx="1068">
                  <c:v>26-Apr-2024</c:v>
                </c:pt>
                <c:pt idx="1069">
                  <c:v>29-Apr-2024</c:v>
                </c:pt>
                <c:pt idx="1070">
                  <c:v>30-Apr-2024</c:v>
                </c:pt>
                <c:pt idx="1071">
                  <c:v>02-May-2024</c:v>
                </c:pt>
                <c:pt idx="1072">
                  <c:v>03-May-2024</c:v>
                </c:pt>
                <c:pt idx="1073">
                  <c:v>06-May-2024</c:v>
                </c:pt>
                <c:pt idx="1074">
                  <c:v>07-May-2024</c:v>
                </c:pt>
                <c:pt idx="1075">
                  <c:v>08-May-2024</c:v>
                </c:pt>
                <c:pt idx="1076">
                  <c:v>09-May-2024</c:v>
                </c:pt>
                <c:pt idx="1077">
                  <c:v>10-May-2024</c:v>
                </c:pt>
                <c:pt idx="1078">
                  <c:v>13-May-2024</c:v>
                </c:pt>
                <c:pt idx="1079">
                  <c:v>14-May-2024</c:v>
                </c:pt>
                <c:pt idx="1080">
                  <c:v>15-May-2024</c:v>
                </c:pt>
                <c:pt idx="1081">
                  <c:v>16-May-2024</c:v>
                </c:pt>
                <c:pt idx="1082">
                  <c:v>17-May-2024</c:v>
                </c:pt>
                <c:pt idx="1083">
                  <c:v>21-May-2024</c:v>
                </c:pt>
                <c:pt idx="1084">
                  <c:v>22-May-2024</c:v>
                </c:pt>
                <c:pt idx="1085">
                  <c:v>23-May-2024</c:v>
                </c:pt>
                <c:pt idx="1086">
                  <c:v>24-May-2024</c:v>
                </c:pt>
                <c:pt idx="1087">
                  <c:v>27-May-2024</c:v>
                </c:pt>
                <c:pt idx="1088">
                  <c:v>28-May-2024</c:v>
                </c:pt>
                <c:pt idx="1089">
                  <c:v>29-May-2024</c:v>
                </c:pt>
                <c:pt idx="1090">
                  <c:v>30-May-2024</c:v>
                </c:pt>
                <c:pt idx="1091">
                  <c:v>31-May-2024</c:v>
                </c:pt>
                <c:pt idx="1092">
                  <c:v>03-Jun-2024</c:v>
                </c:pt>
                <c:pt idx="1093">
                  <c:v>04-Jun-2024</c:v>
                </c:pt>
                <c:pt idx="1094">
                  <c:v>05-Jun-2024</c:v>
                </c:pt>
                <c:pt idx="1095">
                  <c:v>06-Jun-2024</c:v>
                </c:pt>
                <c:pt idx="1096">
                  <c:v>07-Jun-2024</c:v>
                </c:pt>
                <c:pt idx="1097">
                  <c:v>10-Jun-2024</c:v>
                </c:pt>
                <c:pt idx="1098">
                  <c:v>11-Jun-2024</c:v>
                </c:pt>
                <c:pt idx="1099">
                  <c:v>12-Jun-2024</c:v>
                </c:pt>
                <c:pt idx="1100">
                  <c:v>13-Jun-2024</c:v>
                </c:pt>
                <c:pt idx="1101">
                  <c:v>14-Jun-2024</c:v>
                </c:pt>
                <c:pt idx="1102">
                  <c:v>18-Jun-2024</c:v>
                </c:pt>
                <c:pt idx="1103">
                  <c:v>19-Jun-2024</c:v>
                </c:pt>
                <c:pt idx="1104">
                  <c:v>20-Jun-2024</c:v>
                </c:pt>
                <c:pt idx="1105">
                  <c:v>21-Jun-2024</c:v>
                </c:pt>
                <c:pt idx="1106">
                  <c:v>24-Jun-2024</c:v>
                </c:pt>
                <c:pt idx="1107">
                  <c:v>25-Jun-2024</c:v>
                </c:pt>
                <c:pt idx="1108">
                  <c:v>26-Jun-2024</c:v>
                </c:pt>
                <c:pt idx="1109">
                  <c:v>27-Jun-2024</c:v>
                </c:pt>
                <c:pt idx="1110">
                  <c:v>28-Jun-2024</c:v>
                </c:pt>
                <c:pt idx="1111">
                  <c:v>01-Jul-2024</c:v>
                </c:pt>
                <c:pt idx="1112">
                  <c:v>02-Jul-2024</c:v>
                </c:pt>
                <c:pt idx="1113">
                  <c:v>03-Jul-2024</c:v>
                </c:pt>
                <c:pt idx="1114">
                  <c:v>04-Jul-2024</c:v>
                </c:pt>
                <c:pt idx="1115">
                  <c:v>05-Jul-2024</c:v>
                </c:pt>
                <c:pt idx="1116">
                  <c:v>08-Jul-2024</c:v>
                </c:pt>
                <c:pt idx="1117">
                  <c:v>09-Jul-2024</c:v>
                </c:pt>
                <c:pt idx="1118">
                  <c:v>10-Jul-2024</c:v>
                </c:pt>
                <c:pt idx="1119">
                  <c:v>11-Jul-2024</c:v>
                </c:pt>
                <c:pt idx="1120">
                  <c:v>12-Jul-2024</c:v>
                </c:pt>
                <c:pt idx="1121">
                  <c:v>15-Jul-2024</c:v>
                </c:pt>
                <c:pt idx="1122">
                  <c:v>16-Jul-2024</c:v>
                </c:pt>
                <c:pt idx="1123">
                  <c:v>18-Jul-2024</c:v>
                </c:pt>
                <c:pt idx="1124">
                  <c:v>19-Jul-2024</c:v>
                </c:pt>
                <c:pt idx="1125">
                  <c:v>22-Jul-2024</c:v>
                </c:pt>
                <c:pt idx="1126">
                  <c:v>23-Jul-2024</c:v>
                </c:pt>
                <c:pt idx="1127">
                  <c:v>24-Jul-2024</c:v>
                </c:pt>
                <c:pt idx="1128">
                  <c:v>25-Jul-2024</c:v>
                </c:pt>
                <c:pt idx="1129">
                  <c:v>26-Jul-2024</c:v>
                </c:pt>
                <c:pt idx="1130">
                  <c:v>29-Jul-2024</c:v>
                </c:pt>
                <c:pt idx="1131">
                  <c:v>30-Jul-2024</c:v>
                </c:pt>
                <c:pt idx="1132">
                  <c:v>31-Jul-2024</c:v>
                </c:pt>
                <c:pt idx="1133">
                  <c:v>01-Aug-2024</c:v>
                </c:pt>
                <c:pt idx="1134">
                  <c:v>02-Aug-2024</c:v>
                </c:pt>
                <c:pt idx="1135">
                  <c:v>05-Aug-2024</c:v>
                </c:pt>
                <c:pt idx="1136">
                  <c:v>06-Aug-2024</c:v>
                </c:pt>
                <c:pt idx="1137">
                  <c:v>07-Aug-2024</c:v>
                </c:pt>
                <c:pt idx="1138">
                  <c:v>08-Aug-2024</c:v>
                </c:pt>
                <c:pt idx="1139">
                  <c:v>09-Aug-2024</c:v>
                </c:pt>
                <c:pt idx="1140">
                  <c:v>12-Aug-2024</c:v>
                </c:pt>
                <c:pt idx="1141">
                  <c:v>13-Aug-2024</c:v>
                </c:pt>
                <c:pt idx="1142">
                  <c:v>14-Aug-2024</c:v>
                </c:pt>
                <c:pt idx="1143">
                  <c:v>16-Aug-2024</c:v>
                </c:pt>
                <c:pt idx="1144">
                  <c:v>19-Aug-2024</c:v>
                </c:pt>
                <c:pt idx="1145">
                  <c:v>20-Aug-2024</c:v>
                </c:pt>
                <c:pt idx="1146">
                  <c:v>21-Aug-2024</c:v>
                </c:pt>
                <c:pt idx="1147">
                  <c:v>22-Aug-2024</c:v>
                </c:pt>
                <c:pt idx="1148">
                  <c:v>23-Aug-2024</c:v>
                </c:pt>
                <c:pt idx="1149">
                  <c:v>26-Aug-2024</c:v>
                </c:pt>
                <c:pt idx="1150">
                  <c:v>27-Aug-2024</c:v>
                </c:pt>
                <c:pt idx="1151">
                  <c:v>28-Aug-2024</c:v>
                </c:pt>
                <c:pt idx="1152">
                  <c:v>29-Aug-2024</c:v>
                </c:pt>
                <c:pt idx="1153">
                  <c:v>30-Aug-2024</c:v>
                </c:pt>
                <c:pt idx="1154">
                  <c:v>02-Sep-2024</c:v>
                </c:pt>
                <c:pt idx="1155">
                  <c:v>03-Sep-2024</c:v>
                </c:pt>
                <c:pt idx="1156">
                  <c:v>04-Sep-2024</c:v>
                </c:pt>
                <c:pt idx="1157">
                  <c:v>05-Sep-2024</c:v>
                </c:pt>
                <c:pt idx="1158">
                  <c:v>06-Sep-2024</c:v>
                </c:pt>
                <c:pt idx="1159">
                  <c:v>09-Sep-2024</c:v>
                </c:pt>
                <c:pt idx="1160">
                  <c:v>10-Sep-2024</c:v>
                </c:pt>
                <c:pt idx="1161">
                  <c:v>11-Sep-2024</c:v>
                </c:pt>
                <c:pt idx="1162">
                  <c:v>12-Sep-2024</c:v>
                </c:pt>
                <c:pt idx="1163">
                  <c:v>13-Sep-2024</c:v>
                </c:pt>
                <c:pt idx="1164">
                  <c:v>16-Sep-2024</c:v>
                </c:pt>
                <c:pt idx="1165">
                  <c:v>17-Sep-2024</c:v>
                </c:pt>
                <c:pt idx="1166">
                  <c:v>18-Sep-2024</c:v>
                </c:pt>
                <c:pt idx="1167">
                  <c:v>19-Sep-2024</c:v>
                </c:pt>
                <c:pt idx="1168">
                  <c:v>20-Sep-2024</c:v>
                </c:pt>
                <c:pt idx="1169">
                  <c:v>23-Sep-2024</c:v>
                </c:pt>
                <c:pt idx="1170">
                  <c:v>24-Sep-2024</c:v>
                </c:pt>
                <c:pt idx="1171">
                  <c:v>25-Sep-2024</c:v>
                </c:pt>
                <c:pt idx="1172">
                  <c:v>26-Sep-2024</c:v>
                </c:pt>
                <c:pt idx="1173">
                  <c:v>27-Sep-2024</c:v>
                </c:pt>
                <c:pt idx="1174">
                  <c:v>30-Sep-2024</c:v>
                </c:pt>
                <c:pt idx="1175">
                  <c:v>01-Oct-2024</c:v>
                </c:pt>
                <c:pt idx="1176">
                  <c:v>03-Oct-2024</c:v>
                </c:pt>
                <c:pt idx="1177">
                  <c:v>04-Oct-2024</c:v>
                </c:pt>
                <c:pt idx="1178">
                  <c:v>07-Oct-2024</c:v>
                </c:pt>
                <c:pt idx="1179">
                  <c:v>08-Oct-2024</c:v>
                </c:pt>
                <c:pt idx="1180">
                  <c:v>09-Oct-2024</c:v>
                </c:pt>
                <c:pt idx="1181">
                  <c:v>10-Oct-2024</c:v>
                </c:pt>
                <c:pt idx="1182">
                  <c:v>11-Oct-2024</c:v>
                </c:pt>
                <c:pt idx="1183">
                  <c:v>14-Oct-2024</c:v>
                </c:pt>
                <c:pt idx="1184">
                  <c:v>15-Oct-2024</c:v>
                </c:pt>
                <c:pt idx="1185">
                  <c:v>16-Oct-2024</c:v>
                </c:pt>
                <c:pt idx="1186">
                  <c:v>17-Oct-2024</c:v>
                </c:pt>
                <c:pt idx="1187">
                  <c:v>18-Oct-2024</c:v>
                </c:pt>
                <c:pt idx="1188">
                  <c:v>21-Oct-2024</c:v>
                </c:pt>
                <c:pt idx="1189">
                  <c:v>22-Oct-2024</c:v>
                </c:pt>
                <c:pt idx="1190">
                  <c:v>23-Oct-2024</c:v>
                </c:pt>
                <c:pt idx="1191">
                  <c:v>24-Oct-2024</c:v>
                </c:pt>
                <c:pt idx="1192">
                  <c:v>25-Oct-2024</c:v>
                </c:pt>
                <c:pt idx="1193">
                  <c:v>28-Oct-2024</c:v>
                </c:pt>
                <c:pt idx="1194">
                  <c:v>29-Oct-2024</c:v>
                </c:pt>
                <c:pt idx="1195">
                  <c:v>30-Oct-2024</c:v>
                </c:pt>
                <c:pt idx="1196">
                  <c:v>31-Oct-2024</c:v>
                </c:pt>
                <c:pt idx="1197">
                  <c:v>01-Nov-2024</c:v>
                </c:pt>
                <c:pt idx="1198">
                  <c:v>04-Nov-2024</c:v>
                </c:pt>
                <c:pt idx="1199">
                  <c:v>05-Nov-2024</c:v>
                </c:pt>
                <c:pt idx="1200">
                  <c:v>06-Nov-2024</c:v>
                </c:pt>
                <c:pt idx="1201">
                  <c:v>07-Nov-2024</c:v>
                </c:pt>
                <c:pt idx="1202">
                  <c:v>08-Nov-2024</c:v>
                </c:pt>
                <c:pt idx="1203">
                  <c:v>11-Nov-2024</c:v>
                </c:pt>
                <c:pt idx="1204">
                  <c:v>12-Nov-2024</c:v>
                </c:pt>
                <c:pt idx="1205">
                  <c:v>13-Nov-2024</c:v>
                </c:pt>
                <c:pt idx="1206">
                  <c:v>14-Nov-2024</c:v>
                </c:pt>
                <c:pt idx="1207">
                  <c:v>18-Nov-2024</c:v>
                </c:pt>
                <c:pt idx="1208">
                  <c:v>19-Nov-2024</c:v>
                </c:pt>
                <c:pt idx="1209">
                  <c:v>21-Nov-2024</c:v>
                </c:pt>
                <c:pt idx="1210">
                  <c:v>22-Nov-2024</c:v>
                </c:pt>
                <c:pt idx="1211">
                  <c:v>25-Nov-2024</c:v>
                </c:pt>
                <c:pt idx="1212">
                  <c:v>26-Nov-2024</c:v>
                </c:pt>
                <c:pt idx="1213">
                  <c:v>27-Nov-2024</c:v>
                </c:pt>
                <c:pt idx="1214">
                  <c:v>28-Nov-2024</c:v>
                </c:pt>
                <c:pt idx="1215">
                  <c:v>29-Nov-2024</c:v>
                </c:pt>
                <c:pt idx="1216">
                  <c:v>02-Dec-2024</c:v>
                </c:pt>
                <c:pt idx="1217">
                  <c:v>03-Dec-2024</c:v>
                </c:pt>
                <c:pt idx="1218">
                  <c:v>04-Dec-2024</c:v>
                </c:pt>
                <c:pt idx="1219">
                  <c:v>05-Dec-2024</c:v>
                </c:pt>
                <c:pt idx="1220">
                  <c:v>06-Dec-2024</c:v>
                </c:pt>
                <c:pt idx="1221">
                  <c:v>09-Dec-2024</c:v>
                </c:pt>
                <c:pt idx="1222">
                  <c:v>10-Dec-2024</c:v>
                </c:pt>
                <c:pt idx="1223">
                  <c:v>11-Dec-2024</c:v>
                </c:pt>
                <c:pt idx="1224">
                  <c:v>12-Dec-2024</c:v>
                </c:pt>
                <c:pt idx="1225">
                  <c:v>13-Dec-2024</c:v>
                </c:pt>
                <c:pt idx="1226">
                  <c:v>16-Dec-2024</c:v>
                </c:pt>
                <c:pt idx="1227">
                  <c:v>17-Dec-2024</c:v>
                </c:pt>
                <c:pt idx="1228">
                  <c:v>18-Dec-2024</c:v>
                </c:pt>
                <c:pt idx="1229">
                  <c:v>19-Dec-2024</c:v>
                </c:pt>
                <c:pt idx="1230">
                  <c:v>20-Dec-2024</c:v>
                </c:pt>
                <c:pt idx="1231">
                  <c:v>23-Dec-2024</c:v>
                </c:pt>
                <c:pt idx="1232">
                  <c:v>24-Dec-2024</c:v>
                </c:pt>
                <c:pt idx="1233">
                  <c:v>26-Dec-2024</c:v>
                </c:pt>
                <c:pt idx="1234">
                  <c:v>27-Dec-2024</c:v>
                </c:pt>
                <c:pt idx="1235">
                  <c:v>30-Dec-2024</c:v>
                </c:pt>
                <c:pt idx="1236">
                  <c:v>31-Dec-2024</c:v>
                </c:pt>
                <c:pt idx="1237">
                  <c:v>01-Jan-2025</c:v>
                </c:pt>
                <c:pt idx="1238">
                  <c:v>02-Jan-2025</c:v>
                </c:pt>
                <c:pt idx="1239">
                  <c:v>03-Jan-2025</c:v>
                </c:pt>
                <c:pt idx="1240">
                  <c:v>06-Jan-2025</c:v>
                </c:pt>
                <c:pt idx="1241">
                  <c:v>07-Jan-2025</c:v>
                </c:pt>
                <c:pt idx="1242">
                  <c:v>08-Jan-2025</c:v>
                </c:pt>
                <c:pt idx="1243">
                  <c:v>09-Jan-2025</c:v>
                </c:pt>
                <c:pt idx="1244">
                  <c:v>10-Jan-2025</c:v>
                </c:pt>
                <c:pt idx="1245">
                  <c:v>13-Jan-2025</c:v>
                </c:pt>
                <c:pt idx="1246">
                  <c:v>14-Jan-2025</c:v>
                </c:pt>
                <c:pt idx="1247">
                  <c:v>15-Jan-2025</c:v>
                </c:pt>
                <c:pt idx="1248">
                  <c:v>16-Jan-2025</c:v>
                </c:pt>
                <c:pt idx="1249">
                  <c:v>17-Jan-2025</c:v>
                </c:pt>
                <c:pt idx="1250">
                  <c:v>20-Jan-2025</c:v>
                </c:pt>
                <c:pt idx="1251">
                  <c:v>21-Jan-2025</c:v>
                </c:pt>
                <c:pt idx="1252">
                  <c:v>22-Jan-2025</c:v>
                </c:pt>
                <c:pt idx="1253">
                  <c:v>23-Jan-2025</c:v>
                </c:pt>
                <c:pt idx="1254">
                  <c:v>24-Jan-2025</c:v>
                </c:pt>
                <c:pt idx="1255">
                  <c:v>27-Jan-2025</c:v>
                </c:pt>
                <c:pt idx="1256">
                  <c:v>28-Jan-2025</c:v>
                </c:pt>
                <c:pt idx="1257">
                  <c:v>29-Jan-2025</c:v>
                </c:pt>
                <c:pt idx="1258">
                  <c:v>30-Jan-2025</c:v>
                </c:pt>
                <c:pt idx="1259">
                  <c:v>31-Jan-2025</c:v>
                </c:pt>
                <c:pt idx="1260">
                  <c:v>01-Feb-2025</c:v>
                </c:pt>
                <c:pt idx="1261">
                  <c:v>03-Feb-2025</c:v>
                </c:pt>
                <c:pt idx="1262">
                  <c:v>04-Feb-2025</c:v>
                </c:pt>
                <c:pt idx="1263">
                  <c:v>05-Feb-2025</c:v>
                </c:pt>
                <c:pt idx="1264">
                  <c:v>06-Feb-2025</c:v>
                </c:pt>
                <c:pt idx="1265">
                  <c:v>07-Feb-2025</c:v>
                </c:pt>
                <c:pt idx="1266">
                  <c:v>10-Feb-2025</c:v>
                </c:pt>
                <c:pt idx="1267">
                  <c:v>11-Feb-2025</c:v>
                </c:pt>
                <c:pt idx="1268">
                  <c:v>12-Feb-2025</c:v>
                </c:pt>
                <c:pt idx="1269">
                  <c:v>13-Feb-2025</c:v>
                </c:pt>
                <c:pt idx="1270">
                  <c:v>14-Feb-2025</c:v>
                </c:pt>
                <c:pt idx="1271">
                  <c:v>17-Feb-2025</c:v>
                </c:pt>
                <c:pt idx="1272">
                  <c:v>18-Feb-2025</c:v>
                </c:pt>
                <c:pt idx="1273">
                  <c:v>19-Feb-2025</c:v>
                </c:pt>
                <c:pt idx="1274">
                  <c:v>20-Feb-2025</c:v>
                </c:pt>
                <c:pt idx="1275">
                  <c:v>21-Feb-2025</c:v>
                </c:pt>
                <c:pt idx="1276">
                  <c:v>24-Feb-2025</c:v>
                </c:pt>
                <c:pt idx="1277">
                  <c:v>25-Feb-2025</c:v>
                </c:pt>
                <c:pt idx="1278">
                  <c:v>27-Feb-2025</c:v>
                </c:pt>
                <c:pt idx="1279">
                  <c:v>28-Feb-2025</c:v>
                </c:pt>
                <c:pt idx="1280">
                  <c:v>03-Mar-2025</c:v>
                </c:pt>
                <c:pt idx="1281">
                  <c:v>04-Mar-2025</c:v>
                </c:pt>
                <c:pt idx="1282">
                  <c:v>05-Mar-2025</c:v>
                </c:pt>
                <c:pt idx="1283">
                  <c:v>06-Mar-2025</c:v>
                </c:pt>
                <c:pt idx="1284">
                  <c:v>07-Mar-2025</c:v>
                </c:pt>
                <c:pt idx="1285">
                  <c:v>10-Mar-2025</c:v>
                </c:pt>
                <c:pt idx="1286">
                  <c:v>11-Mar-2025</c:v>
                </c:pt>
                <c:pt idx="1287">
                  <c:v>12-Mar-2025</c:v>
                </c:pt>
                <c:pt idx="1288">
                  <c:v>13-Mar-2025</c:v>
                </c:pt>
                <c:pt idx="1289">
                  <c:v>17-Mar-2025</c:v>
                </c:pt>
                <c:pt idx="1290">
                  <c:v>18-Mar-2025</c:v>
                </c:pt>
                <c:pt idx="1291">
                  <c:v>19-Mar-2025</c:v>
                </c:pt>
                <c:pt idx="1292">
                  <c:v>20-Mar-2025</c:v>
                </c:pt>
                <c:pt idx="1293">
                  <c:v>21-Mar-2025</c:v>
                </c:pt>
                <c:pt idx="1294">
                  <c:v>24-Mar-2025</c:v>
                </c:pt>
                <c:pt idx="1295">
                  <c:v>25-Mar-2025</c:v>
                </c:pt>
                <c:pt idx="1296">
                  <c:v>26-Mar-2025</c:v>
                </c:pt>
                <c:pt idx="1297">
                  <c:v>27-Mar-2025</c:v>
                </c:pt>
                <c:pt idx="1298">
                  <c:v>28-Mar-2025</c:v>
                </c:pt>
                <c:pt idx="1299">
                  <c:v>01-Apr-2025</c:v>
                </c:pt>
                <c:pt idx="1300">
                  <c:v>02-Apr-2025</c:v>
                </c:pt>
                <c:pt idx="1301">
                  <c:v>03-Apr-2025</c:v>
                </c:pt>
                <c:pt idx="1302">
                  <c:v>04-Apr-2025</c:v>
                </c:pt>
                <c:pt idx="1303">
                  <c:v>07-Apr-2025</c:v>
                </c:pt>
                <c:pt idx="1304">
                  <c:v>08-Apr-2025</c:v>
                </c:pt>
                <c:pt idx="1305">
                  <c:v>09-Apr-2025</c:v>
                </c:pt>
                <c:pt idx="1306">
                  <c:v>11-Apr-2025</c:v>
                </c:pt>
                <c:pt idx="1307">
                  <c:v>15-Apr-2025</c:v>
                </c:pt>
                <c:pt idx="1308">
                  <c:v>16-Apr-2025</c:v>
                </c:pt>
                <c:pt idx="1309">
                  <c:v>17-Apr-2025</c:v>
                </c:pt>
                <c:pt idx="1310">
                  <c:v>21-Apr-2025</c:v>
                </c:pt>
                <c:pt idx="1311">
                  <c:v>22-Apr-2025</c:v>
                </c:pt>
                <c:pt idx="1312">
                  <c:v>23-Apr-2025</c:v>
                </c:pt>
                <c:pt idx="1313">
                  <c:v>24-Apr-2025</c:v>
                </c:pt>
                <c:pt idx="1314">
                  <c:v>25-Apr-2025</c:v>
                </c:pt>
                <c:pt idx="1315">
                  <c:v>28-Apr-2025</c:v>
                </c:pt>
                <c:pt idx="1316">
                  <c:v>29-Apr-2025</c:v>
                </c:pt>
                <c:pt idx="1317">
                  <c:v>30-Apr-2025</c:v>
                </c:pt>
                <c:pt idx="1318">
                  <c:v>02-May-2025</c:v>
                </c:pt>
                <c:pt idx="1319">
                  <c:v>05-May-2025</c:v>
                </c:pt>
                <c:pt idx="1320">
                  <c:v>06-May-2025</c:v>
                </c:pt>
                <c:pt idx="1321">
                  <c:v>07-May-2025</c:v>
                </c:pt>
                <c:pt idx="1322">
                  <c:v>08-May-2025</c:v>
                </c:pt>
                <c:pt idx="1323">
                  <c:v>09-May-2025</c:v>
                </c:pt>
                <c:pt idx="1324">
                  <c:v>12-May-2025</c:v>
                </c:pt>
                <c:pt idx="1325">
                  <c:v>13-May-2025</c:v>
                </c:pt>
                <c:pt idx="1326">
                  <c:v>14-May-2025</c:v>
                </c:pt>
                <c:pt idx="1327">
                  <c:v>15-May-2025</c:v>
                </c:pt>
                <c:pt idx="1328">
                  <c:v>16-May-2025</c:v>
                </c:pt>
                <c:pt idx="1329">
                  <c:v>19-May-2025</c:v>
                </c:pt>
                <c:pt idx="1330">
                  <c:v>20-May-2025</c:v>
                </c:pt>
                <c:pt idx="1331">
                  <c:v>21-May-2025</c:v>
                </c:pt>
                <c:pt idx="1332">
                  <c:v>22-May-2025</c:v>
                </c:pt>
                <c:pt idx="1333">
                  <c:v>23-May-2025</c:v>
                </c:pt>
                <c:pt idx="1334">
                  <c:v>26-May-2025</c:v>
                </c:pt>
                <c:pt idx="1335">
                  <c:v>27-May-2025</c:v>
                </c:pt>
                <c:pt idx="1336">
                  <c:v>28-May-2025</c:v>
                </c:pt>
                <c:pt idx="1337">
                  <c:v>29-May-2025</c:v>
                </c:pt>
                <c:pt idx="1338">
                  <c:v>30-May-2025</c:v>
                </c:pt>
                <c:pt idx="1339">
                  <c:v>02-Jun-2025</c:v>
                </c:pt>
                <c:pt idx="1340">
                  <c:v>03-Jun-2025</c:v>
                </c:pt>
                <c:pt idx="1341">
                  <c:v>04-Jun-2025</c:v>
                </c:pt>
                <c:pt idx="1342">
                  <c:v>05-Jun-2025</c:v>
                </c:pt>
                <c:pt idx="1343">
                  <c:v>06-Jun-2025</c:v>
                </c:pt>
                <c:pt idx="1344">
                  <c:v>09-Jun-2025</c:v>
                </c:pt>
                <c:pt idx="1345">
                  <c:v>10-Jun-2025</c:v>
                </c:pt>
                <c:pt idx="1346">
                  <c:v>11-Jun-2025</c:v>
                </c:pt>
                <c:pt idx="1347">
                  <c:v>12-Jun-2025</c:v>
                </c:pt>
                <c:pt idx="1348">
                  <c:v>13-Jun-2025</c:v>
                </c:pt>
                <c:pt idx="1349">
                  <c:v>16-Jun-2025</c:v>
                </c:pt>
                <c:pt idx="1350">
                  <c:v>17-Jun-2025</c:v>
                </c:pt>
                <c:pt idx="1351">
                  <c:v>18-Jun-2025</c:v>
                </c:pt>
                <c:pt idx="1352">
                  <c:v>19-Jun-2025</c:v>
                </c:pt>
                <c:pt idx="1353">
                  <c:v>20-Jun-2025</c:v>
                </c:pt>
                <c:pt idx="1354">
                  <c:v>23-Jun-2025</c:v>
                </c:pt>
                <c:pt idx="1355">
                  <c:v>24-Jun-2025</c:v>
                </c:pt>
                <c:pt idx="1356">
                  <c:v>25-Jun-2025</c:v>
                </c:pt>
                <c:pt idx="1357">
                  <c:v>26-Jun-2025</c:v>
                </c:pt>
                <c:pt idx="1358">
                  <c:v>27-Jun-2025</c:v>
                </c:pt>
                <c:pt idx="1359">
                  <c:v>30-Jun-2025</c:v>
                </c:pt>
                <c:pt idx="1360">
                  <c:v>01-Jul-2025</c:v>
                </c:pt>
                <c:pt idx="1361">
                  <c:v>02-Jul-2025</c:v>
                </c:pt>
                <c:pt idx="1362">
                  <c:v>03-Jul-2025</c:v>
                </c:pt>
                <c:pt idx="1363">
                  <c:v>04-Jul-2025</c:v>
                </c:pt>
                <c:pt idx="1364">
                  <c:v>07-Jul-2025</c:v>
                </c:pt>
                <c:pt idx="1365">
                  <c:v>08-Jul-2025</c:v>
                </c:pt>
                <c:pt idx="1366">
                  <c:v>09-Jul-2025</c:v>
                </c:pt>
                <c:pt idx="1367">
                  <c:v>10-Jul-2025</c:v>
                </c:pt>
                <c:pt idx="1368">
                  <c:v>11-Jul-2025</c:v>
                </c:pt>
                <c:pt idx="1369">
                  <c:v>14-Jul-2025</c:v>
                </c:pt>
                <c:pt idx="1370">
                  <c:v>15-Jul-2025</c:v>
                </c:pt>
                <c:pt idx="1371">
                  <c:v>16-Jul-2025</c:v>
                </c:pt>
                <c:pt idx="1372">
                  <c:v>17-Jul-2025</c:v>
                </c:pt>
                <c:pt idx="1373">
                  <c:v>18-Jul-2025</c:v>
                </c:pt>
                <c:pt idx="1374">
                  <c:v>21-Jul-2025</c:v>
                </c:pt>
                <c:pt idx="1375">
                  <c:v>22-Jul-2025</c:v>
                </c:pt>
                <c:pt idx="1376">
                  <c:v>23-Jul-2025</c:v>
                </c:pt>
                <c:pt idx="1377">
                  <c:v>24-Jul-2025</c:v>
                </c:pt>
                <c:pt idx="1378">
                  <c:v>25-Jul-2025</c:v>
                </c:pt>
                <c:pt idx="1379">
                  <c:v>28-Jul-2025</c:v>
                </c:pt>
                <c:pt idx="1380">
                  <c:v>29-Jul-2025</c:v>
                </c:pt>
                <c:pt idx="1381">
                  <c:v>30-Jul-2025</c:v>
                </c:pt>
                <c:pt idx="1382">
                  <c:v>31-Jul-2025</c:v>
                </c:pt>
                <c:pt idx="1383">
                  <c:v>01-Aug-2025</c:v>
                </c:pt>
                <c:pt idx="1384">
                  <c:v>04-Aug-2025</c:v>
                </c:pt>
                <c:pt idx="1385">
                  <c:v>05-Aug-2025</c:v>
                </c:pt>
                <c:pt idx="1386">
                  <c:v>06-Aug-2025</c:v>
                </c:pt>
                <c:pt idx="1387">
                  <c:v>07-Aug-2025</c:v>
                </c:pt>
                <c:pt idx="1388">
                  <c:v>08-Aug-2025</c:v>
                </c:pt>
                <c:pt idx="1389">
                  <c:v>11-Aug-2025</c:v>
                </c:pt>
                <c:pt idx="1390">
                  <c:v>12-Aug-2025</c:v>
                </c:pt>
                <c:pt idx="1391">
                  <c:v>13-Aug-2025</c:v>
                </c:pt>
                <c:pt idx="1392">
                  <c:v>14-Aug-2025</c:v>
                </c:pt>
                <c:pt idx="1393">
                  <c:v>18-Aug-2025</c:v>
                </c:pt>
                <c:pt idx="1394">
                  <c:v>19-Aug-2025</c:v>
                </c:pt>
                <c:pt idx="1395">
                  <c:v>20-Aug-2025</c:v>
                </c:pt>
                <c:pt idx="1396">
                  <c:v>21-Aug-2025</c:v>
                </c:pt>
                <c:pt idx="1397">
                  <c:v>22-Aug-2025</c:v>
                </c:pt>
                <c:pt idx="1398">
                  <c:v>25-Aug-2025</c:v>
                </c:pt>
                <c:pt idx="1399">
                  <c:v>26-Aug-2025</c:v>
                </c:pt>
                <c:pt idx="1400">
                  <c:v>28-Aug-2025</c:v>
                </c:pt>
                <c:pt idx="1401">
                  <c:v>29-Aug-2025</c:v>
                </c:pt>
                <c:pt idx="1402">
                  <c:v>01-Sep-2025</c:v>
                </c:pt>
                <c:pt idx="1403">
                  <c:v>02-Sep-2025</c:v>
                </c:pt>
                <c:pt idx="1404">
                  <c:v>03-Sep-2025</c:v>
                </c:pt>
                <c:pt idx="1405">
                  <c:v>04-Sep-2025</c:v>
                </c:pt>
                <c:pt idx="1406">
                  <c:v>05-Sep-2025</c:v>
                </c:pt>
                <c:pt idx="1407">
                  <c:v>08-Sep-2025</c:v>
                </c:pt>
                <c:pt idx="1408">
                  <c:v>09-Sep-2025</c:v>
                </c:pt>
                <c:pt idx="1409">
                  <c:v>10-Sep-2025</c:v>
                </c:pt>
                <c:pt idx="1410">
                  <c:v>11-Sep-2025</c:v>
                </c:pt>
                <c:pt idx="1411">
                  <c:v>12-Sep-2025</c:v>
                </c:pt>
                <c:pt idx="1412">
                  <c:v>15-Sep-2025</c:v>
                </c:pt>
                <c:pt idx="1413">
                  <c:v>16-Sep-2025</c:v>
                </c:pt>
                <c:pt idx="1414">
                  <c:v>17-Sep-2025</c:v>
                </c:pt>
                <c:pt idx="1415">
                  <c:v>18-Sep-2025</c:v>
                </c:pt>
                <c:pt idx="1416">
                  <c:v>19-Sep-2025</c:v>
                </c:pt>
                <c:pt idx="1417">
                  <c:v>22-Sep-2025</c:v>
                </c:pt>
                <c:pt idx="1418">
                  <c:v>23-Sep-2025</c:v>
                </c:pt>
                <c:pt idx="1419">
                  <c:v>24-Sep-2025</c:v>
                </c:pt>
                <c:pt idx="1420">
                  <c:v>25-Sep-2025</c:v>
                </c:pt>
                <c:pt idx="1421">
                  <c:v>26-Sep-2025</c:v>
                </c:pt>
                <c:pt idx="1422">
                  <c:v>29-Sep-2025</c:v>
                </c:pt>
                <c:pt idx="1423">
                  <c:v>30-Sep-2025</c:v>
                </c:pt>
                <c:pt idx="1424">
                  <c:v>01-Oct-2025</c:v>
                </c:pt>
                <c:pt idx="1425">
                  <c:v>03-Oct-2025</c:v>
                </c:pt>
                <c:pt idx="1426">
                  <c:v>06-Oct-2025</c:v>
                </c:pt>
                <c:pt idx="1427">
                  <c:v>07-Oct-2025</c:v>
                </c:pt>
                <c:pt idx="1428">
                  <c:v>08-Oct-2025</c:v>
                </c:pt>
                <c:pt idx="1429">
                  <c:v>09-Oct-2025</c:v>
                </c:pt>
                <c:pt idx="1430">
                  <c:v>10-Oct-2025</c:v>
                </c:pt>
                <c:pt idx="1431">
                  <c:v>13-Oct-2025</c:v>
                </c:pt>
                <c:pt idx="1432">
                  <c:v>14-Oct-2025</c:v>
                </c:pt>
                <c:pt idx="1433">
                  <c:v>15-Oct-2025</c:v>
                </c:pt>
                <c:pt idx="1434">
                  <c:v>16-Oct-2025</c:v>
                </c:pt>
                <c:pt idx="1435">
                  <c:v>17-Oct-2025</c:v>
                </c:pt>
                <c:pt idx="1436">
                  <c:v>20-Oct-2025</c:v>
                </c:pt>
                <c:pt idx="1437">
                  <c:v>21-Oct-2025</c:v>
                </c:pt>
                <c:pt idx="1438">
                  <c:v>23-Oct-2025</c:v>
                </c:pt>
                <c:pt idx="1439">
                  <c:v>24-Oct-2025</c:v>
                </c:pt>
                <c:pt idx="1440">
                  <c:v>27-Oct-2025</c:v>
                </c:pt>
                <c:pt idx="1441">
                  <c:v>28-Oct-2025</c:v>
                </c:pt>
                <c:pt idx="1442">
                  <c:v>29-Oct-2025</c:v>
                </c:pt>
                <c:pt idx="1443">
                  <c:v>30-Oct-2025</c:v>
                </c:pt>
                <c:pt idx="1444">
                  <c:v>31-Oct-2025</c:v>
                </c:pt>
                <c:pt idx="1445">
                  <c:v>03-Nov-2025</c:v>
                </c:pt>
                <c:pt idx="1446">
                  <c:v>04-Nov-2025</c:v>
                </c:pt>
                <c:pt idx="1447">
                  <c:v>06-Nov-2025</c:v>
                </c:pt>
                <c:pt idx="1448">
                  <c:v>07-Nov-2025</c:v>
                </c:pt>
                <c:pt idx="1449">
                  <c:v>10-Nov-2025</c:v>
                </c:pt>
                <c:pt idx="1450">
                  <c:v>11-Nov-2025</c:v>
                </c:pt>
                <c:pt idx="1451">
                  <c:v>12-Nov-2025</c:v>
                </c:pt>
                <c:pt idx="1452">
                  <c:v>13-Nov-2025</c:v>
                </c:pt>
                <c:pt idx="1453">
                  <c:v>14-Nov-2025</c:v>
                </c:pt>
                <c:pt idx="1454">
                  <c:v>17-Nov-2025</c:v>
                </c:pt>
                <c:pt idx="1455">
                  <c:v>18-Nov-2025</c:v>
                </c:pt>
                <c:pt idx="1456">
                  <c:v>19-Nov-2025</c:v>
                </c:pt>
                <c:pt idx="1457">
                  <c:v>20-Nov-2025</c:v>
                </c:pt>
                <c:pt idx="1458">
                  <c:v>21-Nov-2025</c:v>
                </c:pt>
                <c:pt idx="1459">
                  <c:v>24-Nov-2025</c:v>
                </c:pt>
                <c:pt idx="1460">
                  <c:v>25-Nov-2025</c:v>
                </c:pt>
                <c:pt idx="1461">
                  <c:v>26-Nov-2025</c:v>
                </c:pt>
                <c:pt idx="1462">
                  <c:v>27-Nov-2025</c:v>
                </c:pt>
                <c:pt idx="1463">
                  <c:v>28-Nov-2025</c:v>
                </c:pt>
                <c:pt idx="1464">
                  <c:v>01-Dec-2025</c:v>
                </c:pt>
                <c:pt idx="1465">
                  <c:v>02-Dec-2025</c:v>
                </c:pt>
                <c:pt idx="1466">
                  <c:v>03-Dec-2025</c:v>
                </c:pt>
                <c:pt idx="1467">
                  <c:v>04-Dec-2025</c:v>
                </c:pt>
                <c:pt idx="1468">
                  <c:v>05-Dec-2025</c:v>
                </c:pt>
                <c:pt idx="1469">
                  <c:v>08-Dec-2025</c:v>
                </c:pt>
                <c:pt idx="1470">
                  <c:v>09-Dec-2025</c:v>
                </c:pt>
                <c:pt idx="1471">
                  <c:v>10-Dec-2025</c:v>
                </c:pt>
                <c:pt idx="1472">
                  <c:v>11-Dec-2025</c:v>
                </c:pt>
                <c:pt idx="1473">
                  <c:v>12-Dec-2025</c:v>
                </c:pt>
                <c:pt idx="1474">
                  <c:v>15-Dec-2025</c:v>
                </c:pt>
                <c:pt idx="1475">
                  <c:v>16-Dec-2025</c:v>
                </c:pt>
                <c:pt idx="1476">
                  <c:v>17-Dec-2025</c:v>
                </c:pt>
                <c:pt idx="1477">
                  <c:v>18-Dec-2025</c:v>
                </c:pt>
                <c:pt idx="1478">
                  <c:v>19-Dec-2025</c:v>
                </c:pt>
                <c:pt idx="1479">
                  <c:v>22-Dec-2025</c:v>
                </c:pt>
                <c:pt idx="1480">
                  <c:v>23-Dec-2025</c:v>
                </c:pt>
                <c:pt idx="1481">
                  <c:v>24-Dec-2025</c:v>
                </c:pt>
                <c:pt idx="1482">
                  <c:v>26-Dec-2025</c:v>
                </c:pt>
                <c:pt idx="1483">
                  <c:v>29-Dec-2025</c:v>
                </c:pt>
                <c:pt idx="1484">
                  <c:v>30-Dec-2025</c:v>
                </c:pt>
                <c:pt idx="1485">
                  <c:v>31-Dec-2025</c:v>
                </c:pt>
                <c:pt idx="1486">
                  <c:v>01-Jan-2026</c:v>
                </c:pt>
                <c:pt idx="1487">
                  <c:v>02-Jan-2026</c:v>
                </c:pt>
                <c:pt idx="1488">
                  <c:v>05-Jan-2026</c:v>
                </c:pt>
                <c:pt idx="1489">
                  <c:v>06-Jan-2026</c:v>
                </c:pt>
                <c:pt idx="1490">
                  <c:v>07-Jan-2026</c:v>
                </c:pt>
                <c:pt idx="1491">
                  <c:v>08-Jan-2026</c:v>
                </c:pt>
                <c:pt idx="1492">
                  <c:v>09-Jan-2026</c:v>
                </c:pt>
                <c:pt idx="1493">
                  <c:v>12-Jan-2026</c:v>
                </c:pt>
                <c:pt idx="1494">
                  <c:v>13-Jan-2026</c:v>
                </c:pt>
                <c:pt idx="1495">
                  <c:v>14-Jan-2026</c:v>
                </c:pt>
                <c:pt idx="1496">
                  <c:v>16-Jan-2026</c:v>
                </c:pt>
                <c:pt idx="1497">
                  <c:v>19-Jan-2026</c:v>
                </c:pt>
                <c:pt idx="1498">
                  <c:v>20-Jan-2026</c:v>
                </c:pt>
                <c:pt idx="1499">
                  <c:v>21-Jan-2026</c:v>
                </c:pt>
                <c:pt idx="1500">
                  <c:v>22-Jan-2026</c:v>
                </c:pt>
                <c:pt idx="1501">
                  <c:v>23-Jan-2026</c:v>
                </c:pt>
                <c:pt idx="1502">
                  <c:v>27-Jan-2026</c:v>
                </c:pt>
                <c:pt idx="1503">
                  <c:v>28-Jan-2026</c:v>
                </c:pt>
                <c:pt idx="1504">
                  <c:v>29-Jan-2026</c:v>
                </c:pt>
                <c:pt idx="1505">
                  <c:v>30-Jan-2026</c:v>
                </c:pt>
                <c:pt idx="1506">
                  <c:v>02-Feb-2026</c:v>
                </c:pt>
                <c:pt idx="1507">
                  <c:v>03-Feb-2026</c:v>
                </c:pt>
                <c:pt idx="1508">
                  <c:v>04-Feb-2026</c:v>
                </c:pt>
                <c:pt idx="1509">
                  <c:v>05-Feb-2026</c:v>
                </c:pt>
                <c:pt idx="1510">
                  <c:v>06-Feb-2026</c:v>
                </c:pt>
                <c:pt idx="1511">
                  <c:v>09-Feb-2026</c:v>
                </c:pt>
                <c:pt idx="1512">
                  <c:v>10-Feb-2026</c:v>
                </c:pt>
                <c:pt idx="1513">
                  <c:v>11-Feb-2026</c:v>
                </c:pt>
                <c:pt idx="1514">
                  <c:v>12-Feb-2026</c:v>
                </c:pt>
                <c:pt idx="1515">
                  <c:v>13-Feb-2026</c:v>
                </c:pt>
                <c:pt idx="1516">
                  <c:v>16-Feb-2026</c:v>
                </c:pt>
                <c:pt idx="1517">
                  <c:v>17-Feb-2026</c:v>
                </c:pt>
                <c:pt idx="1518">
                  <c:v>18-Feb-2026</c:v>
                </c:pt>
                <c:pt idx="1519">
                  <c:v>19-Feb-2026</c:v>
                </c:pt>
                <c:pt idx="1520">
                  <c:v>20-Feb-2026</c:v>
                </c:pt>
                <c:pt idx="1521">
                  <c:v>23-Feb-2026</c:v>
                </c:pt>
                <c:pt idx="1522">
                  <c:v>24-Feb-2026</c:v>
                </c:pt>
                <c:pt idx="1523">
                  <c:v>25-Feb-2026</c:v>
                </c:pt>
                <c:pt idx="1524">
                  <c:v>26-Feb-2026</c:v>
                </c:pt>
                <c:pt idx="1525">
                  <c:v>27-Feb-2026</c:v>
                </c:pt>
                <c:pt idx="1526">
                  <c:v>02-Mar-2026</c:v>
                </c:pt>
                <c:pt idx="1527">
                  <c:v>04-Mar-2026</c:v>
                </c:pt>
                <c:pt idx="1528">
                  <c:v>05-Mar-2026</c:v>
                </c:pt>
                <c:pt idx="1529">
                  <c:v>06-Mar-2026</c:v>
                </c:pt>
                <c:pt idx="1530">
                  <c:v>09-Mar-2026</c:v>
                </c:pt>
                <c:pt idx="1531">
                  <c:v>10-Mar-2026</c:v>
                </c:pt>
                <c:pt idx="1532">
                  <c:v>11-Mar-2026</c:v>
                </c:pt>
                <c:pt idx="1533">
                  <c:v>12-Mar-2026</c:v>
                </c:pt>
                <c:pt idx="1534">
                  <c:v>13-Mar-2026</c:v>
                </c:pt>
                <c:pt idx="1535">
                  <c:v>16-Mar-2026</c:v>
                </c:pt>
                <c:pt idx="1536">
                  <c:v>17-Mar-2026</c:v>
                </c:pt>
                <c:pt idx="1537">
                  <c:v>18-Mar-2026</c:v>
                </c:pt>
                <c:pt idx="1538">
                  <c:v>19-Mar-2026</c:v>
                </c:pt>
                <c:pt idx="1539">
                  <c:v>20-Mar-2026</c:v>
                </c:pt>
                <c:pt idx="1540">
                  <c:v>23-Mar-2026</c:v>
                </c:pt>
                <c:pt idx="1541">
                  <c:v>24-Mar-2026</c:v>
                </c:pt>
                <c:pt idx="1542">
                  <c:v>25-Mar-2026</c:v>
                </c:pt>
                <c:pt idx="1543">
                  <c:v>27-Mar-2026</c:v>
                </c:pt>
                <c:pt idx="1544">
                  <c:v>30-Mar-2026</c:v>
                </c:pt>
                <c:pt idx="1545">
                  <c:v>01-Apr-2026</c:v>
                </c:pt>
                <c:pt idx="1546">
                  <c:v>02-Apr-2026</c:v>
                </c:pt>
                <c:pt idx="1547">
                  <c:v>06-Apr-2026</c:v>
                </c:pt>
                <c:pt idx="1548">
                  <c:v>07-Apr-2026</c:v>
                </c:pt>
                <c:pt idx="1549">
                  <c:v>08-Apr-2026</c:v>
                </c:pt>
                <c:pt idx="1550">
                  <c:v>09-Apr-2026</c:v>
                </c:pt>
                <c:pt idx="1551">
                  <c:v>10-Apr-2026</c:v>
                </c:pt>
                <c:pt idx="1552">
                  <c:v>13-Apr-2026</c:v>
                </c:pt>
                <c:pt idx="1553">
                  <c:v>15-Apr-2026</c:v>
                </c:pt>
                <c:pt idx="1554">
                  <c:v>16-Apr-2026</c:v>
                </c:pt>
                <c:pt idx="1555">
                  <c:v>17-Apr-2026</c:v>
                </c:pt>
                <c:pt idx="1556">
                  <c:v>20-Apr-2026</c:v>
                </c:pt>
                <c:pt idx="1557">
                  <c:v>21-Apr-2026</c:v>
                </c:pt>
                <c:pt idx="1558">
                  <c:v>22-Apr-2026</c:v>
                </c:pt>
                <c:pt idx="1559">
                  <c:v>23-Apr-2026</c:v>
                </c:pt>
                <c:pt idx="1560">
                  <c:v>24-Apr-2026</c:v>
                </c:pt>
                <c:pt idx="1561">
                  <c:v>27-Apr-2026</c:v>
                </c:pt>
                <c:pt idx="1562">
                  <c:v>28-Apr-2026</c:v>
                </c:pt>
                <c:pt idx="1563">
                  <c:v>29-Apr-2026</c:v>
                </c:pt>
                <c:pt idx="1564">
                  <c:v>30-Apr-2026</c:v>
                </c:pt>
                <c:pt idx="1565">
                  <c:v>04-May-2026</c:v>
                </c:pt>
                <c:pt idx="1566">
                  <c:v>05-May-2026</c:v>
                </c:pt>
                <c:pt idx="1567">
                  <c:v>06-May-2026</c:v>
                </c:pt>
                <c:pt idx="1568">
                  <c:v>07-May-2026</c:v>
                </c:pt>
                <c:pt idx="1569">
                  <c:v>08-May-2026</c:v>
                </c:pt>
                <c:pt idx="1570">
                  <c:v>11-May-2026</c:v>
                </c:pt>
                <c:pt idx="1571">
                  <c:v>12-May-2026</c:v>
                </c:pt>
                <c:pt idx="1572">
                  <c:v>13-May-2026</c:v>
                </c:pt>
                <c:pt idx="1573">
                  <c:v>14-May-2026</c:v>
                </c:pt>
                <c:pt idx="1574">
                  <c:v>15-May-2026</c:v>
                </c:pt>
                <c:pt idx="1575">
                  <c:v>18-May-2026</c:v>
                </c:pt>
                <c:pt idx="1576">
                  <c:v>19-May-2026</c:v>
                </c:pt>
                <c:pt idx="1577">
                  <c:v>20-May-2026</c:v>
                </c:pt>
                <c:pt idx="1578">
                  <c:v>21-May-2026</c:v>
                </c:pt>
                <c:pt idx="1579">
                  <c:v>22-May-2026</c:v>
                </c:pt>
                <c:pt idx="1580">
                  <c:v>25-May-2026</c:v>
                </c:pt>
                <c:pt idx="1581">
                  <c:v>26-May-2026</c:v>
                </c:pt>
                <c:pt idx="1582">
                  <c:v>27-May-2026</c:v>
                </c:pt>
                <c:pt idx="1583">
                  <c:v>29-May-2026</c:v>
                </c:pt>
                <c:pt idx="1584">
                  <c:v>01-Jun-2026</c:v>
                </c:pt>
                <c:pt idx="1585">
                  <c:v>02-Jun-2026</c:v>
                </c:pt>
                <c:pt idx="1586">
                  <c:v>03-Jun-2026</c:v>
                </c:pt>
                <c:pt idx="1587">
                  <c:v>04-Jun-2026</c:v>
                </c:pt>
                <c:pt idx="1588">
                  <c:v>05-Jun-2026</c:v>
                </c:pt>
                <c:pt idx="1589">
                  <c:v>08-Jun-2026</c:v>
                </c:pt>
                <c:pt idx="1590">
                  <c:v>09-Jun-2026</c:v>
                </c:pt>
                <c:pt idx="1591">
                  <c:v>10-Jun-2026</c:v>
                </c:pt>
                <c:pt idx="1592">
                  <c:v>11-Jun-2026</c:v>
                </c:pt>
                <c:pt idx="1593">
                  <c:v>12-Jun-2026</c:v>
                </c:pt>
                <c:pt idx="1594">
                  <c:v>15-Jun-2026</c:v>
                </c:pt>
                <c:pt idx="1595">
                  <c:v>16-Jun-2026</c:v>
                </c:pt>
                <c:pt idx="1596">
                  <c:v>17-Jun-2026</c:v>
                </c:pt>
                <c:pt idx="1597">
                  <c:v>18-Jun-2026</c:v>
                </c:pt>
                <c:pt idx="1598">
                  <c:v>19-Jun-2026</c:v>
                </c:pt>
                <c:pt idx="1599">
                  <c:v>22-Jun-2026</c:v>
                </c:pt>
                <c:pt idx="1600">
                  <c:v>23-Jun-2026</c:v>
                </c:pt>
                <c:pt idx="1601">
                  <c:v>24-Jun-2026</c:v>
                </c:pt>
                <c:pt idx="1602">
                  <c:v>25-Jun-2026</c:v>
                </c:pt>
                <c:pt idx="1603">
                  <c:v>29-Jun-2026</c:v>
                </c:pt>
                <c:pt idx="1604">
                  <c:v>30-Jun-2026</c:v>
                </c:pt>
                <c:pt idx="1605">
                  <c:v>01-Jul-2026</c:v>
                </c:pt>
                <c:pt idx="1606">
                  <c:v>02-Jul-2026</c:v>
                </c:pt>
                <c:pt idx="1607">
                  <c:v>03-Jul-2026</c:v>
                </c:pt>
                <c:pt idx="1608">
                  <c:v>06-Jul-2026</c:v>
                </c:pt>
                <c:pt idx="1609">
                  <c:v>07-Jul-2026</c:v>
                </c:pt>
                <c:pt idx="1610">
                  <c:v>08-Jul-2026</c:v>
                </c:pt>
                <c:pt idx="1611">
                  <c:v>09-Jul-2026</c:v>
                </c:pt>
                <c:pt idx="1612">
                  <c:v>10-Jul-2026</c:v>
                </c:pt>
                <c:pt idx="1613">
                  <c:v>13-Jul-2026</c:v>
                </c:pt>
                <c:pt idx="1614">
                  <c:v>14-Jul-2026</c:v>
                </c:pt>
                <c:pt idx="1615">
                  <c:v>15-Jul-2026</c:v>
                </c:pt>
                <c:pt idx="1616">
                  <c:v>16-Jul-2026</c:v>
                </c:pt>
                <c:pt idx="1617">
                  <c:v>17-Jul-2026</c:v>
                </c:pt>
                <c:pt idx="1618">
                  <c:v>20-Jul-2026</c:v>
                </c:pt>
                <c:pt idx="1619">
                  <c:v>21-Jul-2026</c:v>
                </c:pt>
                <c:pt idx="1620">
                  <c:v>22-Jul-2026</c:v>
                </c:pt>
                <c:pt idx="1621">
                  <c:v>23-Jul-2026</c:v>
                </c:pt>
                <c:pt idx="1622">
                  <c:v>24-Jul-2026</c:v>
                </c:pt>
                <c:pt idx="1623">
                  <c:v>27-Jul-2026</c:v>
                </c:pt>
                <c:pt idx="1624">
                  <c:v>28-Jul-2026</c:v>
                </c:pt>
                <c:pt idx="1625">
                  <c:v>29-Jul-2026</c:v>
                </c:pt>
                <c:pt idx="1626">
                  <c:v>30-Jul-2026</c:v>
                </c:pt>
                <c:pt idx="1627">
                  <c:v>31-Jul-2026</c:v>
                </c:pt>
                <c:pt idx="1628">
                  <c:v>03-Aug-2026</c:v>
                </c:pt>
                <c:pt idx="1629">
                  <c:v>04-Aug-2026</c:v>
                </c:pt>
                <c:pt idx="1630">
                  <c:v>05-Aug-2026</c:v>
                </c:pt>
                <c:pt idx="1631">
                  <c:v>06-Aug-2026</c:v>
                </c:pt>
                <c:pt idx="1632">
                  <c:v>07-Aug-2026</c:v>
                </c:pt>
                <c:pt idx="1633">
                  <c:v>10-Aug-2026</c:v>
                </c:pt>
                <c:pt idx="1634">
                  <c:v>11-Aug-2026</c:v>
                </c:pt>
                <c:pt idx="1635">
                  <c:v>12-Aug-2026</c:v>
                </c:pt>
                <c:pt idx="1636">
                  <c:v>13-Aug-2026</c:v>
                </c:pt>
                <c:pt idx="1637">
                  <c:v>14-Aug-2026</c:v>
                </c:pt>
                <c:pt idx="1638">
                  <c:v>17-Aug-2026</c:v>
                </c:pt>
                <c:pt idx="1639">
                  <c:v>18-Aug-2026</c:v>
                </c:pt>
                <c:pt idx="1640">
                  <c:v>19-Aug-2026</c:v>
                </c:pt>
                <c:pt idx="1641">
                  <c:v>20-Aug-2026</c:v>
                </c:pt>
                <c:pt idx="1642">
                  <c:v>21-Aug-2026</c:v>
                </c:pt>
                <c:pt idx="1643">
                  <c:v>24-Aug-2026</c:v>
                </c:pt>
                <c:pt idx="1644">
                  <c:v>25-Aug-2026</c:v>
                </c:pt>
                <c:pt idx="1645">
                  <c:v>26-Aug-2026</c:v>
                </c:pt>
                <c:pt idx="1646">
                  <c:v>27-Aug-2026</c:v>
                </c:pt>
                <c:pt idx="1647">
                  <c:v>28-Aug-2026</c:v>
                </c:pt>
                <c:pt idx="1648">
                  <c:v>31-Aug-2026</c:v>
                </c:pt>
                <c:pt idx="1649">
                  <c:v>01-Sep-2026</c:v>
                </c:pt>
                <c:pt idx="1650">
                  <c:v>02-Sep-2026</c:v>
                </c:pt>
                <c:pt idx="1651">
                  <c:v>03-Sep-2026</c:v>
                </c:pt>
                <c:pt idx="1652">
                  <c:v>04-Sep-2026</c:v>
                </c:pt>
                <c:pt idx="1653">
                  <c:v>07-Sep-2026</c:v>
                </c:pt>
                <c:pt idx="1654">
                  <c:v>08-Sep-2026</c:v>
                </c:pt>
                <c:pt idx="1655">
                  <c:v>09-Sep-2026</c:v>
                </c:pt>
                <c:pt idx="1656">
                  <c:v>10-Sep-2026</c:v>
                </c:pt>
                <c:pt idx="1657">
                  <c:v>11-Sep-2026</c:v>
                </c:pt>
                <c:pt idx="1658">
                  <c:v>15-Sep-2026</c:v>
                </c:pt>
                <c:pt idx="1659">
                  <c:v>16-Sep-2026</c:v>
                </c:pt>
                <c:pt idx="1660">
                  <c:v>17-Sep-2026</c:v>
                </c:pt>
                <c:pt idx="1661">
                  <c:v>18-Sep-2026</c:v>
                </c:pt>
                <c:pt idx="1662">
                  <c:v>21-Sep-2026</c:v>
                </c:pt>
                <c:pt idx="1663">
                  <c:v>22-Sep-2026</c:v>
                </c:pt>
                <c:pt idx="1664">
                  <c:v>23-Sep-2026</c:v>
                </c:pt>
                <c:pt idx="1665">
                  <c:v>24-Sep-2026</c:v>
                </c:pt>
                <c:pt idx="1666">
                  <c:v>25-Sep-2026</c:v>
                </c:pt>
                <c:pt idx="1667">
                  <c:v>28-Sep-2026</c:v>
                </c:pt>
              </c:numCache>
            </c:numRef>
          </c:cat>
          <c:val>
            <c:numRef>
              <c:f>Data!$J$44:$J$1711</c:f>
              <c:numCache>
                <c:formatCode>0.0</c:formatCode>
                <c:ptCount val="1668"/>
                <c:pt idx="0">
                  <c:v>113.266991313627</c:v>
                </c:pt>
                <c:pt idx="1">
                  <c:v>113.389069180395</c:v>
                </c:pt>
                <c:pt idx="2">
                  <c:v>113.477902097761</c:v>
                </c:pt>
                <c:pt idx="3">
                  <c:v>113.579896610381</c:v>
                </c:pt>
                <c:pt idx="4">
                  <c:v>114.215833591338</c:v>
                </c:pt>
                <c:pt idx="5">
                  <c:v>114.234536318698</c:v>
                </c:pt>
                <c:pt idx="6">
                  <c:v>114.378919720459</c:v>
                </c:pt>
                <c:pt idx="7">
                  <c:v>114.439386048867</c:v>
                </c:pt>
                <c:pt idx="8">
                  <c:v>114.867611606304</c:v>
                </c:pt>
                <c:pt idx="9">
                  <c:v>114.978000901879</c:v>
                </c:pt>
                <c:pt idx="10">
                  <c:v>115.112183786345</c:v>
                </c:pt>
                <c:pt idx="11">
                  <c:v>115.202662312561</c:v>
                </c:pt>
                <c:pt idx="12">
                  <c:v>115.255734103434</c:v>
                </c:pt>
                <c:pt idx="13">
                  <c:v>115.255734103434</c:v>
                </c:pt>
                <c:pt idx="14">
                  <c:v>115.419747698872</c:v>
                </c:pt>
                <c:pt idx="15">
                  <c:v>115.447023091458</c:v>
                </c:pt>
                <c:pt idx="16">
                  <c:v>115.458520412839</c:v>
                </c:pt>
                <c:pt idx="17">
                  <c:v>115.561263701298</c:v>
                </c:pt>
                <c:pt idx="18">
                  <c:v>115.620815402346</c:v>
                </c:pt>
                <c:pt idx="19">
                  <c:v>115.715968698277</c:v>
                </c:pt>
                <c:pt idx="20">
                  <c:v>115.973871977186</c:v>
                </c:pt>
                <c:pt idx="21">
                  <c:v>116.030982432947</c:v>
                </c:pt>
                <c:pt idx="22">
                  <c:v>116.34641353009</c:v>
                </c:pt>
                <c:pt idx="23">
                  <c:v>116.405205736855</c:v>
                </c:pt>
                <c:pt idx="24">
                  <c:v>116.51048113524</c:v>
                </c:pt>
                <c:pt idx="25">
                  <c:v>116.549294664335</c:v>
                </c:pt>
                <c:pt idx="26">
                  <c:v>116.595553761838</c:v>
                </c:pt>
                <c:pt idx="27">
                  <c:v>116.669510867896</c:v>
                </c:pt>
                <c:pt idx="28">
                  <c:v>117.016532496705</c:v>
                </c:pt>
                <c:pt idx="29">
                  <c:v>117.087124660424</c:v>
                </c:pt>
                <c:pt idx="30">
                  <c:v>117.113756223002</c:v>
                </c:pt>
                <c:pt idx="31">
                  <c:v>117.087124660424</c:v>
                </c:pt>
                <c:pt idx="32">
                  <c:v>117.087124660424</c:v>
                </c:pt>
                <c:pt idx="33">
                  <c:v>117.113756223002</c:v>
                </c:pt>
                <c:pt idx="34">
                  <c:v>117.480476862406</c:v>
                </c:pt>
                <c:pt idx="35">
                  <c:v>117.486770470708</c:v>
                </c:pt>
                <c:pt idx="36">
                  <c:v>117.519419604972</c:v>
                </c:pt>
                <c:pt idx="37">
                  <c:v>117.85798224705</c:v>
                </c:pt>
                <c:pt idx="38">
                  <c:v>117.918380892239</c:v>
                </c:pt>
                <c:pt idx="39">
                  <c:v>117.918380892239</c:v>
                </c:pt>
                <c:pt idx="40">
                  <c:v>117.918380892239</c:v>
                </c:pt>
                <c:pt idx="41">
                  <c:v>117.918380892239</c:v>
                </c:pt>
                <c:pt idx="42">
                  <c:v>117.918380892239</c:v>
                </c:pt>
                <c:pt idx="43">
                  <c:v>117.918380892239</c:v>
                </c:pt>
                <c:pt idx="44">
                  <c:v>117.918380892239</c:v>
                </c:pt>
                <c:pt idx="45">
                  <c:v>117.945820559564</c:v>
                </c:pt>
                <c:pt idx="46">
                  <c:v>117.918380892239</c:v>
                </c:pt>
                <c:pt idx="47">
                  <c:v>117.85798224705</c:v>
                </c:pt>
                <c:pt idx="48">
                  <c:v>117.83326016977</c:v>
                </c:pt>
                <c:pt idx="49">
                  <c:v>117.83326016977</c:v>
                </c:pt>
                <c:pt idx="50">
                  <c:v>116.614834904584</c:v>
                </c:pt>
                <c:pt idx="51">
                  <c:v>116.061720607001</c:v>
                </c:pt>
                <c:pt idx="52">
                  <c:v>116.061720607001</c:v>
                </c:pt>
                <c:pt idx="53">
                  <c:v>115.987481759436</c:v>
                </c:pt>
                <c:pt idx="54">
                  <c:v>115.118529017352</c:v>
                </c:pt>
                <c:pt idx="55">
                  <c:v>114.654537434415</c:v>
                </c:pt>
                <c:pt idx="56">
                  <c:v>113.280932480047</c:v>
                </c:pt>
                <c:pt idx="57">
                  <c:v>112.632142767044</c:v>
                </c:pt>
                <c:pt idx="58">
                  <c:v>112.616723739584</c:v>
                </c:pt>
                <c:pt idx="59">
                  <c:v>112.445395071024</c:v>
                </c:pt>
                <c:pt idx="60">
                  <c:v>112.254394149417</c:v>
                </c:pt>
                <c:pt idx="61">
                  <c:v>110.814733499243</c:v>
                </c:pt>
                <c:pt idx="62">
                  <c:v>110.398096392145</c:v>
                </c:pt>
                <c:pt idx="63">
                  <c:v>110.102378807901</c:v>
                </c:pt>
                <c:pt idx="64">
                  <c:v>110.102378807901</c:v>
                </c:pt>
                <c:pt idx="65">
                  <c:v>108.288569730095</c:v>
                </c:pt>
                <c:pt idx="66">
                  <c:v>107.828191617983</c:v>
                </c:pt>
                <c:pt idx="67">
                  <c:v>107.828191617983</c:v>
                </c:pt>
                <c:pt idx="68">
                  <c:v>106.81544899525</c:v>
                </c:pt>
                <c:pt idx="69">
                  <c:v>106.512242004672</c:v>
                </c:pt>
                <c:pt idx="70">
                  <c:v>106.388660684882</c:v>
                </c:pt>
                <c:pt idx="71">
                  <c:v>106.326452763053</c:v>
                </c:pt>
                <c:pt idx="72">
                  <c:v>105.716747345227</c:v>
                </c:pt>
                <c:pt idx="73">
                  <c:v>105.487391751382</c:v>
                </c:pt>
                <c:pt idx="74">
                  <c:v>105.419747974854</c:v>
                </c:pt>
                <c:pt idx="75">
                  <c:v>105.181510858161</c:v>
                </c:pt>
                <c:pt idx="76">
                  <c:v>104.680382734379</c:v>
                </c:pt>
                <c:pt idx="77">
                  <c:v>103.955352773966</c:v>
                </c:pt>
                <c:pt idx="78">
                  <c:v>103.112717279811</c:v>
                </c:pt>
                <c:pt idx="79">
                  <c:v>102.729220797594</c:v>
                </c:pt>
                <c:pt idx="80">
                  <c:v>102.544320519507</c:v>
                </c:pt>
                <c:pt idx="81">
                  <c:v>101.70231437812</c:v>
                </c:pt>
                <c:pt idx="82">
                  <c:v>101.652300166176</c:v>
                </c:pt>
                <c:pt idx="83">
                  <c:v>101.652300166176</c:v>
                </c:pt>
                <c:pt idx="84">
                  <c:v>101.652300166176</c:v>
                </c:pt>
                <c:pt idx="85">
                  <c:v>101.646946711776</c:v>
                </c:pt>
                <c:pt idx="86">
                  <c:v>101.613508272902</c:v>
                </c:pt>
                <c:pt idx="87">
                  <c:v>101.3867518884</c:v>
                </c:pt>
                <c:pt idx="88">
                  <c:v>101.097459220229</c:v>
                </c:pt>
                <c:pt idx="89">
                  <c:v>100.965599816133</c:v>
                </c:pt>
                <c:pt idx="90">
                  <c:v>100.656695311957</c:v>
                </c:pt>
                <c:pt idx="91">
                  <c:v>100.656695311957</c:v>
                </c:pt>
                <c:pt idx="92">
                  <c:v>100.781897249977</c:v>
                </c:pt>
                <c:pt idx="93">
                  <c:v>100.907099187997</c:v>
                </c:pt>
                <c:pt idx="94">
                  <c:v>100.781897249977</c:v>
                </c:pt>
                <c:pt idx="95">
                  <c:v>100.656695311957</c:v>
                </c:pt>
                <c:pt idx="96">
                  <c:v>100.618250453482</c:v>
                </c:pt>
                <c:pt idx="97">
                  <c:v>100.579805595007</c:v>
                </c:pt>
                <c:pt idx="98">
                  <c:v>100.454355650732</c:v>
                </c:pt>
                <c:pt idx="99">
                  <c:v>100.328905706457</c:v>
                </c:pt>
                <c:pt idx="100">
                  <c:v>100.164452853229</c:v>
                </c:pt>
                <c:pt idx="101">
                  <c:v>100</c:v>
                </c:pt>
                <c:pt idx="102">
                  <c:v>100.164452853229</c:v>
                </c:pt>
                <c:pt idx="103">
                  <c:v>100.164452853229</c:v>
                </c:pt>
                <c:pt idx="104">
                  <c:v>99.9997780158939</c:v>
                </c:pt>
                <c:pt idx="105">
                  <c:v>99.9373241278743</c:v>
                </c:pt>
                <c:pt idx="106">
                  <c:v>99.2185883864858</c:v>
                </c:pt>
                <c:pt idx="107">
                  <c:v>99.2185883864858</c:v>
                </c:pt>
                <c:pt idx="108">
                  <c:v>98.5265730941405</c:v>
                </c:pt>
                <c:pt idx="109">
                  <c:v>98.3914810606157</c:v>
                </c:pt>
                <c:pt idx="110">
                  <c:v>97.717408213693</c:v>
                </c:pt>
                <c:pt idx="111">
                  <c:v>97.0578163949522</c:v>
                </c:pt>
                <c:pt idx="112">
                  <c:v>96.6723665769466</c:v>
                </c:pt>
                <c:pt idx="113">
                  <c:v>96.3720163094139</c:v>
                </c:pt>
                <c:pt idx="114">
                  <c:v>96.2641159569049</c:v>
                </c:pt>
                <c:pt idx="115">
                  <c:v>96.1562156043958</c:v>
                </c:pt>
                <c:pt idx="116">
                  <c:v>95.9419483411491</c:v>
                </c:pt>
                <c:pt idx="117">
                  <c:v>95.7276810779024</c:v>
                </c:pt>
                <c:pt idx="118">
                  <c:v>95.5992234436676</c:v>
                </c:pt>
                <c:pt idx="119">
                  <c:v>95.4707658094328</c:v>
                </c:pt>
                <c:pt idx="120">
                  <c:v>95.4690485397802</c:v>
                </c:pt>
                <c:pt idx="121">
                  <c:v>95.4673312701276</c:v>
                </c:pt>
                <c:pt idx="122">
                  <c:v>95.3019502919248</c:v>
                </c:pt>
                <c:pt idx="123">
                  <c:v>95.136569313722</c:v>
                </c:pt>
                <c:pt idx="124">
                  <c:v>94.826957980632</c:v>
                </c:pt>
                <c:pt idx="125">
                  <c:v>94.4686797577306</c:v>
                </c:pt>
                <c:pt idx="126">
                  <c:v>94.4686797577306</c:v>
                </c:pt>
                <c:pt idx="127">
                  <c:v>94.4345056737808</c:v>
                </c:pt>
                <c:pt idx="128">
                  <c:v>94.3932969988903</c:v>
                </c:pt>
                <c:pt idx="129">
                  <c:v>94.2288925885522</c:v>
                </c:pt>
                <c:pt idx="130">
                  <c:v>94.1590069883754</c:v>
                </c:pt>
                <c:pt idx="131">
                  <c:v>94.2288925885522</c:v>
                </c:pt>
                <c:pt idx="132">
                  <c:v>94.2288925885522</c:v>
                </c:pt>
                <c:pt idx="133">
                  <c:v>94.1590069883754</c:v>
                </c:pt>
                <c:pt idx="134">
                  <c:v>93.9759135835638</c:v>
                </c:pt>
                <c:pt idx="135">
                  <c:v>93.9622222952563</c:v>
                </c:pt>
                <c:pt idx="136">
                  <c:v>93.9606536734465</c:v>
                </c:pt>
                <c:pt idx="137">
                  <c:v>93.9341992971429</c:v>
                </c:pt>
                <c:pt idx="138">
                  <c:v>93.9341992971429</c:v>
                </c:pt>
                <c:pt idx="139">
                  <c:v>93.8755033460679</c:v>
                </c:pt>
                <c:pt idx="140">
                  <c:v>93.8654434950153</c:v>
                </c:pt>
                <c:pt idx="141">
                  <c:v>93.8654434950153</c:v>
                </c:pt>
                <c:pt idx="142">
                  <c:v>93.8755033460679</c:v>
                </c:pt>
                <c:pt idx="143">
                  <c:v>93.9341992971429</c:v>
                </c:pt>
                <c:pt idx="144">
                  <c:v>93.9341992971429</c:v>
                </c:pt>
                <c:pt idx="145">
                  <c:v>93.9759135835638</c:v>
                </c:pt>
                <c:pt idx="146">
                  <c:v>94.1590069883754</c:v>
                </c:pt>
                <c:pt idx="147">
                  <c:v>94.1590069883754</c:v>
                </c:pt>
                <c:pt idx="148">
                  <c:v>94.1590069883754</c:v>
                </c:pt>
                <c:pt idx="149">
                  <c:v>94.1590069883754</c:v>
                </c:pt>
                <c:pt idx="150">
                  <c:v>94.3289501619737</c:v>
                </c:pt>
                <c:pt idx="151">
                  <c:v>94.4028349784988</c:v>
                </c:pt>
                <c:pt idx="152">
                  <c:v>94.4028349784988</c:v>
                </c:pt>
                <c:pt idx="153">
                  <c:v>94.4305347179501</c:v>
                </c:pt>
                <c:pt idx="154">
                  <c:v>94.4640671261466</c:v>
                </c:pt>
                <c:pt idx="155">
                  <c:v>94.4657896122093</c:v>
                </c:pt>
                <c:pt idx="156">
                  <c:v>94.5990468568415</c:v>
                </c:pt>
                <c:pt idx="157">
                  <c:v>95.0036938725306</c:v>
                </c:pt>
                <c:pt idx="158">
                  <c:v>95.2657794499348</c:v>
                </c:pt>
                <c:pt idx="159">
                  <c:v>95.4014022426292</c:v>
                </c:pt>
                <c:pt idx="160">
                  <c:v>95.4269434964833</c:v>
                </c:pt>
                <c:pt idx="161">
                  <c:v>95.4406250956431</c:v>
                </c:pt>
                <c:pt idx="162">
                  <c:v>95.4696021567763</c:v>
                </c:pt>
                <c:pt idx="163">
                  <c:v>95.8945902103577</c:v>
                </c:pt>
                <c:pt idx="164">
                  <c:v>96.0263083157971</c:v>
                </c:pt>
                <c:pt idx="165">
                  <c:v>96.1004431959097</c:v>
                </c:pt>
                <c:pt idx="166">
                  <c:v>96.4340403209369</c:v>
                </c:pt>
                <c:pt idx="167">
                  <c:v>96.4546067939925</c:v>
                </c:pt>
                <c:pt idx="168">
                  <c:v>96.4627885728556</c:v>
                </c:pt>
                <c:pt idx="169">
                  <c:v>96.4969376945645</c:v>
                </c:pt>
                <c:pt idx="170">
                  <c:v>96.7569903805386</c:v>
                </c:pt>
                <c:pt idx="171">
                  <c:v>97.1043697300111</c:v>
                </c:pt>
                <c:pt idx="172">
                  <c:v>97.2717533369484</c:v>
                </c:pt>
                <c:pt idx="173">
                  <c:v>97.2717533369484</c:v>
                </c:pt>
                <c:pt idx="174">
                  <c:v>97.3483705960407</c:v>
                </c:pt>
                <c:pt idx="175">
                  <c:v>97.3992781370019</c:v>
                </c:pt>
                <c:pt idx="176">
                  <c:v>97.3992781370019</c:v>
                </c:pt>
                <c:pt idx="177">
                  <c:v>97.3992781370019</c:v>
                </c:pt>
                <c:pt idx="178">
                  <c:v>97.5210473720535</c:v>
                </c:pt>
                <c:pt idx="179">
                  <c:v>97.5210473720535</c:v>
                </c:pt>
                <c:pt idx="180">
                  <c:v>97.5210473720535</c:v>
                </c:pt>
                <c:pt idx="181">
                  <c:v>97.5210473720535</c:v>
                </c:pt>
                <c:pt idx="182">
                  <c:v>97.5575936324819</c:v>
                </c:pt>
                <c:pt idx="183">
                  <c:v>97.5928015912306</c:v>
                </c:pt>
                <c:pt idx="184">
                  <c:v>97.6061023828258</c:v>
                </c:pt>
                <c:pt idx="185">
                  <c:v>97.6090935603128</c:v>
                </c:pt>
                <c:pt idx="186">
                  <c:v>97.8400209798028</c:v>
                </c:pt>
                <c:pt idx="187">
                  <c:v>97.8400209798028</c:v>
                </c:pt>
                <c:pt idx="188">
                  <c:v>97.6090935603128</c:v>
                </c:pt>
                <c:pt idx="189">
                  <c:v>97.8400209798028</c:v>
                </c:pt>
                <c:pt idx="190">
                  <c:v>97.8400209798028</c:v>
                </c:pt>
                <c:pt idx="191">
                  <c:v>97.8400209798028</c:v>
                </c:pt>
                <c:pt idx="192">
                  <c:v>97.8400209798028</c:v>
                </c:pt>
                <c:pt idx="193">
                  <c:v>97.8400209798028</c:v>
                </c:pt>
                <c:pt idx="194">
                  <c:v>97.8691328338026</c:v>
                </c:pt>
                <c:pt idx="195">
                  <c:v>97.8691328338026</c:v>
                </c:pt>
                <c:pt idx="196">
                  <c:v>97.9446291808662</c:v>
                </c:pt>
                <c:pt idx="197">
                  <c:v>98.1878125253074</c:v>
                </c:pt>
                <c:pt idx="198">
                  <c:v>98.1878125253074</c:v>
                </c:pt>
                <c:pt idx="199">
                  <c:v>98.0823484855101</c:v>
                </c:pt>
                <c:pt idx="200">
                  <c:v>98.0823484855101</c:v>
                </c:pt>
                <c:pt idx="201">
                  <c:v>98.1408225230711</c:v>
                </c:pt>
                <c:pt idx="202">
                  <c:v>98.1878125253074</c:v>
                </c:pt>
                <c:pt idx="203">
                  <c:v>98.3216066021345</c:v>
                </c:pt>
                <c:pt idx="204">
                  <c:v>98.430972391736</c:v>
                </c:pt>
                <c:pt idx="205">
                  <c:v>98.5997655481229</c:v>
                </c:pt>
                <c:pt idx="206">
                  <c:v>98.6278666686324</c:v>
                </c:pt>
                <c:pt idx="207">
                  <c:v>98.7205699707264</c:v>
                </c:pt>
                <c:pt idx="208">
                  <c:v>99.0046767300171</c:v>
                </c:pt>
                <c:pt idx="209">
                  <c:v>99.1729306600005</c:v>
                </c:pt>
                <c:pt idx="210">
                  <c:v>99.2543645689704</c:v>
                </c:pt>
                <c:pt idx="211">
                  <c:v>99.3783312721094</c:v>
                </c:pt>
                <c:pt idx="212">
                  <c:v>99.544087274967</c:v>
                </c:pt>
                <c:pt idx="213">
                  <c:v>99.5948907259854</c:v>
                </c:pt>
                <c:pt idx="214">
                  <c:v>99.8513979646764</c:v>
                </c:pt>
                <c:pt idx="215">
                  <c:v>100.335651565687</c:v>
                </c:pt>
                <c:pt idx="216">
                  <c:v>100.489121499611</c:v>
                </c:pt>
                <c:pt idx="217">
                  <c:v>100.602619955879</c:v>
                </c:pt>
                <c:pt idx="218">
                  <c:v>101.13005300899</c:v>
                </c:pt>
                <c:pt idx="219">
                  <c:v>101.833163359269</c:v>
                </c:pt>
                <c:pt idx="220">
                  <c:v>102.448512912928</c:v>
                </c:pt>
                <c:pt idx="221">
                  <c:v>102.510398216888</c:v>
                </c:pt>
                <c:pt idx="222">
                  <c:v>102.631171721384</c:v>
                </c:pt>
                <c:pt idx="223">
                  <c:v>102.971870772363</c:v>
                </c:pt>
                <c:pt idx="224">
                  <c:v>103.161123878032</c:v>
                </c:pt>
                <c:pt idx="225">
                  <c:v>103.36759521511</c:v>
                </c:pt>
                <c:pt idx="226">
                  <c:v>103.492532220568</c:v>
                </c:pt>
                <c:pt idx="227">
                  <c:v>103.914770467236</c:v>
                </c:pt>
                <c:pt idx="228">
                  <c:v>104.016106463884</c:v>
                </c:pt>
                <c:pt idx="229">
                  <c:v>104.098934286877</c:v>
                </c:pt>
                <c:pt idx="230">
                  <c:v>104.100036478226</c:v>
                </c:pt>
                <c:pt idx="231">
                  <c:v>104.479786083422</c:v>
                </c:pt>
                <c:pt idx="232">
                  <c:v>104.479786083422</c:v>
                </c:pt>
                <c:pt idx="233">
                  <c:v>104.577568262964</c:v>
                </c:pt>
                <c:pt idx="234">
                  <c:v>104.83069510988</c:v>
                </c:pt>
                <c:pt idx="235">
                  <c:v>105.079660300226</c:v>
                </c:pt>
                <c:pt idx="236">
                  <c:v>105.189264685888</c:v>
                </c:pt>
                <c:pt idx="237">
                  <c:v>105.227053268722</c:v>
                </c:pt>
                <c:pt idx="238">
                  <c:v>105.280993245422</c:v>
                </c:pt>
                <c:pt idx="239">
                  <c:v>105.552209624356</c:v>
                </c:pt>
                <c:pt idx="240">
                  <c:v>105.577441736367</c:v>
                </c:pt>
                <c:pt idx="241">
                  <c:v>106.136674987573</c:v>
                </c:pt>
                <c:pt idx="242">
                  <c:v>106.595443693676</c:v>
                </c:pt>
                <c:pt idx="243">
                  <c:v>107.017993445613</c:v>
                </c:pt>
                <c:pt idx="244">
                  <c:v>107.337469648034</c:v>
                </c:pt>
                <c:pt idx="245">
                  <c:v>107.396836321149</c:v>
                </c:pt>
                <c:pt idx="246">
                  <c:v>107.399672952451</c:v>
                </c:pt>
                <c:pt idx="247">
                  <c:v>107.587825945379</c:v>
                </c:pt>
                <c:pt idx="248">
                  <c:v>107.658733537207</c:v>
                </c:pt>
                <c:pt idx="249">
                  <c:v>107.696460387889</c:v>
                </c:pt>
                <c:pt idx="250">
                  <c:v>107.727857767812</c:v>
                </c:pt>
                <c:pt idx="251">
                  <c:v>108.962963033252</c:v>
                </c:pt>
                <c:pt idx="252">
                  <c:v>109.036347986212</c:v>
                </c:pt>
                <c:pt idx="253">
                  <c:v>109.124303677595</c:v>
                </c:pt>
                <c:pt idx="254">
                  <c:v>109.496309813897</c:v>
                </c:pt>
                <c:pt idx="255">
                  <c:v>110.615575810967</c:v>
                </c:pt>
                <c:pt idx="256">
                  <c:v>111.139746701091</c:v>
                </c:pt>
                <c:pt idx="257">
                  <c:v>111.922980673666</c:v>
                </c:pt>
                <c:pt idx="258">
                  <c:v>112.028122766476</c:v>
                </c:pt>
                <c:pt idx="259">
                  <c:v>112.213325665792</c:v>
                </c:pt>
                <c:pt idx="260">
                  <c:v>112.365794642485</c:v>
                </c:pt>
                <c:pt idx="261">
                  <c:v>113.317734205288</c:v>
                </c:pt>
                <c:pt idx="262">
                  <c:v>113.422001245323</c:v>
                </c:pt>
                <c:pt idx="263">
                  <c:v>114.262419989874</c:v>
                </c:pt>
                <c:pt idx="264">
                  <c:v>114.401578505628</c:v>
                </c:pt>
                <c:pt idx="265">
                  <c:v>114.793892244042</c:v>
                </c:pt>
                <c:pt idx="266">
                  <c:v>115.40290026103</c:v>
                </c:pt>
                <c:pt idx="267">
                  <c:v>115.501579123556</c:v>
                </c:pt>
                <c:pt idx="268">
                  <c:v>115.639438991834</c:v>
                </c:pt>
                <c:pt idx="269">
                  <c:v>117.25637540319</c:v>
                </c:pt>
                <c:pt idx="270">
                  <c:v>118.64581882574</c:v>
                </c:pt>
                <c:pt idx="271">
                  <c:v>120.351841573393</c:v>
                </c:pt>
                <c:pt idx="272">
                  <c:v>120.575532919489</c:v>
                </c:pt>
                <c:pt idx="273">
                  <c:v>120.707693955942</c:v>
                </c:pt>
                <c:pt idx="274">
                  <c:v>121.598564559392</c:v>
                </c:pt>
                <c:pt idx="275">
                  <c:v>121.598564559392</c:v>
                </c:pt>
                <c:pt idx="276">
                  <c:v>121.72167237317</c:v>
                </c:pt>
                <c:pt idx="277">
                  <c:v>121.753369378851</c:v>
                </c:pt>
                <c:pt idx="278">
                  <c:v>121.775936448275</c:v>
                </c:pt>
                <c:pt idx="279">
                  <c:v>121.775936448275</c:v>
                </c:pt>
                <c:pt idx="280">
                  <c:v>121.815936284817</c:v>
                </c:pt>
                <c:pt idx="281">
                  <c:v>121.828324288011</c:v>
                </c:pt>
                <c:pt idx="282">
                  <c:v>122.074537277224</c:v>
                </c:pt>
                <c:pt idx="283">
                  <c:v>122.291755177978</c:v>
                </c:pt>
                <c:pt idx="284">
                  <c:v>122.291755177978</c:v>
                </c:pt>
                <c:pt idx="285">
                  <c:v>122.609000241959</c:v>
                </c:pt>
                <c:pt idx="286">
                  <c:v>122.835348803401</c:v>
                </c:pt>
                <c:pt idx="287">
                  <c:v>122.899811579104</c:v>
                </c:pt>
                <c:pt idx="288">
                  <c:v>122.905023471373</c:v>
                </c:pt>
                <c:pt idx="289">
                  <c:v>122.975159898723</c:v>
                </c:pt>
                <c:pt idx="290">
                  <c:v>123.202184626069</c:v>
                </c:pt>
                <c:pt idx="291">
                  <c:v>123.202184626069</c:v>
                </c:pt>
                <c:pt idx="292">
                  <c:v>122.975159898723</c:v>
                </c:pt>
                <c:pt idx="293">
                  <c:v>123.202184626069</c:v>
                </c:pt>
                <c:pt idx="294">
                  <c:v>123.826251825451</c:v>
                </c:pt>
                <c:pt idx="295">
                  <c:v>123.851350276486</c:v>
                </c:pt>
                <c:pt idx="296">
                  <c:v>124.00323814694</c:v>
                </c:pt>
                <c:pt idx="297">
                  <c:v>124.00323814694</c:v>
                </c:pt>
                <c:pt idx="298">
                  <c:v>124.00323814694</c:v>
                </c:pt>
                <c:pt idx="299">
                  <c:v>124.00323814694</c:v>
                </c:pt>
                <c:pt idx="300">
                  <c:v>124.304273271911</c:v>
                </c:pt>
                <c:pt idx="301">
                  <c:v>124.640495858224</c:v>
                </c:pt>
                <c:pt idx="302">
                  <c:v>124.640495858224</c:v>
                </c:pt>
                <c:pt idx="303">
                  <c:v>124.304273271911</c:v>
                </c:pt>
                <c:pt idx="304">
                  <c:v>124.640495858224</c:v>
                </c:pt>
                <c:pt idx="305">
                  <c:v>124.654807198076</c:v>
                </c:pt>
                <c:pt idx="306">
                  <c:v>124.79661465656</c:v>
                </c:pt>
                <c:pt idx="307">
                  <c:v>124.79661465656</c:v>
                </c:pt>
                <c:pt idx="308">
                  <c:v>124.884083654039</c:v>
                </c:pt>
                <c:pt idx="309">
                  <c:v>124.902478195237</c:v>
                </c:pt>
                <c:pt idx="310">
                  <c:v>124.902478195237</c:v>
                </c:pt>
                <c:pt idx="311">
                  <c:v>124.902478195237</c:v>
                </c:pt>
                <c:pt idx="312">
                  <c:v>124.902478195237</c:v>
                </c:pt>
                <c:pt idx="313">
                  <c:v>125.19928756245</c:v>
                </c:pt>
                <c:pt idx="314">
                  <c:v>125.19928756245</c:v>
                </c:pt>
                <c:pt idx="315">
                  <c:v>125.19928756245</c:v>
                </c:pt>
                <c:pt idx="316">
                  <c:v>125.19928756245</c:v>
                </c:pt>
                <c:pt idx="317">
                  <c:v>125.358185925228</c:v>
                </c:pt>
                <c:pt idx="318">
                  <c:v>125.447079803557</c:v>
                </c:pt>
                <c:pt idx="319">
                  <c:v>125.659616169303</c:v>
                </c:pt>
                <c:pt idx="320">
                  <c:v>125.659616169303</c:v>
                </c:pt>
                <c:pt idx="321">
                  <c:v>125.659616169303</c:v>
                </c:pt>
                <c:pt idx="322">
                  <c:v>125.951266794086</c:v>
                </c:pt>
                <c:pt idx="323">
                  <c:v>126.090313042887</c:v>
                </c:pt>
                <c:pt idx="324">
                  <c:v>126.469364875263</c:v>
                </c:pt>
                <c:pt idx="325">
                  <c:v>126.495728686792</c:v>
                </c:pt>
                <c:pt idx="326">
                  <c:v>126.495728686792</c:v>
                </c:pt>
                <c:pt idx="327">
                  <c:v>126.469364875263</c:v>
                </c:pt>
                <c:pt idx="328">
                  <c:v>126.469364875263</c:v>
                </c:pt>
                <c:pt idx="329">
                  <c:v>126.495728686792</c:v>
                </c:pt>
                <c:pt idx="330">
                  <c:v>126.495728686792</c:v>
                </c:pt>
                <c:pt idx="331">
                  <c:v>126.495728686792</c:v>
                </c:pt>
                <c:pt idx="332">
                  <c:v>126.495728686792</c:v>
                </c:pt>
                <c:pt idx="333">
                  <c:v>126.668512624523</c:v>
                </c:pt>
                <c:pt idx="334">
                  <c:v>126.82262592528</c:v>
                </c:pt>
                <c:pt idx="335">
                  <c:v>126.910264325377</c:v>
                </c:pt>
                <c:pt idx="336">
                  <c:v>127.035578510714</c:v>
                </c:pt>
                <c:pt idx="337">
                  <c:v>127.035578510714</c:v>
                </c:pt>
                <c:pt idx="338">
                  <c:v>127.035578510714</c:v>
                </c:pt>
                <c:pt idx="339">
                  <c:v>127.035578510714</c:v>
                </c:pt>
                <c:pt idx="340">
                  <c:v>127.193949351996</c:v>
                </c:pt>
                <c:pt idx="341">
                  <c:v>127.449808906287</c:v>
                </c:pt>
                <c:pt idx="342">
                  <c:v>127.73540487055</c:v>
                </c:pt>
                <c:pt idx="343">
                  <c:v>127.751208285171</c:v>
                </c:pt>
                <c:pt idx="344">
                  <c:v>128.045486932299</c:v>
                </c:pt>
                <c:pt idx="345">
                  <c:v>128.230320316598</c:v>
                </c:pt>
                <c:pt idx="346">
                  <c:v>128.230320316598</c:v>
                </c:pt>
                <c:pt idx="347">
                  <c:v>128.432115731288</c:v>
                </c:pt>
                <c:pt idx="348">
                  <c:v>128.438244887087</c:v>
                </c:pt>
                <c:pt idx="349">
                  <c:v>128.465023907472</c:v>
                </c:pt>
                <c:pt idx="350">
                  <c:v>128.798905238831</c:v>
                </c:pt>
                <c:pt idx="351">
                  <c:v>128.822482870983</c:v>
                </c:pt>
                <c:pt idx="352">
                  <c:v>128.873550247636</c:v>
                </c:pt>
                <c:pt idx="353">
                  <c:v>128.931960983804</c:v>
                </c:pt>
                <c:pt idx="354">
                  <c:v>128.987663687364</c:v>
                </c:pt>
                <c:pt idx="355">
                  <c:v>129.033487762403</c:v>
                </c:pt>
                <c:pt idx="356">
                  <c:v>129.101957466521</c:v>
                </c:pt>
                <c:pt idx="357">
                  <c:v>129.126922274584</c:v>
                </c:pt>
                <c:pt idx="358">
                  <c:v>129.135134692863</c:v>
                </c:pt>
                <c:pt idx="359">
                  <c:v>129.245343569682</c:v>
                </c:pt>
                <c:pt idx="360">
                  <c:v>129.327105256716</c:v>
                </c:pt>
                <c:pt idx="361">
                  <c:v>129.378436767974</c:v>
                </c:pt>
                <c:pt idx="362">
                  <c:v>129.489195209394</c:v>
                </c:pt>
                <c:pt idx="363">
                  <c:v>129.616645653961</c:v>
                </c:pt>
                <c:pt idx="364">
                  <c:v>129.89479043899</c:v>
                </c:pt>
                <c:pt idx="365">
                  <c:v>130.111329876263</c:v>
                </c:pt>
                <c:pt idx="366">
                  <c:v>130.136137770566</c:v>
                </c:pt>
                <c:pt idx="367">
                  <c:v>130.257339325396</c:v>
                </c:pt>
                <c:pt idx="368">
                  <c:v>130.342635294943</c:v>
                </c:pt>
                <c:pt idx="369">
                  <c:v>130.486571812281</c:v>
                </c:pt>
                <c:pt idx="370">
                  <c:v>130.584623390791</c:v>
                </c:pt>
                <c:pt idx="371">
                  <c:v>130.693429887383</c:v>
                </c:pt>
                <c:pt idx="372">
                  <c:v>130.933728164298</c:v>
                </c:pt>
                <c:pt idx="373">
                  <c:v>131.032953974766</c:v>
                </c:pt>
                <c:pt idx="374">
                  <c:v>131.410704898581</c:v>
                </c:pt>
                <c:pt idx="375">
                  <c:v>131.525640375852</c:v>
                </c:pt>
                <c:pt idx="376">
                  <c:v>131.69390158046</c:v>
                </c:pt>
                <c:pt idx="377">
                  <c:v>131.818075552464</c:v>
                </c:pt>
                <c:pt idx="378">
                  <c:v>131.905048845352</c:v>
                </c:pt>
                <c:pt idx="379">
                  <c:v>131.999966037018</c:v>
                </c:pt>
                <c:pt idx="380">
                  <c:v>131.999966037018</c:v>
                </c:pt>
                <c:pt idx="381">
                  <c:v>132.192666729775</c:v>
                </c:pt>
                <c:pt idx="382">
                  <c:v>132.192666729775</c:v>
                </c:pt>
                <c:pt idx="383">
                  <c:v>132.192666729775</c:v>
                </c:pt>
                <c:pt idx="384">
                  <c:v>132.35866352603</c:v>
                </c:pt>
                <c:pt idx="385">
                  <c:v>132.655431271663</c:v>
                </c:pt>
                <c:pt idx="386">
                  <c:v>132.666063474175</c:v>
                </c:pt>
                <c:pt idx="387">
                  <c:v>132.823977349961</c:v>
                </c:pt>
                <c:pt idx="388">
                  <c:v>132.823977349961</c:v>
                </c:pt>
                <c:pt idx="389">
                  <c:v>132.823977349961</c:v>
                </c:pt>
                <c:pt idx="390">
                  <c:v>132.823977349961</c:v>
                </c:pt>
                <c:pt idx="391">
                  <c:v>132.847482767989</c:v>
                </c:pt>
                <c:pt idx="392">
                  <c:v>132.847482767989</c:v>
                </c:pt>
                <c:pt idx="393">
                  <c:v>132.847482767989</c:v>
                </c:pt>
                <c:pt idx="394">
                  <c:v>132.847482767989</c:v>
                </c:pt>
                <c:pt idx="395">
                  <c:v>132.934657157382</c:v>
                </c:pt>
                <c:pt idx="396">
                  <c:v>133.184488514373</c:v>
                </c:pt>
                <c:pt idx="397">
                  <c:v>133.184488514373</c:v>
                </c:pt>
                <c:pt idx="398">
                  <c:v>133.184488514373</c:v>
                </c:pt>
                <c:pt idx="399">
                  <c:v>133.382548605147</c:v>
                </c:pt>
                <c:pt idx="400">
                  <c:v>133.472650947339</c:v>
                </c:pt>
                <c:pt idx="401">
                  <c:v>133.472650947339</c:v>
                </c:pt>
                <c:pt idx="402">
                  <c:v>133.554414054474</c:v>
                </c:pt>
                <c:pt idx="403">
                  <c:v>133.713766225629</c:v>
                </c:pt>
                <c:pt idx="404">
                  <c:v>133.903990721602</c:v>
                </c:pt>
                <c:pt idx="405">
                  <c:v>134.056237748837</c:v>
                </c:pt>
                <c:pt idx="406">
                  <c:v>134.056237748837</c:v>
                </c:pt>
                <c:pt idx="407">
                  <c:v>134.270323131365</c:v>
                </c:pt>
                <c:pt idx="408">
                  <c:v>134.294340538259</c:v>
                </c:pt>
                <c:pt idx="409">
                  <c:v>134.317153247894</c:v>
                </c:pt>
                <c:pt idx="410">
                  <c:v>134.32010830498</c:v>
                </c:pt>
                <c:pt idx="411">
                  <c:v>134.32010830498</c:v>
                </c:pt>
                <c:pt idx="412">
                  <c:v>134.32010830498</c:v>
                </c:pt>
                <c:pt idx="413">
                  <c:v>134.32010830498</c:v>
                </c:pt>
                <c:pt idx="414">
                  <c:v>134.51629825651</c:v>
                </c:pt>
                <c:pt idx="415">
                  <c:v>134.51629825651</c:v>
                </c:pt>
                <c:pt idx="416">
                  <c:v>134.51629825651</c:v>
                </c:pt>
                <c:pt idx="417">
                  <c:v>134.683598954517</c:v>
                </c:pt>
                <c:pt idx="418">
                  <c:v>134.683598954517</c:v>
                </c:pt>
                <c:pt idx="419">
                  <c:v>134.727394742636</c:v>
                </c:pt>
                <c:pt idx="420">
                  <c:v>134.750345083598</c:v>
                </c:pt>
                <c:pt idx="421">
                  <c:v>134.799467946692</c:v>
                </c:pt>
                <c:pt idx="422">
                  <c:v>134.805837504869</c:v>
                </c:pt>
                <c:pt idx="423">
                  <c:v>134.896220164234</c:v>
                </c:pt>
                <c:pt idx="424">
                  <c:v>134.896220164234</c:v>
                </c:pt>
                <c:pt idx="425">
                  <c:v>134.896220164234</c:v>
                </c:pt>
                <c:pt idx="426">
                  <c:v>134.952254191033</c:v>
                </c:pt>
                <c:pt idx="427">
                  <c:v>134.952254191033</c:v>
                </c:pt>
                <c:pt idx="428">
                  <c:v>135.227749724221</c:v>
                </c:pt>
                <c:pt idx="429">
                  <c:v>135.326743740254</c:v>
                </c:pt>
                <c:pt idx="430">
                  <c:v>135.362020226481</c:v>
                </c:pt>
                <c:pt idx="431">
                  <c:v>135.362020226481</c:v>
                </c:pt>
                <c:pt idx="432">
                  <c:v>135.426549196336</c:v>
                </c:pt>
                <c:pt idx="433">
                  <c:v>135.727379525071</c:v>
                </c:pt>
                <c:pt idx="434">
                  <c:v>135.872754043118</c:v>
                </c:pt>
                <c:pt idx="435">
                  <c:v>135.888232033146</c:v>
                </c:pt>
                <c:pt idx="436">
                  <c:v>136.110366057701</c:v>
                </c:pt>
                <c:pt idx="437">
                  <c:v>136.309371608594</c:v>
                </c:pt>
                <c:pt idx="438">
                  <c:v>136.309371608594</c:v>
                </c:pt>
                <c:pt idx="439">
                  <c:v>136.414015935973</c:v>
                </c:pt>
                <c:pt idx="440">
                  <c:v>136.555592008225</c:v>
                </c:pt>
                <c:pt idx="441">
                  <c:v>136.555592008225</c:v>
                </c:pt>
                <c:pt idx="442">
                  <c:v>136.555592008225</c:v>
                </c:pt>
                <c:pt idx="443">
                  <c:v>136.633239688796</c:v>
                </c:pt>
                <c:pt idx="444">
                  <c:v>136.633239688796</c:v>
                </c:pt>
                <c:pt idx="445">
                  <c:v>136.66189118448</c:v>
                </c:pt>
                <c:pt idx="446">
                  <c:v>136.801949864445</c:v>
                </c:pt>
                <c:pt idx="447">
                  <c:v>136.821255229721</c:v>
                </c:pt>
                <c:pt idx="448">
                  <c:v>137.138502646396</c:v>
                </c:pt>
                <c:pt idx="449">
                  <c:v>137.317198038727</c:v>
                </c:pt>
                <c:pt idx="450">
                  <c:v>137.657700748724</c:v>
                </c:pt>
                <c:pt idx="451">
                  <c:v>137.821787675236</c:v>
                </c:pt>
                <c:pt idx="452">
                  <c:v>137.821787675236</c:v>
                </c:pt>
                <c:pt idx="453">
                  <c:v>137.964266069101</c:v>
                </c:pt>
                <c:pt idx="454">
                  <c:v>138.06654967298</c:v>
                </c:pt>
                <c:pt idx="455">
                  <c:v>138.46562338846</c:v>
                </c:pt>
                <c:pt idx="456">
                  <c:v>138.876519245232</c:v>
                </c:pt>
                <c:pt idx="457">
                  <c:v>138.910449912099</c:v>
                </c:pt>
                <c:pt idx="458">
                  <c:v>138.955317877223</c:v>
                </c:pt>
                <c:pt idx="459">
                  <c:v>139.08991083543</c:v>
                </c:pt>
                <c:pt idx="460">
                  <c:v>139.094393628774</c:v>
                </c:pt>
                <c:pt idx="461">
                  <c:v>139.281710572686</c:v>
                </c:pt>
                <c:pt idx="462">
                  <c:v>139.094393628774</c:v>
                </c:pt>
                <c:pt idx="463">
                  <c:v>139.094393628774</c:v>
                </c:pt>
                <c:pt idx="464">
                  <c:v>139.094393628774</c:v>
                </c:pt>
                <c:pt idx="465">
                  <c:v>139.269355534204</c:v>
                </c:pt>
                <c:pt idx="466">
                  <c:v>139.281710572686</c:v>
                </c:pt>
                <c:pt idx="467">
                  <c:v>139.620066597163</c:v>
                </c:pt>
                <c:pt idx="468">
                  <c:v>139.620066597163</c:v>
                </c:pt>
                <c:pt idx="469">
                  <c:v>139.770307679229</c:v>
                </c:pt>
                <c:pt idx="470">
                  <c:v>139.797490356491</c:v>
                </c:pt>
                <c:pt idx="471">
                  <c:v>139.913306590795</c:v>
                </c:pt>
                <c:pt idx="472">
                  <c:v>140.218700375001</c:v>
                </c:pt>
                <c:pt idx="473">
                  <c:v>140.325047803763</c:v>
                </c:pt>
                <c:pt idx="474">
                  <c:v>140.44996516156</c:v>
                </c:pt>
                <c:pt idx="475">
                  <c:v>140.625045112184</c:v>
                </c:pt>
                <c:pt idx="476">
                  <c:v>140.835047028995</c:v>
                </c:pt>
                <c:pt idx="477">
                  <c:v>140.938314504095</c:v>
                </c:pt>
                <c:pt idx="478">
                  <c:v>140.938314504095</c:v>
                </c:pt>
                <c:pt idx="479">
                  <c:v>140.938314504095</c:v>
                </c:pt>
                <c:pt idx="480">
                  <c:v>141.063841527364</c:v>
                </c:pt>
                <c:pt idx="481">
                  <c:v>141.491986450222</c:v>
                </c:pt>
                <c:pt idx="482">
                  <c:v>141.063841527364</c:v>
                </c:pt>
                <c:pt idx="483">
                  <c:v>141.063841527364</c:v>
                </c:pt>
                <c:pt idx="484">
                  <c:v>141.491986450222</c:v>
                </c:pt>
                <c:pt idx="485">
                  <c:v>141.642661634977</c:v>
                </c:pt>
                <c:pt idx="486">
                  <c:v>141.642661634977</c:v>
                </c:pt>
                <c:pt idx="487">
                  <c:v>141.491986450222</c:v>
                </c:pt>
                <c:pt idx="488">
                  <c:v>141.642661634977</c:v>
                </c:pt>
                <c:pt idx="489">
                  <c:v>141.660930183092</c:v>
                </c:pt>
                <c:pt idx="490">
                  <c:v>141.671827240888</c:v>
                </c:pt>
                <c:pt idx="491">
                  <c:v>141.660930183092</c:v>
                </c:pt>
                <c:pt idx="492">
                  <c:v>141.642661634977</c:v>
                </c:pt>
                <c:pt idx="493">
                  <c:v>141.642661634977</c:v>
                </c:pt>
                <c:pt idx="494">
                  <c:v>141.642661634977</c:v>
                </c:pt>
                <c:pt idx="495">
                  <c:v>141.660930183092</c:v>
                </c:pt>
                <c:pt idx="496">
                  <c:v>141.671827240888</c:v>
                </c:pt>
                <c:pt idx="497">
                  <c:v>141.671827240888</c:v>
                </c:pt>
                <c:pt idx="498">
                  <c:v>141.714210061917</c:v>
                </c:pt>
                <c:pt idx="499">
                  <c:v>141.968987606968</c:v>
                </c:pt>
                <c:pt idx="500">
                  <c:v>142.100748031779</c:v>
                </c:pt>
                <c:pt idx="501">
                  <c:v>141.968987606968</c:v>
                </c:pt>
                <c:pt idx="502">
                  <c:v>141.968987606968</c:v>
                </c:pt>
                <c:pt idx="503">
                  <c:v>141.968987606968</c:v>
                </c:pt>
                <c:pt idx="504">
                  <c:v>141.968987606968</c:v>
                </c:pt>
                <c:pt idx="505">
                  <c:v>141.877154818724</c:v>
                </c:pt>
                <c:pt idx="506">
                  <c:v>141.877154818724</c:v>
                </c:pt>
                <c:pt idx="507">
                  <c:v>141.877154818724</c:v>
                </c:pt>
                <c:pt idx="508">
                  <c:v>141.877154818724</c:v>
                </c:pt>
                <c:pt idx="509">
                  <c:v>142.100748031779</c:v>
                </c:pt>
                <c:pt idx="510">
                  <c:v>141.877154818724</c:v>
                </c:pt>
                <c:pt idx="511">
                  <c:v>141.714210061917</c:v>
                </c:pt>
                <c:pt idx="512">
                  <c:v>141.714210061917</c:v>
                </c:pt>
                <c:pt idx="513">
                  <c:v>141.714210061917</c:v>
                </c:pt>
                <c:pt idx="514">
                  <c:v>141.624852150812</c:v>
                </c:pt>
                <c:pt idx="515">
                  <c:v>141.624852150812</c:v>
                </c:pt>
                <c:pt idx="516">
                  <c:v>141.624852150812</c:v>
                </c:pt>
                <c:pt idx="517">
                  <c:v>141.584341430865</c:v>
                </c:pt>
                <c:pt idx="518">
                  <c:v>141.584341430865</c:v>
                </c:pt>
                <c:pt idx="519">
                  <c:v>141.584341430865</c:v>
                </c:pt>
                <c:pt idx="520">
                  <c:v>141.584341430865</c:v>
                </c:pt>
                <c:pt idx="521">
                  <c:v>141.584341430865</c:v>
                </c:pt>
                <c:pt idx="522">
                  <c:v>141.624852150812</c:v>
                </c:pt>
                <c:pt idx="523">
                  <c:v>141.624852150812</c:v>
                </c:pt>
                <c:pt idx="524">
                  <c:v>141.877154818724</c:v>
                </c:pt>
                <c:pt idx="525">
                  <c:v>141.624852150812</c:v>
                </c:pt>
                <c:pt idx="526">
                  <c:v>142.807950007955</c:v>
                </c:pt>
                <c:pt idx="527">
                  <c:v>143.167141808367</c:v>
                </c:pt>
                <c:pt idx="528">
                  <c:v>143.363221198089</c:v>
                </c:pt>
                <c:pt idx="529">
                  <c:v>143.598061942919</c:v>
                </c:pt>
                <c:pt idx="530">
                  <c:v>143.619102609927</c:v>
                </c:pt>
                <c:pt idx="531">
                  <c:v>143.619102609927</c:v>
                </c:pt>
                <c:pt idx="532">
                  <c:v>143.619102609927</c:v>
                </c:pt>
                <c:pt idx="533">
                  <c:v>143.791173590967</c:v>
                </c:pt>
                <c:pt idx="534">
                  <c:v>143.939612520544</c:v>
                </c:pt>
                <c:pt idx="535">
                  <c:v>144.048653919438</c:v>
                </c:pt>
                <c:pt idx="536">
                  <c:v>143.988655584106</c:v>
                </c:pt>
                <c:pt idx="537">
                  <c:v>143.988655584106</c:v>
                </c:pt>
                <c:pt idx="538">
                  <c:v>144.048653919438</c:v>
                </c:pt>
                <c:pt idx="539">
                  <c:v>144.387436695931</c:v>
                </c:pt>
                <c:pt idx="540">
                  <c:v>144.387436695931</c:v>
                </c:pt>
                <c:pt idx="541">
                  <c:v>144.494340629876</c:v>
                </c:pt>
                <c:pt idx="542">
                  <c:v>144.790151055044</c:v>
                </c:pt>
                <c:pt idx="543">
                  <c:v>144.790151055044</c:v>
                </c:pt>
                <c:pt idx="544">
                  <c:v>144.494340629876</c:v>
                </c:pt>
                <c:pt idx="545">
                  <c:v>144.478917020939</c:v>
                </c:pt>
                <c:pt idx="546">
                  <c:v>144.478917020939</c:v>
                </c:pt>
                <c:pt idx="547">
                  <c:v>144.494340629876</c:v>
                </c:pt>
                <c:pt idx="548">
                  <c:v>144.478917020939</c:v>
                </c:pt>
                <c:pt idx="549">
                  <c:v>144.387436695931</c:v>
                </c:pt>
                <c:pt idx="550">
                  <c:v>144.387436695931</c:v>
                </c:pt>
                <c:pt idx="551">
                  <c:v>144.478917020939</c:v>
                </c:pt>
                <c:pt idx="552">
                  <c:v>144.478917020939</c:v>
                </c:pt>
                <c:pt idx="553">
                  <c:v>144.478917020939</c:v>
                </c:pt>
                <c:pt idx="554">
                  <c:v>144.478917020939</c:v>
                </c:pt>
                <c:pt idx="555">
                  <c:v>144.478917020939</c:v>
                </c:pt>
                <c:pt idx="556">
                  <c:v>144.478917020939</c:v>
                </c:pt>
                <c:pt idx="557">
                  <c:v>144.478917020939</c:v>
                </c:pt>
                <c:pt idx="558">
                  <c:v>144.478917020939</c:v>
                </c:pt>
                <c:pt idx="559">
                  <c:v>144.258917783641</c:v>
                </c:pt>
                <c:pt idx="560">
                  <c:v>144.258917783641</c:v>
                </c:pt>
                <c:pt idx="561">
                  <c:v>144.368263325377</c:v>
                </c:pt>
                <c:pt idx="562">
                  <c:v>144.368263325377</c:v>
                </c:pt>
                <c:pt idx="563">
                  <c:v>144.258917783641</c:v>
                </c:pt>
                <c:pt idx="564">
                  <c:v>144.258917783641</c:v>
                </c:pt>
                <c:pt idx="565">
                  <c:v>144.258917783641</c:v>
                </c:pt>
                <c:pt idx="566">
                  <c:v>144.368263325377</c:v>
                </c:pt>
                <c:pt idx="567">
                  <c:v>144.621053322705</c:v>
                </c:pt>
                <c:pt idx="568">
                  <c:v>144.806176332029</c:v>
                </c:pt>
                <c:pt idx="569">
                  <c:v>144.920355019084</c:v>
                </c:pt>
                <c:pt idx="570">
                  <c:v>144.927170776945</c:v>
                </c:pt>
                <c:pt idx="571">
                  <c:v>144.927170776945</c:v>
                </c:pt>
                <c:pt idx="572">
                  <c:v>145.006479359678</c:v>
                </c:pt>
                <c:pt idx="573">
                  <c:v>145.206882047903</c:v>
                </c:pt>
                <c:pt idx="574">
                  <c:v>145.530364625624</c:v>
                </c:pt>
                <c:pt idx="575">
                  <c:v>146.279979401665</c:v>
                </c:pt>
                <c:pt idx="576">
                  <c:v>146.684917973927</c:v>
                </c:pt>
                <c:pt idx="577">
                  <c:v>146.812105616883</c:v>
                </c:pt>
                <c:pt idx="578">
                  <c:v>146.894932855083</c:v>
                </c:pt>
                <c:pt idx="579">
                  <c:v>148.361843684974</c:v>
                </c:pt>
                <c:pt idx="580">
                  <c:v>148.490240209619</c:v>
                </c:pt>
                <c:pt idx="581">
                  <c:v>148.518246001985</c:v>
                </c:pt>
                <c:pt idx="582">
                  <c:v>148.636359975059</c:v>
                </c:pt>
                <c:pt idx="583">
                  <c:v>148.779574256704</c:v>
                </c:pt>
                <c:pt idx="584">
                  <c:v>149.024001430535</c:v>
                </c:pt>
                <c:pt idx="585">
                  <c:v>149.945363641119</c:v>
                </c:pt>
                <c:pt idx="586">
                  <c:v>150.06325216778</c:v>
                </c:pt>
                <c:pt idx="587">
                  <c:v>150.891175776203</c:v>
                </c:pt>
                <c:pt idx="588">
                  <c:v>151.02105879362</c:v>
                </c:pt>
                <c:pt idx="589">
                  <c:v>151.091780453652</c:v>
                </c:pt>
                <c:pt idx="590">
                  <c:v>151.400035911792</c:v>
                </c:pt>
                <c:pt idx="591">
                  <c:v>151.433353262978</c:v>
                </c:pt>
                <c:pt idx="592">
                  <c:v>151.781913250631</c:v>
                </c:pt>
                <c:pt idx="593">
                  <c:v>151.805485662138</c:v>
                </c:pt>
                <c:pt idx="594">
                  <c:v>151.805485662138</c:v>
                </c:pt>
                <c:pt idx="595">
                  <c:v>151.834685461529</c:v>
                </c:pt>
                <c:pt idx="596">
                  <c:v>151.908306143333</c:v>
                </c:pt>
                <c:pt idx="597">
                  <c:v>152.030601307097</c:v>
                </c:pt>
                <c:pt idx="598">
                  <c:v>152.170834537485</c:v>
                </c:pt>
                <c:pt idx="599">
                  <c:v>152.170834537485</c:v>
                </c:pt>
                <c:pt idx="600">
                  <c:v>152.030601307097</c:v>
                </c:pt>
                <c:pt idx="601">
                  <c:v>152.030601307097</c:v>
                </c:pt>
                <c:pt idx="602">
                  <c:v>151.908306143333</c:v>
                </c:pt>
                <c:pt idx="603">
                  <c:v>151.908306143333</c:v>
                </c:pt>
                <c:pt idx="604">
                  <c:v>151.908306143333</c:v>
                </c:pt>
                <c:pt idx="605">
                  <c:v>152.170834537485</c:v>
                </c:pt>
                <c:pt idx="606">
                  <c:v>152.224842759599</c:v>
                </c:pt>
                <c:pt idx="607">
                  <c:v>152.336355684871</c:v>
                </c:pt>
                <c:pt idx="608">
                  <c:v>152.336355684871</c:v>
                </c:pt>
                <c:pt idx="609">
                  <c:v>152.496013386695</c:v>
                </c:pt>
                <c:pt idx="610">
                  <c:v>152.506137640109</c:v>
                </c:pt>
                <c:pt idx="611">
                  <c:v>152.606391194747</c:v>
                </c:pt>
                <c:pt idx="612">
                  <c:v>152.650801331299</c:v>
                </c:pt>
                <c:pt idx="613">
                  <c:v>152.650801331299</c:v>
                </c:pt>
                <c:pt idx="614">
                  <c:v>152.935172651868</c:v>
                </c:pt>
                <c:pt idx="615">
                  <c:v>152.972137843591</c:v>
                </c:pt>
                <c:pt idx="616">
                  <c:v>152.972137843591</c:v>
                </c:pt>
                <c:pt idx="617">
                  <c:v>153.250452824278</c:v>
                </c:pt>
                <c:pt idx="618">
                  <c:v>153.354335020709</c:v>
                </c:pt>
                <c:pt idx="619">
                  <c:v>153.354335020709</c:v>
                </c:pt>
                <c:pt idx="620">
                  <c:v>153.354335020709</c:v>
                </c:pt>
                <c:pt idx="621">
                  <c:v>153.444212248416</c:v>
                </c:pt>
                <c:pt idx="622">
                  <c:v>153.497539595727</c:v>
                </c:pt>
                <c:pt idx="623">
                  <c:v>153.594563202153</c:v>
                </c:pt>
                <c:pt idx="624">
                  <c:v>153.594563202153</c:v>
                </c:pt>
                <c:pt idx="625">
                  <c:v>153.778036690619</c:v>
                </c:pt>
                <c:pt idx="626">
                  <c:v>153.864705111832</c:v>
                </c:pt>
                <c:pt idx="627">
                  <c:v>153.778036690619</c:v>
                </c:pt>
                <c:pt idx="628">
                  <c:v>153.594563202153</c:v>
                </c:pt>
                <c:pt idx="629">
                  <c:v>153.497539595727</c:v>
                </c:pt>
                <c:pt idx="630">
                  <c:v>153.497539595727</c:v>
                </c:pt>
                <c:pt idx="631">
                  <c:v>153.497539595727</c:v>
                </c:pt>
                <c:pt idx="632">
                  <c:v>153.864705111832</c:v>
                </c:pt>
                <c:pt idx="633">
                  <c:v>153.9793543472</c:v>
                </c:pt>
                <c:pt idx="634">
                  <c:v>154.587090580838</c:v>
                </c:pt>
                <c:pt idx="635">
                  <c:v>154.87732637181</c:v>
                </c:pt>
                <c:pt idx="636">
                  <c:v>154.970964752807</c:v>
                </c:pt>
                <c:pt idx="637">
                  <c:v>155.085833225637</c:v>
                </c:pt>
                <c:pt idx="638">
                  <c:v>155.16988963972</c:v>
                </c:pt>
                <c:pt idx="639">
                  <c:v>155.381336790796</c:v>
                </c:pt>
                <c:pt idx="640">
                  <c:v>155.391575767876</c:v>
                </c:pt>
                <c:pt idx="641">
                  <c:v>155.391958056318</c:v>
                </c:pt>
                <c:pt idx="642">
                  <c:v>155.587204811081</c:v>
                </c:pt>
                <c:pt idx="643">
                  <c:v>155.815049603388</c:v>
                </c:pt>
                <c:pt idx="644">
                  <c:v>155.888093553254</c:v>
                </c:pt>
                <c:pt idx="645">
                  <c:v>155.959403571296</c:v>
                </c:pt>
                <c:pt idx="646">
                  <c:v>156.008241308873</c:v>
                </c:pt>
                <c:pt idx="647">
                  <c:v>156.014729689394</c:v>
                </c:pt>
                <c:pt idx="648">
                  <c:v>156.625085626083</c:v>
                </c:pt>
                <c:pt idx="649">
                  <c:v>156.747370242318</c:v>
                </c:pt>
                <c:pt idx="650">
                  <c:v>156.747370242318</c:v>
                </c:pt>
                <c:pt idx="651">
                  <c:v>156.840567375487</c:v>
                </c:pt>
                <c:pt idx="652">
                  <c:v>156.840567375487</c:v>
                </c:pt>
                <c:pt idx="653">
                  <c:v>157.549576234604</c:v>
                </c:pt>
                <c:pt idx="654">
                  <c:v>157.966978900688</c:v>
                </c:pt>
                <c:pt idx="655">
                  <c:v>157.979825020371</c:v>
                </c:pt>
                <c:pt idx="656">
                  <c:v>158.222212767975</c:v>
                </c:pt>
                <c:pt idx="657">
                  <c:v>158.335196785419</c:v>
                </c:pt>
                <c:pt idx="658">
                  <c:v>158.492686642961</c:v>
                </c:pt>
                <c:pt idx="659">
                  <c:v>158.507686983201</c:v>
                </c:pt>
                <c:pt idx="660">
                  <c:v>158.633539114601</c:v>
                </c:pt>
                <c:pt idx="661">
                  <c:v>158.74807777794</c:v>
                </c:pt>
                <c:pt idx="662">
                  <c:v>158.871236840628</c:v>
                </c:pt>
                <c:pt idx="663">
                  <c:v>158.871236840628</c:v>
                </c:pt>
                <c:pt idx="664">
                  <c:v>158.871236840628</c:v>
                </c:pt>
                <c:pt idx="665">
                  <c:v>159.038355291372</c:v>
                </c:pt>
                <c:pt idx="666">
                  <c:v>159.088016466527</c:v>
                </c:pt>
                <c:pt idx="667">
                  <c:v>159.28451546027</c:v>
                </c:pt>
                <c:pt idx="668">
                  <c:v>159.702305368078</c:v>
                </c:pt>
                <c:pt idx="669">
                  <c:v>160.132463409296</c:v>
                </c:pt>
                <c:pt idx="670">
                  <c:v>160.137504865735</c:v>
                </c:pt>
                <c:pt idx="671">
                  <c:v>160.137504865735</c:v>
                </c:pt>
                <c:pt idx="672">
                  <c:v>160.132463409296</c:v>
                </c:pt>
                <c:pt idx="673">
                  <c:v>160.137504865735</c:v>
                </c:pt>
                <c:pt idx="674">
                  <c:v>160.137504865735</c:v>
                </c:pt>
                <c:pt idx="675">
                  <c:v>160.158394709731</c:v>
                </c:pt>
                <c:pt idx="676">
                  <c:v>160.216332642144</c:v>
                </c:pt>
                <c:pt idx="677">
                  <c:v>160.541073173323</c:v>
                </c:pt>
                <c:pt idx="678">
                  <c:v>160.541073173323</c:v>
                </c:pt>
                <c:pt idx="679">
                  <c:v>160.541073173323</c:v>
                </c:pt>
                <c:pt idx="680">
                  <c:v>160.225741276205</c:v>
                </c:pt>
                <c:pt idx="681">
                  <c:v>160.216332642144</c:v>
                </c:pt>
                <c:pt idx="682">
                  <c:v>160.158394709731</c:v>
                </c:pt>
                <c:pt idx="683">
                  <c:v>160.137504865735</c:v>
                </c:pt>
                <c:pt idx="684">
                  <c:v>160.158394709731</c:v>
                </c:pt>
                <c:pt idx="685">
                  <c:v>160.158394709731</c:v>
                </c:pt>
                <c:pt idx="686">
                  <c:v>160.137504865735</c:v>
                </c:pt>
                <c:pt idx="687">
                  <c:v>160.132463409296</c:v>
                </c:pt>
                <c:pt idx="688">
                  <c:v>159.369345152231</c:v>
                </c:pt>
                <c:pt idx="689">
                  <c:v>159.169522137198</c:v>
                </c:pt>
                <c:pt idx="690">
                  <c:v>159.158544656994</c:v>
                </c:pt>
                <c:pt idx="691">
                  <c:v>159.069300778381</c:v>
                </c:pt>
                <c:pt idx="692">
                  <c:v>159.069300778381</c:v>
                </c:pt>
                <c:pt idx="693">
                  <c:v>159.069300778381</c:v>
                </c:pt>
                <c:pt idx="694">
                  <c:v>158.914795008581</c:v>
                </c:pt>
                <c:pt idx="695">
                  <c:v>158.914795008581</c:v>
                </c:pt>
                <c:pt idx="696">
                  <c:v>158.763922977185</c:v>
                </c:pt>
                <c:pt idx="697">
                  <c:v>158.763922977185</c:v>
                </c:pt>
                <c:pt idx="698">
                  <c:v>158.763922977185</c:v>
                </c:pt>
                <c:pt idx="699">
                  <c:v>158.763922977185</c:v>
                </c:pt>
                <c:pt idx="700">
                  <c:v>158.914795008581</c:v>
                </c:pt>
                <c:pt idx="701">
                  <c:v>158.914795008581</c:v>
                </c:pt>
                <c:pt idx="702">
                  <c:v>159.017535583214</c:v>
                </c:pt>
                <c:pt idx="703">
                  <c:v>159.017535583214</c:v>
                </c:pt>
                <c:pt idx="704">
                  <c:v>159.017535583214</c:v>
                </c:pt>
                <c:pt idx="705">
                  <c:v>159.017535583214</c:v>
                </c:pt>
                <c:pt idx="706">
                  <c:v>159.017535583214</c:v>
                </c:pt>
                <c:pt idx="707">
                  <c:v>159.158544656994</c:v>
                </c:pt>
                <c:pt idx="708">
                  <c:v>160.016033837147</c:v>
                </c:pt>
                <c:pt idx="709">
                  <c:v>160.101647506149</c:v>
                </c:pt>
                <c:pt idx="710">
                  <c:v>160.251753484328</c:v>
                </c:pt>
                <c:pt idx="711">
                  <c:v>160.685791798209</c:v>
                </c:pt>
                <c:pt idx="712">
                  <c:v>160.725902518562</c:v>
                </c:pt>
                <c:pt idx="713">
                  <c:v>160.740362486166</c:v>
                </c:pt>
                <c:pt idx="714">
                  <c:v>160.830593126406</c:v>
                </c:pt>
                <c:pt idx="715">
                  <c:v>160.857966707084</c:v>
                </c:pt>
                <c:pt idx="716">
                  <c:v>161.018043204492</c:v>
                </c:pt>
                <c:pt idx="717">
                  <c:v>161.078209364089</c:v>
                </c:pt>
                <c:pt idx="718">
                  <c:v>161.163882548421</c:v>
                </c:pt>
                <c:pt idx="719">
                  <c:v>161.579620464946</c:v>
                </c:pt>
                <c:pt idx="720">
                  <c:v>161.688012142186</c:v>
                </c:pt>
                <c:pt idx="721">
                  <c:v>162.126183760861</c:v>
                </c:pt>
                <c:pt idx="722">
                  <c:v>162.287429852479</c:v>
                </c:pt>
                <c:pt idx="723">
                  <c:v>162.320160229449</c:v>
                </c:pt>
                <c:pt idx="724">
                  <c:v>162.362911229106</c:v>
                </c:pt>
                <c:pt idx="725">
                  <c:v>162.362911229106</c:v>
                </c:pt>
                <c:pt idx="726">
                  <c:v>162.507458934688</c:v>
                </c:pt>
                <c:pt idx="727">
                  <c:v>162.633632041923</c:v>
                </c:pt>
                <c:pt idx="728">
                  <c:v>162.828130581339</c:v>
                </c:pt>
                <c:pt idx="729">
                  <c:v>162.846255641748</c:v>
                </c:pt>
                <c:pt idx="730">
                  <c:v>162.846255641748</c:v>
                </c:pt>
                <c:pt idx="731">
                  <c:v>162.940537727924</c:v>
                </c:pt>
                <c:pt idx="732">
                  <c:v>163.103108897567</c:v>
                </c:pt>
                <c:pt idx="733">
                  <c:v>163.119578176653</c:v>
                </c:pt>
                <c:pt idx="734">
                  <c:v>163.120887309361</c:v>
                </c:pt>
                <c:pt idx="735">
                  <c:v>163.952045464189</c:v>
                </c:pt>
                <c:pt idx="736">
                  <c:v>164.095089595653</c:v>
                </c:pt>
                <c:pt idx="737">
                  <c:v>164.151718631852</c:v>
                </c:pt>
                <c:pt idx="738">
                  <c:v>164.349486147968</c:v>
                </c:pt>
                <c:pt idx="739">
                  <c:v>164.349486147968</c:v>
                </c:pt>
                <c:pt idx="740">
                  <c:v>164.349486147968</c:v>
                </c:pt>
                <c:pt idx="741">
                  <c:v>164.400418336777</c:v>
                </c:pt>
                <c:pt idx="742">
                  <c:v>164.400418336777</c:v>
                </c:pt>
                <c:pt idx="743">
                  <c:v>164.349486147968</c:v>
                </c:pt>
                <c:pt idx="744">
                  <c:v>164.324141125358</c:v>
                </c:pt>
                <c:pt idx="745">
                  <c:v>164.349486147968</c:v>
                </c:pt>
                <c:pt idx="746">
                  <c:v>164.356452310913</c:v>
                </c:pt>
                <c:pt idx="747">
                  <c:v>164.356452310913</c:v>
                </c:pt>
                <c:pt idx="748">
                  <c:v>164.356452310913</c:v>
                </c:pt>
                <c:pt idx="749">
                  <c:v>164.356452310913</c:v>
                </c:pt>
                <c:pt idx="750">
                  <c:v>164.631274221011</c:v>
                </c:pt>
                <c:pt idx="751">
                  <c:v>164.763214667046</c:v>
                </c:pt>
                <c:pt idx="752">
                  <c:v>164.923599335347</c:v>
                </c:pt>
                <c:pt idx="753">
                  <c:v>164.923599335347</c:v>
                </c:pt>
                <c:pt idx="754">
                  <c:v>164.923599335347</c:v>
                </c:pt>
                <c:pt idx="755">
                  <c:v>165.657392195173</c:v>
                </c:pt>
                <c:pt idx="756">
                  <c:v>165.781290646751</c:v>
                </c:pt>
                <c:pt idx="757">
                  <c:v>165.657392195173</c:v>
                </c:pt>
                <c:pt idx="758">
                  <c:v>165.350931252444</c:v>
                </c:pt>
                <c:pt idx="759">
                  <c:v>165.657392195173</c:v>
                </c:pt>
                <c:pt idx="760">
                  <c:v>165.781290646751</c:v>
                </c:pt>
                <c:pt idx="761">
                  <c:v>165.781290646751</c:v>
                </c:pt>
                <c:pt idx="762">
                  <c:v>165.781290646751</c:v>
                </c:pt>
                <c:pt idx="763">
                  <c:v>165.787602615404</c:v>
                </c:pt>
                <c:pt idx="764">
                  <c:v>165.917549738707</c:v>
                </c:pt>
                <c:pt idx="765">
                  <c:v>165.917549738707</c:v>
                </c:pt>
                <c:pt idx="766">
                  <c:v>166.201356704045</c:v>
                </c:pt>
                <c:pt idx="767">
                  <c:v>166.239761856262</c:v>
                </c:pt>
                <c:pt idx="768">
                  <c:v>166.453991726666</c:v>
                </c:pt>
                <c:pt idx="769">
                  <c:v>166.453991726666</c:v>
                </c:pt>
                <c:pt idx="770">
                  <c:v>166.771965552677</c:v>
                </c:pt>
                <c:pt idx="771">
                  <c:v>167.022884761979</c:v>
                </c:pt>
                <c:pt idx="772">
                  <c:v>166.771965552677</c:v>
                </c:pt>
                <c:pt idx="773">
                  <c:v>166.239761856262</c:v>
                </c:pt>
                <c:pt idx="774">
                  <c:v>166.771965552677</c:v>
                </c:pt>
                <c:pt idx="775">
                  <c:v>166.771965552677</c:v>
                </c:pt>
                <c:pt idx="776">
                  <c:v>166.771965552677</c:v>
                </c:pt>
                <c:pt idx="777">
                  <c:v>166.957441827398</c:v>
                </c:pt>
                <c:pt idx="778">
                  <c:v>166.957441827398</c:v>
                </c:pt>
                <c:pt idx="779">
                  <c:v>167.022884761979</c:v>
                </c:pt>
                <c:pt idx="780">
                  <c:v>167.022884761979</c:v>
                </c:pt>
                <c:pt idx="781">
                  <c:v>167.058058073149</c:v>
                </c:pt>
                <c:pt idx="782">
                  <c:v>167.173397101209</c:v>
                </c:pt>
                <c:pt idx="783">
                  <c:v>167.173397101209</c:v>
                </c:pt>
                <c:pt idx="784">
                  <c:v>167.022884761979</c:v>
                </c:pt>
                <c:pt idx="785">
                  <c:v>167.022884761979</c:v>
                </c:pt>
                <c:pt idx="786">
                  <c:v>167.022884761979</c:v>
                </c:pt>
                <c:pt idx="787">
                  <c:v>166.957441827398</c:v>
                </c:pt>
                <c:pt idx="788">
                  <c:v>166.957441827398</c:v>
                </c:pt>
                <c:pt idx="789">
                  <c:v>166.957441827398</c:v>
                </c:pt>
                <c:pt idx="790">
                  <c:v>166.957441827398</c:v>
                </c:pt>
                <c:pt idx="791">
                  <c:v>166.957441827398</c:v>
                </c:pt>
                <c:pt idx="792">
                  <c:v>166.957441827398</c:v>
                </c:pt>
                <c:pt idx="793">
                  <c:v>166.957441827398</c:v>
                </c:pt>
                <c:pt idx="794">
                  <c:v>166.957441827398</c:v>
                </c:pt>
                <c:pt idx="795">
                  <c:v>166.927107980548</c:v>
                </c:pt>
                <c:pt idx="796">
                  <c:v>166.957441827398</c:v>
                </c:pt>
                <c:pt idx="797">
                  <c:v>167.12457110892</c:v>
                </c:pt>
                <c:pt idx="798">
                  <c:v>167.384402899118</c:v>
                </c:pt>
                <c:pt idx="799">
                  <c:v>167.624053162133</c:v>
                </c:pt>
                <c:pt idx="800">
                  <c:v>167.753094407384</c:v>
                </c:pt>
                <c:pt idx="801">
                  <c:v>167.499507044797</c:v>
                </c:pt>
                <c:pt idx="802">
                  <c:v>167.499507044797</c:v>
                </c:pt>
                <c:pt idx="803">
                  <c:v>167.499507044797</c:v>
                </c:pt>
                <c:pt idx="804">
                  <c:v>167.753094407384</c:v>
                </c:pt>
                <c:pt idx="805">
                  <c:v>167.955586557114</c:v>
                </c:pt>
                <c:pt idx="806">
                  <c:v>167.955586557114</c:v>
                </c:pt>
                <c:pt idx="807">
                  <c:v>167.955586557114</c:v>
                </c:pt>
                <c:pt idx="808">
                  <c:v>168.133250094472</c:v>
                </c:pt>
                <c:pt idx="809">
                  <c:v>168.148977184168</c:v>
                </c:pt>
                <c:pt idx="810">
                  <c:v>168.148977184168</c:v>
                </c:pt>
                <c:pt idx="811">
                  <c:v>168.133250094472</c:v>
                </c:pt>
                <c:pt idx="812">
                  <c:v>167.929941667907</c:v>
                </c:pt>
                <c:pt idx="813">
                  <c:v>167.929941667907</c:v>
                </c:pt>
                <c:pt idx="814">
                  <c:v>168.118861642008</c:v>
                </c:pt>
                <c:pt idx="815">
                  <c:v>168.133250094472</c:v>
                </c:pt>
                <c:pt idx="816">
                  <c:v>168.133250094472</c:v>
                </c:pt>
                <c:pt idx="817">
                  <c:v>168.166247542533</c:v>
                </c:pt>
                <c:pt idx="818">
                  <c:v>168.133250094472</c:v>
                </c:pt>
                <c:pt idx="819">
                  <c:v>168.166247542533</c:v>
                </c:pt>
                <c:pt idx="820">
                  <c:v>168.166247542533</c:v>
                </c:pt>
                <c:pt idx="821">
                  <c:v>168.166247542533</c:v>
                </c:pt>
                <c:pt idx="822">
                  <c:v>168.248869931873</c:v>
                </c:pt>
                <c:pt idx="823">
                  <c:v>168.25314102215</c:v>
                </c:pt>
                <c:pt idx="824">
                  <c:v>168.25314102215</c:v>
                </c:pt>
                <c:pt idx="825">
                  <c:v>168.25314102215</c:v>
                </c:pt>
                <c:pt idx="826">
                  <c:v>168.25314102215</c:v>
                </c:pt>
                <c:pt idx="827">
                  <c:v>168.342498289406</c:v>
                </c:pt>
                <c:pt idx="828">
                  <c:v>168.787514344185</c:v>
                </c:pt>
                <c:pt idx="829">
                  <c:v>168.948430481707</c:v>
                </c:pt>
                <c:pt idx="830">
                  <c:v>168.987652987022</c:v>
                </c:pt>
                <c:pt idx="831">
                  <c:v>168.987652987022</c:v>
                </c:pt>
                <c:pt idx="832">
                  <c:v>168.987652987022</c:v>
                </c:pt>
                <c:pt idx="833">
                  <c:v>168.988498830583</c:v>
                </c:pt>
                <c:pt idx="834">
                  <c:v>169.085359356224</c:v>
                </c:pt>
                <c:pt idx="835">
                  <c:v>169.14954923358</c:v>
                </c:pt>
                <c:pt idx="836">
                  <c:v>169.14954923358</c:v>
                </c:pt>
                <c:pt idx="837">
                  <c:v>169.14954923358</c:v>
                </c:pt>
                <c:pt idx="838">
                  <c:v>168.988498830583</c:v>
                </c:pt>
                <c:pt idx="839">
                  <c:v>168.988498830583</c:v>
                </c:pt>
                <c:pt idx="840">
                  <c:v>168.987652987022</c:v>
                </c:pt>
                <c:pt idx="841">
                  <c:v>168.988498830583</c:v>
                </c:pt>
                <c:pt idx="842">
                  <c:v>168.988498830583</c:v>
                </c:pt>
                <c:pt idx="843">
                  <c:v>168.988498830583</c:v>
                </c:pt>
                <c:pt idx="844">
                  <c:v>168.906147565961</c:v>
                </c:pt>
                <c:pt idx="845">
                  <c:v>168.906147565961</c:v>
                </c:pt>
                <c:pt idx="846">
                  <c:v>168.906147565961</c:v>
                </c:pt>
                <c:pt idx="847">
                  <c:v>168.988498830583</c:v>
                </c:pt>
                <c:pt idx="848">
                  <c:v>169.13486219387</c:v>
                </c:pt>
                <c:pt idx="849">
                  <c:v>169.188959232834</c:v>
                </c:pt>
                <c:pt idx="850">
                  <c:v>169.188959232834</c:v>
                </c:pt>
                <c:pt idx="851">
                  <c:v>169.188959232834</c:v>
                </c:pt>
                <c:pt idx="852">
                  <c:v>169.200280515654</c:v>
                </c:pt>
                <c:pt idx="853">
                  <c:v>169.485128949759</c:v>
                </c:pt>
                <c:pt idx="854">
                  <c:v>169.485128949759</c:v>
                </c:pt>
                <c:pt idx="855">
                  <c:v>169.585583186386</c:v>
                </c:pt>
                <c:pt idx="856">
                  <c:v>169.629569300898</c:v>
                </c:pt>
                <c:pt idx="857">
                  <c:v>169.911793696617</c:v>
                </c:pt>
                <c:pt idx="858">
                  <c:v>169.933137396607</c:v>
                </c:pt>
                <c:pt idx="859">
                  <c:v>169.972985939479</c:v>
                </c:pt>
                <c:pt idx="860">
                  <c:v>170.236284848414</c:v>
                </c:pt>
                <c:pt idx="861">
                  <c:v>170.304051037067</c:v>
                </c:pt>
                <c:pt idx="862">
                  <c:v>170.590611167099</c:v>
                </c:pt>
                <c:pt idx="863">
                  <c:v>170.590611167099</c:v>
                </c:pt>
                <c:pt idx="864">
                  <c:v>170.590611167099</c:v>
                </c:pt>
                <c:pt idx="865">
                  <c:v>170.590611167099</c:v>
                </c:pt>
                <c:pt idx="866">
                  <c:v>170.590611167099</c:v>
                </c:pt>
                <c:pt idx="867">
                  <c:v>170.590611167099</c:v>
                </c:pt>
                <c:pt idx="868">
                  <c:v>170.590611167099</c:v>
                </c:pt>
                <c:pt idx="869">
                  <c:v>170.304051037067</c:v>
                </c:pt>
                <c:pt idx="870">
                  <c:v>169.972985939479</c:v>
                </c:pt>
                <c:pt idx="871">
                  <c:v>169.629569300898</c:v>
                </c:pt>
                <c:pt idx="872">
                  <c:v>169.045082827866</c:v>
                </c:pt>
                <c:pt idx="873">
                  <c:v>168.572913198104</c:v>
                </c:pt>
                <c:pt idx="874">
                  <c:v>168.36908662906</c:v>
                </c:pt>
                <c:pt idx="875">
                  <c:v>167.847743660809</c:v>
                </c:pt>
                <c:pt idx="876">
                  <c:v>167.809982321707</c:v>
                </c:pt>
                <c:pt idx="877">
                  <c:v>167.72346789334</c:v>
                </c:pt>
                <c:pt idx="878">
                  <c:v>167.72346789334</c:v>
                </c:pt>
                <c:pt idx="879">
                  <c:v>167.72346789334</c:v>
                </c:pt>
                <c:pt idx="880">
                  <c:v>167.72346789334</c:v>
                </c:pt>
                <c:pt idx="881">
                  <c:v>167.506528862103</c:v>
                </c:pt>
                <c:pt idx="882">
                  <c:v>167.506528862103</c:v>
                </c:pt>
                <c:pt idx="883">
                  <c:v>167.506528862103</c:v>
                </c:pt>
                <c:pt idx="884">
                  <c:v>167.506528862103</c:v>
                </c:pt>
                <c:pt idx="885">
                  <c:v>167.506528862103</c:v>
                </c:pt>
                <c:pt idx="886">
                  <c:v>167.506528862103</c:v>
                </c:pt>
                <c:pt idx="887">
                  <c:v>167.506528862103</c:v>
                </c:pt>
                <c:pt idx="888">
                  <c:v>167.506528862103</c:v>
                </c:pt>
                <c:pt idx="889">
                  <c:v>167.94451981352</c:v>
                </c:pt>
                <c:pt idx="890">
                  <c:v>168.770272421872</c:v>
                </c:pt>
                <c:pt idx="891">
                  <c:v>169.555853854609</c:v>
                </c:pt>
                <c:pt idx="892">
                  <c:v>169.662085620554</c:v>
                </c:pt>
                <c:pt idx="893">
                  <c:v>170.046850053007</c:v>
                </c:pt>
                <c:pt idx="894">
                  <c:v>170.386195062874</c:v>
                </c:pt>
                <c:pt idx="895">
                  <c:v>170.878280148031</c:v>
                </c:pt>
                <c:pt idx="896">
                  <c:v>170.94766140796</c:v>
                </c:pt>
                <c:pt idx="897">
                  <c:v>171.375361566657</c:v>
                </c:pt>
                <c:pt idx="898">
                  <c:v>171.556254004523</c:v>
                </c:pt>
                <c:pt idx="899">
                  <c:v>171.582133750388</c:v>
                </c:pt>
                <c:pt idx="900">
                  <c:v>171.632447039571</c:v>
                </c:pt>
                <c:pt idx="901">
                  <c:v>172.254018858033</c:v>
                </c:pt>
                <c:pt idx="902">
                  <c:v>173.261734360552</c:v>
                </c:pt>
                <c:pt idx="903">
                  <c:v>173.399931743955</c:v>
                </c:pt>
                <c:pt idx="904">
                  <c:v>173.768961166152</c:v>
                </c:pt>
                <c:pt idx="905">
                  <c:v>173.82136854851</c:v>
                </c:pt>
                <c:pt idx="906">
                  <c:v>174.240220379601</c:v>
                </c:pt>
                <c:pt idx="907">
                  <c:v>174.313653760565</c:v>
                </c:pt>
                <c:pt idx="908">
                  <c:v>174.427992806765</c:v>
                </c:pt>
                <c:pt idx="909">
                  <c:v>174.573344325394</c:v>
                </c:pt>
                <c:pt idx="910">
                  <c:v>174.64411388719</c:v>
                </c:pt>
                <c:pt idx="911">
                  <c:v>174.651267112008</c:v>
                </c:pt>
                <c:pt idx="912">
                  <c:v>174.658924043675</c:v>
                </c:pt>
                <c:pt idx="913">
                  <c:v>174.680336154192</c:v>
                </c:pt>
                <c:pt idx="914">
                  <c:v>174.680336154192</c:v>
                </c:pt>
                <c:pt idx="915">
                  <c:v>174.680336154192</c:v>
                </c:pt>
                <c:pt idx="916">
                  <c:v>174.728296991201</c:v>
                </c:pt>
                <c:pt idx="917">
                  <c:v>175.095266733793</c:v>
                </c:pt>
                <c:pt idx="918">
                  <c:v>175.204094731646</c:v>
                </c:pt>
                <c:pt idx="919">
                  <c:v>175.242807437138</c:v>
                </c:pt>
                <c:pt idx="920">
                  <c:v>175.251856198817</c:v>
                </c:pt>
                <c:pt idx="921">
                  <c:v>175.260912633852</c:v>
                </c:pt>
                <c:pt idx="922">
                  <c:v>175.360785454068</c:v>
                </c:pt>
                <c:pt idx="923">
                  <c:v>175.433994144622</c:v>
                </c:pt>
                <c:pt idx="924">
                  <c:v>175.446095386753</c:v>
                </c:pt>
                <c:pt idx="925">
                  <c:v>175.949523276391</c:v>
                </c:pt>
                <c:pt idx="926">
                  <c:v>176.029508661587</c:v>
                </c:pt>
                <c:pt idx="927">
                  <c:v>176.113794421623</c:v>
                </c:pt>
                <c:pt idx="928">
                  <c:v>176.606897327032</c:v>
                </c:pt>
                <c:pt idx="929">
                  <c:v>176.628559987296</c:v>
                </c:pt>
                <c:pt idx="930">
                  <c:v>176.796008826012</c:v>
                </c:pt>
                <c:pt idx="931">
                  <c:v>176.9533117658</c:v>
                </c:pt>
                <c:pt idx="932">
                  <c:v>177.070533737989</c:v>
                </c:pt>
                <c:pt idx="933">
                  <c:v>177.070533737989</c:v>
                </c:pt>
                <c:pt idx="934">
                  <c:v>177.093379078324</c:v>
                </c:pt>
                <c:pt idx="935">
                  <c:v>177.518682050487</c:v>
                </c:pt>
                <c:pt idx="936">
                  <c:v>177.934753579343</c:v>
                </c:pt>
                <c:pt idx="937">
                  <c:v>177.934753579343</c:v>
                </c:pt>
                <c:pt idx="938">
                  <c:v>178.10823853899</c:v>
                </c:pt>
                <c:pt idx="939">
                  <c:v>178.38386187734</c:v>
                </c:pt>
                <c:pt idx="940">
                  <c:v>178.614095162783</c:v>
                </c:pt>
                <c:pt idx="941">
                  <c:v>178.614095162783</c:v>
                </c:pt>
                <c:pt idx="942">
                  <c:v>178.614095162783</c:v>
                </c:pt>
                <c:pt idx="943">
                  <c:v>179.01893066423</c:v>
                </c:pt>
                <c:pt idx="944">
                  <c:v>179.01893066423</c:v>
                </c:pt>
                <c:pt idx="945">
                  <c:v>179.01893066423</c:v>
                </c:pt>
                <c:pt idx="946">
                  <c:v>179.01893066423</c:v>
                </c:pt>
                <c:pt idx="947">
                  <c:v>179.01893066423</c:v>
                </c:pt>
                <c:pt idx="948">
                  <c:v>179.01893066423</c:v>
                </c:pt>
                <c:pt idx="949">
                  <c:v>179.01893066423</c:v>
                </c:pt>
                <c:pt idx="950">
                  <c:v>179.047260966889</c:v>
                </c:pt>
                <c:pt idx="951">
                  <c:v>179.17911392097</c:v>
                </c:pt>
                <c:pt idx="952">
                  <c:v>179.17911392097</c:v>
                </c:pt>
                <c:pt idx="953">
                  <c:v>179.052076497291</c:v>
                </c:pt>
                <c:pt idx="954">
                  <c:v>179.052076497291</c:v>
                </c:pt>
                <c:pt idx="955">
                  <c:v>179.052076497291</c:v>
                </c:pt>
                <c:pt idx="956">
                  <c:v>179.052076497291</c:v>
                </c:pt>
                <c:pt idx="957">
                  <c:v>179.052076497291</c:v>
                </c:pt>
                <c:pt idx="958">
                  <c:v>179.052076497291</c:v>
                </c:pt>
                <c:pt idx="959">
                  <c:v>179.052076497291</c:v>
                </c:pt>
                <c:pt idx="960">
                  <c:v>179.052076497291</c:v>
                </c:pt>
                <c:pt idx="961">
                  <c:v>179.052076497291</c:v>
                </c:pt>
                <c:pt idx="962">
                  <c:v>179.17911392097</c:v>
                </c:pt>
                <c:pt idx="963">
                  <c:v>179.47158893148</c:v>
                </c:pt>
                <c:pt idx="964">
                  <c:v>179.488328894684</c:v>
                </c:pt>
                <c:pt idx="965">
                  <c:v>179.565489170231</c:v>
                </c:pt>
                <c:pt idx="966">
                  <c:v>179.664862133456</c:v>
                </c:pt>
                <c:pt idx="967">
                  <c:v>179.664862133456</c:v>
                </c:pt>
                <c:pt idx="968">
                  <c:v>179.664862133456</c:v>
                </c:pt>
                <c:pt idx="969">
                  <c:v>179.664862133456</c:v>
                </c:pt>
                <c:pt idx="970">
                  <c:v>179.827357955712</c:v>
                </c:pt>
                <c:pt idx="971">
                  <c:v>179.844453164718</c:v>
                </c:pt>
                <c:pt idx="972">
                  <c:v>179.844453164718</c:v>
                </c:pt>
                <c:pt idx="973">
                  <c:v>180.047444887841</c:v>
                </c:pt>
                <c:pt idx="974">
                  <c:v>180.047444887841</c:v>
                </c:pt>
                <c:pt idx="975">
                  <c:v>180.342185495796</c:v>
                </c:pt>
                <c:pt idx="976">
                  <c:v>180.507890719954</c:v>
                </c:pt>
                <c:pt idx="977">
                  <c:v>180.676471044997</c:v>
                </c:pt>
                <c:pt idx="978">
                  <c:v>180.705165678156</c:v>
                </c:pt>
                <c:pt idx="979">
                  <c:v>180.786054499148</c:v>
                </c:pt>
                <c:pt idx="980">
                  <c:v>180.829834989077</c:v>
                </c:pt>
                <c:pt idx="981">
                  <c:v>181.061913686557</c:v>
                </c:pt>
                <c:pt idx="982">
                  <c:v>181.524396790185</c:v>
                </c:pt>
                <c:pt idx="983">
                  <c:v>181.913999629433</c:v>
                </c:pt>
                <c:pt idx="984">
                  <c:v>181.913999629433</c:v>
                </c:pt>
                <c:pt idx="985">
                  <c:v>181.913999629433</c:v>
                </c:pt>
                <c:pt idx="986">
                  <c:v>182.055630343641</c:v>
                </c:pt>
                <c:pt idx="987">
                  <c:v>182.055630343641</c:v>
                </c:pt>
                <c:pt idx="988">
                  <c:v>182.149648900718</c:v>
                </c:pt>
                <c:pt idx="989">
                  <c:v>182.43220778075</c:v>
                </c:pt>
                <c:pt idx="990">
                  <c:v>182.47823078428</c:v>
                </c:pt>
                <c:pt idx="991">
                  <c:v>182.591909886536</c:v>
                </c:pt>
                <c:pt idx="992">
                  <c:v>182.591909886536</c:v>
                </c:pt>
                <c:pt idx="993">
                  <c:v>182.591909886536</c:v>
                </c:pt>
                <c:pt idx="994">
                  <c:v>182.591909886536</c:v>
                </c:pt>
                <c:pt idx="995">
                  <c:v>182.653803530795</c:v>
                </c:pt>
                <c:pt idx="996">
                  <c:v>182.970929138302</c:v>
                </c:pt>
                <c:pt idx="997">
                  <c:v>183.025189757748</c:v>
                </c:pt>
                <c:pt idx="998">
                  <c:v>183.179242862615</c:v>
                </c:pt>
                <c:pt idx="999">
                  <c:v>183.401725890453</c:v>
                </c:pt>
                <c:pt idx="1000">
                  <c:v>183.401725890453</c:v>
                </c:pt>
                <c:pt idx="1001">
                  <c:v>183.632459193294</c:v>
                </c:pt>
                <c:pt idx="1002">
                  <c:v>183.692943628073</c:v>
                </c:pt>
                <c:pt idx="1003">
                  <c:v>184.272477770134</c:v>
                </c:pt>
                <c:pt idx="1004">
                  <c:v>184.646484663955</c:v>
                </c:pt>
                <c:pt idx="1005">
                  <c:v>185.48294556556</c:v>
                </c:pt>
                <c:pt idx="1006">
                  <c:v>185.647424323735</c:v>
                </c:pt>
                <c:pt idx="1007">
                  <c:v>186.158267066686</c:v>
                </c:pt>
                <c:pt idx="1008">
                  <c:v>186.63544057331</c:v>
                </c:pt>
                <c:pt idx="1009">
                  <c:v>188.870908999113</c:v>
                </c:pt>
                <c:pt idx="1010">
                  <c:v>189.926825738893</c:v>
                </c:pt>
                <c:pt idx="1011">
                  <c:v>190.41401257189</c:v>
                </c:pt>
                <c:pt idx="1012">
                  <c:v>190.564207896201</c:v>
                </c:pt>
                <c:pt idx="1013">
                  <c:v>190.635095667662</c:v>
                </c:pt>
                <c:pt idx="1014">
                  <c:v>190.850081792147</c:v>
                </c:pt>
                <c:pt idx="1015">
                  <c:v>190.890252287327</c:v>
                </c:pt>
                <c:pt idx="1016">
                  <c:v>190.890252287327</c:v>
                </c:pt>
                <c:pt idx="1017">
                  <c:v>191.01669899631</c:v>
                </c:pt>
                <c:pt idx="1018">
                  <c:v>191.231939824125</c:v>
                </c:pt>
                <c:pt idx="1019">
                  <c:v>191.244553763956</c:v>
                </c:pt>
                <c:pt idx="1020">
                  <c:v>191.375697127604</c:v>
                </c:pt>
                <c:pt idx="1021">
                  <c:v>191.375697127604</c:v>
                </c:pt>
                <c:pt idx="1022">
                  <c:v>191.375697127604</c:v>
                </c:pt>
                <c:pt idx="1023">
                  <c:v>191.466372687008</c:v>
                </c:pt>
                <c:pt idx="1024">
                  <c:v>191.466372687008</c:v>
                </c:pt>
                <c:pt idx="1025">
                  <c:v>191.466372687008</c:v>
                </c:pt>
                <c:pt idx="1026">
                  <c:v>191.466372687008</c:v>
                </c:pt>
                <c:pt idx="1027">
                  <c:v>191.466372687008</c:v>
                </c:pt>
                <c:pt idx="1028">
                  <c:v>191.701502195847</c:v>
                </c:pt>
                <c:pt idx="1029">
                  <c:v>191.757556255379</c:v>
                </c:pt>
                <c:pt idx="1030">
                  <c:v>191.757556255379</c:v>
                </c:pt>
                <c:pt idx="1031">
                  <c:v>191.942285867529</c:v>
                </c:pt>
                <c:pt idx="1032">
                  <c:v>191.982825667877</c:v>
                </c:pt>
                <c:pt idx="1033">
                  <c:v>191.9949343565</c:v>
                </c:pt>
                <c:pt idx="1034">
                  <c:v>191.9949343565</c:v>
                </c:pt>
                <c:pt idx="1035">
                  <c:v>192.082254128512</c:v>
                </c:pt>
                <c:pt idx="1036">
                  <c:v>192.1581641825</c:v>
                </c:pt>
                <c:pt idx="1037">
                  <c:v>192.199255597766</c:v>
                </c:pt>
                <c:pt idx="1038">
                  <c:v>192.452042106462</c:v>
                </c:pt>
                <c:pt idx="1039">
                  <c:v>192.512781139577</c:v>
                </c:pt>
                <c:pt idx="1040">
                  <c:v>192.636560084891</c:v>
                </c:pt>
                <c:pt idx="1041">
                  <c:v>192.77151867246</c:v>
                </c:pt>
                <c:pt idx="1042">
                  <c:v>192.900036924654</c:v>
                </c:pt>
                <c:pt idx="1043">
                  <c:v>193.112167674145</c:v>
                </c:pt>
                <c:pt idx="1044">
                  <c:v>193.156503557999</c:v>
                </c:pt>
                <c:pt idx="1045">
                  <c:v>193.338339418453</c:v>
                </c:pt>
                <c:pt idx="1046">
                  <c:v>193.523409887277</c:v>
                </c:pt>
                <c:pt idx="1047">
                  <c:v>193.559243843832</c:v>
                </c:pt>
                <c:pt idx="1048">
                  <c:v>193.97388123179</c:v>
                </c:pt>
                <c:pt idx="1049">
                  <c:v>193.97388123179</c:v>
                </c:pt>
                <c:pt idx="1050">
                  <c:v>193.97388123179</c:v>
                </c:pt>
                <c:pt idx="1051">
                  <c:v>193.97388123179</c:v>
                </c:pt>
                <c:pt idx="1052">
                  <c:v>193.97388123179</c:v>
                </c:pt>
                <c:pt idx="1053">
                  <c:v>193.97388123179</c:v>
                </c:pt>
                <c:pt idx="1054">
                  <c:v>193.927136127705</c:v>
                </c:pt>
                <c:pt idx="1055">
                  <c:v>193.929054608414</c:v>
                </c:pt>
                <c:pt idx="1056">
                  <c:v>193.929054608414</c:v>
                </c:pt>
                <c:pt idx="1057">
                  <c:v>193.97388123179</c:v>
                </c:pt>
                <c:pt idx="1058">
                  <c:v>193.929054608414</c:v>
                </c:pt>
                <c:pt idx="1059">
                  <c:v>193.97388123179</c:v>
                </c:pt>
                <c:pt idx="1060">
                  <c:v>194.329413056984</c:v>
                </c:pt>
                <c:pt idx="1061">
                  <c:v>194.329413056984</c:v>
                </c:pt>
                <c:pt idx="1062">
                  <c:v>194.329413056984</c:v>
                </c:pt>
                <c:pt idx="1063">
                  <c:v>194.329413056984</c:v>
                </c:pt>
                <c:pt idx="1064">
                  <c:v>194.329413056984</c:v>
                </c:pt>
                <c:pt idx="1065">
                  <c:v>194.329413056984</c:v>
                </c:pt>
                <c:pt idx="1066">
                  <c:v>194.329413056984</c:v>
                </c:pt>
                <c:pt idx="1067">
                  <c:v>194.847625402721</c:v>
                </c:pt>
                <c:pt idx="1068">
                  <c:v>195.056540789363</c:v>
                </c:pt>
                <c:pt idx="1069">
                  <c:v>195.314968628579</c:v>
                </c:pt>
                <c:pt idx="1070">
                  <c:v>195.59443999273</c:v>
                </c:pt>
                <c:pt idx="1071">
                  <c:v>195.609272150323</c:v>
                </c:pt>
                <c:pt idx="1072">
                  <c:v>195.649583602382</c:v>
                </c:pt>
                <c:pt idx="1073">
                  <c:v>195.796788148244</c:v>
                </c:pt>
                <c:pt idx="1074">
                  <c:v>196.275850919646</c:v>
                </c:pt>
                <c:pt idx="1075">
                  <c:v>196.397443052441</c:v>
                </c:pt>
                <c:pt idx="1076">
                  <c:v>196.546120522303</c:v>
                </c:pt>
                <c:pt idx="1077">
                  <c:v>196.824853645781</c:v>
                </c:pt>
                <c:pt idx="1078">
                  <c:v>196.899887570138</c:v>
                </c:pt>
                <c:pt idx="1079">
                  <c:v>197.243067795388</c:v>
                </c:pt>
                <c:pt idx="1080">
                  <c:v>197.243067795388</c:v>
                </c:pt>
                <c:pt idx="1081">
                  <c:v>197.505740330373</c:v>
                </c:pt>
                <c:pt idx="1082">
                  <c:v>197.721698806843</c:v>
                </c:pt>
                <c:pt idx="1083">
                  <c:v>197.721698806843</c:v>
                </c:pt>
                <c:pt idx="1084">
                  <c:v>197.721698806843</c:v>
                </c:pt>
                <c:pt idx="1085">
                  <c:v>197.963288051022</c:v>
                </c:pt>
                <c:pt idx="1086">
                  <c:v>197.963288051022</c:v>
                </c:pt>
                <c:pt idx="1087">
                  <c:v>198.261145666197</c:v>
                </c:pt>
                <c:pt idx="1088">
                  <c:v>198.283412400411</c:v>
                </c:pt>
                <c:pt idx="1089">
                  <c:v>198.632416448782</c:v>
                </c:pt>
                <c:pt idx="1090">
                  <c:v>198.819891596488</c:v>
                </c:pt>
                <c:pt idx="1091">
                  <c:v>198.87230639919</c:v>
                </c:pt>
                <c:pt idx="1092">
                  <c:v>199.089461498153</c:v>
                </c:pt>
                <c:pt idx="1093">
                  <c:v>199.15639450192</c:v>
                </c:pt>
                <c:pt idx="1094">
                  <c:v>199.328295389244</c:v>
                </c:pt>
                <c:pt idx="1095">
                  <c:v>199.328295389244</c:v>
                </c:pt>
                <c:pt idx="1096">
                  <c:v>199.15639450192</c:v>
                </c:pt>
                <c:pt idx="1097">
                  <c:v>199.089461498153</c:v>
                </c:pt>
                <c:pt idx="1098">
                  <c:v>199.089461498153</c:v>
                </c:pt>
                <c:pt idx="1099">
                  <c:v>199.089461498153</c:v>
                </c:pt>
                <c:pt idx="1100">
                  <c:v>199.513837800033</c:v>
                </c:pt>
                <c:pt idx="1101">
                  <c:v>199.592147896222</c:v>
                </c:pt>
                <c:pt idx="1102">
                  <c:v>199.648850683276</c:v>
                </c:pt>
                <c:pt idx="1103">
                  <c:v>199.648850683276</c:v>
                </c:pt>
                <c:pt idx="1104">
                  <c:v>199.65856456948</c:v>
                </c:pt>
                <c:pt idx="1105">
                  <c:v>199.720433879969</c:v>
                </c:pt>
                <c:pt idx="1106">
                  <c:v>199.65856456948</c:v>
                </c:pt>
                <c:pt idx="1107">
                  <c:v>199.648850683276</c:v>
                </c:pt>
                <c:pt idx="1108">
                  <c:v>199.648850683276</c:v>
                </c:pt>
                <c:pt idx="1109">
                  <c:v>199.648850683276</c:v>
                </c:pt>
                <c:pt idx="1110">
                  <c:v>199.648850683276</c:v>
                </c:pt>
                <c:pt idx="1111">
                  <c:v>199.592147896222</c:v>
                </c:pt>
                <c:pt idx="1112">
                  <c:v>199.513837800033</c:v>
                </c:pt>
                <c:pt idx="1113">
                  <c:v>199.513837800033</c:v>
                </c:pt>
                <c:pt idx="1114">
                  <c:v>199.189857780194</c:v>
                </c:pt>
                <c:pt idx="1115">
                  <c:v>199.041577913521</c:v>
                </c:pt>
                <c:pt idx="1116">
                  <c:v>199.041577913521</c:v>
                </c:pt>
                <c:pt idx="1117">
                  <c:v>199.041577913521</c:v>
                </c:pt>
                <c:pt idx="1118">
                  <c:v>199.041577913521</c:v>
                </c:pt>
                <c:pt idx="1119">
                  <c:v>199.041577913521</c:v>
                </c:pt>
                <c:pt idx="1120">
                  <c:v>199.041577913521</c:v>
                </c:pt>
                <c:pt idx="1121">
                  <c:v>199.041577913521</c:v>
                </c:pt>
                <c:pt idx="1122">
                  <c:v>199.041577913521</c:v>
                </c:pt>
                <c:pt idx="1123">
                  <c:v>199.041577913521</c:v>
                </c:pt>
                <c:pt idx="1124">
                  <c:v>199.041577913521</c:v>
                </c:pt>
                <c:pt idx="1125">
                  <c:v>199.041577913521</c:v>
                </c:pt>
                <c:pt idx="1126">
                  <c:v>199.041577913521</c:v>
                </c:pt>
                <c:pt idx="1127">
                  <c:v>199.189857780194</c:v>
                </c:pt>
                <c:pt idx="1128">
                  <c:v>199.737898121989</c:v>
                </c:pt>
                <c:pt idx="1129">
                  <c:v>199.749856616305</c:v>
                </c:pt>
                <c:pt idx="1130">
                  <c:v>200.198612558076</c:v>
                </c:pt>
                <c:pt idx="1131">
                  <c:v>200.235543942524</c:v>
                </c:pt>
                <c:pt idx="1132">
                  <c:v>200.582583697131</c:v>
                </c:pt>
                <c:pt idx="1133">
                  <c:v>201.167723613923</c:v>
                </c:pt>
                <c:pt idx="1134">
                  <c:v>202.138489961647</c:v>
                </c:pt>
                <c:pt idx="1135">
                  <c:v>202.17740223246</c:v>
                </c:pt>
                <c:pt idx="1136">
                  <c:v>202.50409324971</c:v>
                </c:pt>
                <c:pt idx="1137">
                  <c:v>203.1850186665</c:v>
                </c:pt>
                <c:pt idx="1138">
                  <c:v>203.207762438609</c:v>
                </c:pt>
                <c:pt idx="1139">
                  <c:v>203.988980845245</c:v>
                </c:pt>
                <c:pt idx="1140">
                  <c:v>204.019704181068</c:v>
                </c:pt>
                <c:pt idx="1141">
                  <c:v>204.127162348774</c:v>
                </c:pt>
                <c:pt idx="1142">
                  <c:v>204.133196340176</c:v>
                </c:pt>
                <c:pt idx="1143">
                  <c:v>204.250252268756</c:v>
                </c:pt>
                <c:pt idx="1144">
                  <c:v>204.250252268756</c:v>
                </c:pt>
                <c:pt idx="1145">
                  <c:v>204.394949774066</c:v>
                </c:pt>
                <c:pt idx="1146">
                  <c:v>204.536863019033</c:v>
                </c:pt>
                <c:pt idx="1147">
                  <c:v>204.587479095301</c:v>
                </c:pt>
                <c:pt idx="1148">
                  <c:v>204.605487343237</c:v>
                </c:pt>
                <c:pt idx="1149">
                  <c:v>204.607475733396</c:v>
                </c:pt>
                <c:pt idx="1150">
                  <c:v>204.866695791532</c:v>
                </c:pt>
                <c:pt idx="1151">
                  <c:v>204.989008839776</c:v>
                </c:pt>
                <c:pt idx="1152">
                  <c:v>205.086045905797</c:v>
                </c:pt>
                <c:pt idx="1153">
                  <c:v>205.284457868579</c:v>
                </c:pt>
                <c:pt idx="1154">
                  <c:v>205.43765832857</c:v>
                </c:pt>
                <c:pt idx="1155">
                  <c:v>205.781297599013</c:v>
                </c:pt>
                <c:pt idx="1156">
                  <c:v>205.891527239319</c:v>
                </c:pt>
                <c:pt idx="1157">
                  <c:v>206.567074388708</c:v>
                </c:pt>
                <c:pt idx="1158">
                  <c:v>206.579132303945</c:v>
                </c:pt>
                <c:pt idx="1159">
                  <c:v>206.773632933205</c:v>
                </c:pt>
                <c:pt idx="1160">
                  <c:v>207.068591108563</c:v>
                </c:pt>
                <c:pt idx="1161">
                  <c:v>207.137561753798</c:v>
                </c:pt>
                <c:pt idx="1162">
                  <c:v>207.187655811127</c:v>
                </c:pt>
                <c:pt idx="1163">
                  <c:v>207.509584790423</c:v>
                </c:pt>
                <c:pt idx="1164">
                  <c:v>207.811930106458</c:v>
                </c:pt>
                <c:pt idx="1165">
                  <c:v>207.829184148502</c:v>
                </c:pt>
                <c:pt idx="1166">
                  <c:v>207.509584790423</c:v>
                </c:pt>
                <c:pt idx="1167">
                  <c:v>207.187655811127</c:v>
                </c:pt>
                <c:pt idx="1168">
                  <c:v>207.137561753798</c:v>
                </c:pt>
                <c:pt idx="1169">
                  <c:v>207.137561753798</c:v>
                </c:pt>
                <c:pt idx="1170">
                  <c:v>207.137561753798</c:v>
                </c:pt>
                <c:pt idx="1171">
                  <c:v>207.137561753798</c:v>
                </c:pt>
                <c:pt idx="1172">
                  <c:v>207.137561753798</c:v>
                </c:pt>
                <c:pt idx="1173">
                  <c:v>207.068591108563</c:v>
                </c:pt>
                <c:pt idx="1174">
                  <c:v>206.773632933205</c:v>
                </c:pt>
                <c:pt idx="1175">
                  <c:v>206.579132303945</c:v>
                </c:pt>
                <c:pt idx="1176">
                  <c:v>205.942676525902</c:v>
                </c:pt>
                <c:pt idx="1177">
                  <c:v>205.607107434848</c:v>
                </c:pt>
                <c:pt idx="1178">
                  <c:v>205.554501795887</c:v>
                </c:pt>
                <c:pt idx="1179">
                  <c:v>205.390811049338</c:v>
                </c:pt>
                <c:pt idx="1180">
                  <c:v>205.364253806265</c:v>
                </c:pt>
                <c:pt idx="1181">
                  <c:v>204.976971681938</c:v>
                </c:pt>
                <c:pt idx="1182">
                  <c:v>204.60339453877</c:v>
                </c:pt>
                <c:pt idx="1183">
                  <c:v>204.461500613517</c:v>
                </c:pt>
                <c:pt idx="1184">
                  <c:v>204.368390679796</c:v>
                </c:pt>
                <c:pt idx="1185">
                  <c:v>204.23471785163</c:v>
                </c:pt>
                <c:pt idx="1186">
                  <c:v>204.165907349115</c:v>
                </c:pt>
                <c:pt idx="1187">
                  <c:v>204.152740517173</c:v>
                </c:pt>
                <c:pt idx="1188">
                  <c:v>204.152740517173</c:v>
                </c:pt>
                <c:pt idx="1189">
                  <c:v>203.839551517206</c:v>
                </c:pt>
                <c:pt idx="1190">
                  <c:v>203.839551517206</c:v>
                </c:pt>
                <c:pt idx="1191">
                  <c:v>203.839551517206</c:v>
                </c:pt>
                <c:pt idx="1192">
                  <c:v>203.839551517206</c:v>
                </c:pt>
                <c:pt idx="1193">
                  <c:v>203.839551517206</c:v>
                </c:pt>
                <c:pt idx="1194">
                  <c:v>203.839551517206</c:v>
                </c:pt>
                <c:pt idx="1195">
                  <c:v>203.804989671846</c:v>
                </c:pt>
                <c:pt idx="1196">
                  <c:v>203.804989671846</c:v>
                </c:pt>
                <c:pt idx="1197">
                  <c:v>203.839551517206</c:v>
                </c:pt>
                <c:pt idx="1198">
                  <c:v>203.839551517206</c:v>
                </c:pt>
                <c:pt idx="1199">
                  <c:v>203.804989671846</c:v>
                </c:pt>
                <c:pt idx="1200">
                  <c:v>203.839551517206</c:v>
                </c:pt>
                <c:pt idx="1201">
                  <c:v>203.869398047037</c:v>
                </c:pt>
                <c:pt idx="1202">
                  <c:v>203.995646932403</c:v>
                </c:pt>
                <c:pt idx="1203">
                  <c:v>204.272850022722</c:v>
                </c:pt>
                <c:pt idx="1204">
                  <c:v>204.327874041937</c:v>
                </c:pt>
                <c:pt idx="1205">
                  <c:v>204.327874041937</c:v>
                </c:pt>
                <c:pt idx="1206">
                  <c:v>204.555108057022</c:v>
                </c:pt>
                <c:pt idx="1207">
                  <c:v>204.621154187793</c:v>
                </c:pt>
                <c:pt idx="1208">
                  <c:v>204.891535941097</c:v>
                </c:pt>
                <c:pt idx="1209">
                  <c:v>205.36657441285</c:v>
                </c:pt>
                <c:pt idx="1210">
                  <c:v>205.419505905486</c:v>
                </c:pt>
                <c:pt idx="1211">
                  <c:v>205.36657441285</c:v>
                </c:pt>
                <c:pt idx="1212">
                  <c:v>205.36657441285</c:v>
                </c:pt>
                <c:pt idx="1213">
                  <c:v>205.36657441285</c:v>
                </c:pt>
                <c:pt idx="1214">
                  <c:v>205.313087258611</c:v>
                </c:pt>
                <c:pt idx="1215">
                  <c:v>205.313087258611</c:v>
                </c:pt>
                <c:pt idx="1216">
                  <c:v>205.36657441285</c:v>
                </c:pt>
                <c:pt idx="1217">
                  <c:v>205.419505905486</c:v>
                </c:pt>
                <c:pt idx="1218">
                  <c:v>205.811802937994</c:v>
                </c:pt>
                <c:pt idx="1219">
                  <c:v>205.811802937994</c:v>
                </c:pt>
                <c:pt idx="1220">
                  <c:v>205.811802937994</c:v>
                </c:pt>
                <c:pt idx="1221">
                  <c:v>205.811802937994</c:v>
                </c:pt>
                <c:pt idx="1222">
                  <c:v>205.811802937994</c:v>
                </c:pt>
                <c:pt idx="1223">
                  <c:v>205.811802937994</c:v>
                </c:pt>
                <c:pt idx="1224">
                  <c:v>205.811802937994</c:v>
                </c:pt>
                <c:pt idx="1225">
                  <c:v>206.001430969431</c:v>
                </c:pt>
                <c:pt idx="1226">
                  <c:v>206.146921267769</c:v>
                </c:pt>
                <c:pt idx="1227">
                  <c:v>206.199019964644</c:v>
                </c:pt>
                <c:pt idx="1228">
                  <c:v>206.199892033852</c:v>
                </c:pt>
                <c:pt idx="1229">
                  <c:v>206.255839660016</c:v>
                </c:pt>
                <c:pt idx="1230">
                  <c:v>206.280368971665</c:v>
                </c:pt>
                <c:pt idx="1231">
                  <c:v>206.534253864645</c:v>
                </c:pt>
                <c:pt idx="1232">
                  <c:v>206.562516208754</c:v>
                </c:pt>
                <c:pt idx="1233">
                  <c:v>206.877756662697</c:v>
                </c:pt>
                <c:pt idx="1234">
                  <c:v>206.886363012582</c:v>
                </c:pt>
                <c:pt idx="1235">
                  <c:v>207.054519857159</c:v>
                </c:pt>
                <c:pt idx="1236">
                  <c:v>207.185263613693</c:v>
                </c:pt>
                <c:pt idx="1237">
                  <c:v>207.185263613693</c:v>
                </c:pt>
                <c:pt idx="1238">
                  <c:v>207.37308022028</c:v>
                </c:pt>
                <c:pt idx="1239">
                  <c:v>207.963846636551</c:v>
                </c:pt>
                <c:pt idx="1240">
                  <c:v>208.210460353754</c:v>
                </c:pt>
                <c:pt idx="1241">
                  <c:v>208.210460353754</c:v>
                </c:pt>
                <c:pt idx="1242">
                  <c:v>208.391724562591</c:v>
                </c:pt>
                <c:pt idx="1243">
                  <c:v>208.458647793821</c:v>
                </c:pt>
                <c:pt idx="1244">
                  <c:v>208.62861631987</c:v>
                </c:pt>
                <c:pt idx="1245">
                  <c:v>208.62861631987</c:v>
                </c:pt>
                <c:pt idx="1246">
                  <c:v>208.62861631987</c:v>
                </c:pt>
                <c:pt idx="1247">
                  <c:v>208.62861631987</c:v>
                </c:pt>
                <c:pt idx="1248">
                  <c:v>208.62861631987</c:v>
                </c:pt>
                <c:pt idx="1249">
                  <c:v>208.549404214109</c:v>
                </c:pt>
                <c:pt idx="1250">
                  <c:v>208.458647793821</c:v>
                </c:pt>
                <c:pt idx="1251">
                  <c:v>208.458647793821</c:v>
                </c:pt>
                <c:pt idx="1252">
                  <c:v>208.549404214109</c:v>
                </c:pt>
                <c:pt idx="1253">
                  <c:v>208.549404214109</c:v>
                </c:pt>
                <c:pt idx="1254">
                  <c:v>208.458647793821</c:v>
                </c:pt>
                <c:pt idx="1255">
                  <c:v>208.350492387452</c:v>
                </c:pt>
                <c:pt idx="1256">
                  <c:v>208.350492387452</c:v>
                </c:pt>
                <c:pt idx="1257">
                  <c:v>208.350492387452</c:v>
                </c:pt>
                <c:pt idx="1258">
                  <c:v>208.016853554838</c:v>
                </c:pt>
                <c:pt idx="1259">
                  <c:v>207.896370785066</c:v>
                </c:pt>
                <c:pt idx="1260">
                  <c:v>207.877647643278</c:v>
                </c:pt>
                <c:pt idx="1261">
                  <c:v>207.72510705667</c:v>
                </c:pt>
                <c:pt idx="1262">
                  <c:v>207.72510705667</c:v>
                </c:pt>
                <c:pt idx="1263">
                  <c:v>207.509012307359</c:v>
                </c:pt>
                <c:pt idx="1264">
                  <c:v>207.509012307359</c:v>
                </c:pt>
                <c:pt idx="1265">
                  <c:v>207.017464500644</c:v>
                </c:pt>
                <c:pt idx="1266">
                  <c:v>207.017464500644</c:v>
                </c:pt>
                <c:pt idx="1267">
                  <c:v>207.310191764537</c:v>
                </c:pt>
                <c:pt idx="1268">
                  <c:v>207.310191764537</c:v>
                </c:pt>
                <c:pt idx="1269">
                  <c:v>207.017464500644</c:v>
                </c:pt>
                <c:pt idx="1270">
                  <c:v>206.818839764781</c:v>
                </c:pt>
                <c:pt idx="1271">
                  <c:v>206.783430632218</c:v>
                </c:pt>
                <c:pt idx="1272">
                  <c:v>206.783430632218</c:v>
                </c:pt>
                <c:pt idx="1273">
                  <c:v>206.783430632218</c:v>
                </c:pt>
                <c:pt idx="1274">
                  <c:v>206.783430632218</c:v>
                </c:pt>
                <c:pt idx="1275">
                  <c:v>206.783430632218</c:v>
                </c:pt>
                <c:pt idx="1276">
                  <c:v>206.783430632218</c:v>
                </c:pt>
                <c:pt idx="1277">
                  <c:v>206.783430632218</c:v>
                </c:pt>
                <c:pt idx="1278">
                  <c:v>206.783430632218</c:v>
                </c:pt>
                <c:pt idx="1279">
                  <c:v>206.783430632218</c:v>
                </c:pt>
                <c:pt idx="1280">
                  <c:v>206.815665731772</c:v>
                </c:pt>
                <c:pt idx="1281">
                  <c:v>206.818839764781</c:v>
                </c:pt>
                <c:pt idx="1282">
                  <c:v>206.96166339138</c:v>
                </c:pt>
                <c:pt idx="1283">
                  <c:v>207.017464500644</c:v>
                </c:pt>
                <c:pt idx="1284">
                  <c:v>207.035709569952</c:v>
                </c:pt>
                <c:pt idx="1285">
                  <c:v>207.035709569952</c:v>
                </c:pt>
                <c:pt idx="1286">
                  <c:v>207.035709569952</c:v>
                </c:pt>
                <c:pt idx="1287">
                  <c:v>207.035709569952</c:v>
                </c:pt>
                <c:pt idx="1288">
                  <c:v>206.96166339138</c:v>
                </c:pt>
                <c:pt idx="1289">
                  <c:v>206.950816791277</c:v>
                </c:pt>
                <c:pt idx="1290">
                  <c:v>206.950816791277</c:v>
                </c:pt>
                <c:pt idx="1291">
                  <c:v>206.96166339138</c:v>
                </c:pt>
                <c:pt idx="1292">
                  <c:v>206.96166339138</c:v>
                </c:pt>
                <c:pt idx="1293">
                  <c:v>206.96166339138</c:v>
                </c:pt>
                <c:pt idx="1294">
                  <c:v>206.950816791277</c:v>
                </c:pt>
                <c:pt idx="1295">
                  <c:v>206.815665731772</c:v>
                </c:pt>
                <c:pt idx="1296">
                  <c:v>206.415289743177</c:v>
                </c:pt>
                <c:pt idx="1297">
                  <c:v>206.322946796936</c:v>
                </c:pt>
                <c:pt idx="1298">
                  <c:v>206.272441221119</c:v>
                </c:pt>
                <c:pt idx="1299">
                  <c:v>206.272441221119</c:v>
                </c:pt>
                <c:pt idx="1300">
                  <c:v>206.272441221119</c:v>
                </c:pt>
                <c:pt idx="1301">
                  <c:v>206.182602802038</c:v>
                </c:pt>
                <c:pt idx="1302">
                  <c:v>206.182602802038</c:v>
                </c:pt>
                <c:pt idx="1303">
                  <c:v>206.15442693893</c:v>
                </c:pt>
                <c:pt idx="1304">
                  <c:v>205.88914355221</c:v>
                </c:pt>
                <c:pt idx="1305">
                  <c:v>205.720197868179</c:v>
                </c:pt>
                <c:pt idx="1306">
                  <c:v>205.593335154598</c:v>
                </c:pt>
                <c:pt idx="1307">
                  <c:v>205.575106166437</c:v>
                </c:pt>
                <c:pt idx="1308">
                  <c:v>205.461187145829</c:v>
                </c:pt>
                <c:pt idx="1309">
                  <c:v>205.461187145829</c:v>
                </c:pt>
                <c:pt idx="1310">
                  <c:v>205.461187145829</c:v>
                </c:pt>
                <c:pt idx="1311">
                  <c:v>205.350336144196</c:v>
                </c:pt>
                <c:pt idx="1312">
                  <c:v>205.201002037911</c:v>
                </c:pt>
                <c:pt idx="1313">
                  <c:v>205.088567927179</c:v>
                </c:pt>
                <c:pt idx="1314">
                  <c:v>205.201002037911</c:v>
                </c:pt>
                <c:pt idx="1315">
                  <c:v>205.201002037911</c:v>
                </c:pt>
                <c:pt idx="1316">
                  <c:v>205.201002037911</c:v>
                </c:pt>
                <c:pt idx="1317">
                  <c:v>205.350336144196</c:v>
                </c:pt>
                <c:pt idx="1318">
                  <c:v>205.350336144196</c:v>
                </c:pt>
                <c:pt idx="1319">
                  <c:v>205.331964435046</c:v>
                </c:pt>
                <c:pt idx="1320">
                  <c:v>205.201002037911</c:v>
                </c:pt>
                <c:pt idx="1321">
                  <c:v>205.033659564939</c:v>
                </c:pt>
                <c:pt idx="1322">
                  <c:v>204.908510931395</c:v>
                </c:pt>
                <c:pt idx="1323">
                  <c:v>204.846034084432</c:v>
                </c:pt>
                <c:pt idx="1324">
                  <c:v>204.595033862482</c:v>
                </c:pt>
                <c:pt idx="1325">
                  <c:v>204.595033862482</c:v>
                </c:pt>
                <c:pt idx="1326">
                  <c:v>204.43282361499</c:v>
                </c:pt>
                <c:pt idx="1327">
                  <c:v>204.269429072926</c:v>
                </c:pt>
                <c:pt idx="1328">
                  <c:v>204.054660301622</c:v>
                </c:pt>
                <c:pt idx="1329">
                  <c:v>203.924916471534</c:v>
                </c:pt>
                <c:pt idx="1330">
                  <c:v>203.870824808426</c:v>
                </c:pt>
                <c:pt idx="1331">
                  <c:v>203.644318534383</c:v>
                </c:pt>
                <c:pt idx="1332">
                  <c:v>203.501068782625</c:v>
                </c:pt>
                <c:pt idx="1333">
                  <c:v>203.644318534383</c:v>
                </c:pt>
                <c:pt idx="1334">
                  <c:v>203.870824808426</c:v>
                </c:pt>
                <c:pt idx="1335">
                  <c:v>203.870824808426</c:v>
                </c:pt>
                <c:pt idx="1336">
                  <c:v>203.924916471534</c:v>
                </c:pt>
                <c:pt idx="1337">
                  <c:v>203.924916471534</c:v>
                </c:pt>
                <c:pt idx="1338">
                  <c:v>203.870824808426</c:v>
                </c:pt>
                <c:pt idx="1339">
                  <c:v>203.870824808426</c:v>
                </c:pt>
                <c:pt idx="1340">
                  <c:v>203.617312798648</c:v>
                </c:pt>
                <c:pt idx="1341">
                  <c:v>203.617312798648</c:v>
                </c:pt>
                <c:pt idx="1342">
                  <c:v>203.501068782625</c:v>
                </c:pt>
                <c:pt idx="1343">
                  <c:v>203.617312798648</c:v>
                </c:pt>
                <c:pt idx="1344">
                  <c:v>203.501068782625</c:v>
                </c:pt>
                <c:pt idx="1345">
                  <c:v>203.401385447012</c:v>
                </c:pt>
                <c:pt idx="1346">
                  <c:v>203.501068782625</c:v>
                </c:pt>
                <c:pt idx="1347">
                  <c:v>203.617312798648</c:v>
                </c:pt>
                <c:pt idx="1348">
                  <c:v>203.617312798648</c:v>
                </c:pt>
                <c:pt idx="1349">
                  <c:v>203.617312798648</c:v>
                </c:pt>
                <c:pt idx="1350">
                  <c:v>204.34224019223</c:v>
                </c:pt>
                <c:pt idx="1351">
                  <c:v>204.380056399988</c:v>
                </c:pt>
                <c:pt idx="1352">
                  <c:v>205.03806792913</c:v>
                </c:pt>
                <c:pt idx="1353">
                  <c:v>205.042149674881</c:v>
                </c:pt>
                <c:pt idx="1354">
                  <c:v>205.089166215142</c:v>
                </c:pt>
                <c:pt idx="1355">
                  <c:v>205.431174628626</c:v>
                </c:pt>
                <c:pt idx="1356">
                  <c:v>205.466856045731</c:v>
                </c:pt>
                <c:pt idx="1357">
                  <c:v>205.795685023791</c:v>
                </c:pt>
                <c:pt idx="1358">
                  <c:v>205.928472108418</c:v>
                </c:pt>
                <c:pt idx="1359">
                  <c:v>206.069422372337</c:v>
                </c:pt>
                <c:pt idx="1360">
                  <c:v>206.08578653328</c:v>
                </c:pt>
                <c:pt idx="1361">
                  <c:v>206.397728132288</c:v>
                </c:pt>
                <c:pt idx="1362">
                  <c:v>206.495182150634</c:v>
                </c:pt>
                <c:pt idx="1363">
                  <c:v>206.495182150634</c:v>
                </c:pt>
                <c:pt idx="1364">
                  <c:v>206.495182150634</c:v>
                </c:pt>
                <c:pt idx="1365">
                  <c:v>206.495182150634</c:v>
                </c:pt>
                <c:pt idx="1366">
                  <c:v>206.866775539245</c:v>
                </c:pt>
                <c:pt idx="1367">
                  <c:v>206.866775539245</c:v>
                </c:pt>
                <c:pt idx="1368">
                  <c:v>206.866775539245</c:v>
                </c:pt>
                <c:pt idx="1369">
                  <c:v>206.397728132288</c:v>
                </c:pt>
                <c:pt idx="1370">
                  <c:v>206.80699746588</c:v>
                </c:pt>
                <c:pt idx="1371">
                  <c:v>206.866775539245</c:v>
                </c:pt>
                <c:pt idx="1372">
                  <c:v>206.866775539245</c:v>
                </c:pt>
                <c:pt idx="1373">
                  <c:v>206.866775539245</c:v>
                </c:pt>
                <c:pt idx="1374">
                  <c:v>206.866775539245</c:v>
                </c:pt>
                <c:pt idx="1375">
                  <c:v>206.866775539245</c:v>
                </c:pt>
                <c:pt idx="1376">
                  <c:v>206.80699746588</c:v>
                </c:pt>
                <c:pt idx="1377">
                  <c:v>206.80699746588</c:v>
                </c:pt>
                <c:pt idx="1378">
                  <c:v>206.704597449001</c:v>
                </c:pt>
                <c:pt idx="1379">
                  <c:v>206.704597449001</c:v>
                </c:pt>
                <c:pt idx="1380">
                  <c:v>206.486938645773</c:v>
                </c:pt>
                <c:pt idx="1381">
                  <c:v>206.313908086581</c:v>
                </c:pt>
                <c:pt idx="1382">
                  <c:v>206.203563218376</c:v>
                </c:pt>
                <c:pt idx="1383">
                  <c:v>206.187624120782</c:v>
                </c:pt>
                <c:pt idx="1384">
                  <c:v>205.952598152999</c:v>
                </c:pt>
                <c:pt idx="1385">
                  <c:v>205.825302739142</c:v>
                </c:pt>
                <c:pt idx="1386">
                  <c:v>205.582799313493</c:v>
                </c:pt>
                <c:pt idx="1387">
                  <c:v>205.443292643211</c:v>
                </c:pt>
                <c:pt idx="1388">
                  <c:v>205.443292643211</c:v>
                </c:pt>
                <c:pt idx="1389">
                  <c:v>205.462261239817</c:v>
                </c:pt>
                <c:pt idx="1390">
                  <c:v>205.488008021935</c:v>
                </c:pt>
                <c:pt idx="1391">
                  <c:v>205.462261239817</c:v>
                </c:pt>
                <c:pt idx="1392">
                  <c:v>205.462261239817</c:v>
                </c:pt>
                <c:pt idx="1393">
                  <c:v>205.462261239817</c:v>
                </c:pt>
                <c:pt idx="1394">
                  <c:v>205.488008021935</c:v>
                </c:pt>
                <c:pt idx="1395">
                  <c:v>205.488008021935</c:v>
                </c:pt>
                <c:pt idx="1396">
                  <c:v>205.488008021935</c:v>
                </c:pt>
                <c:pt idx="1397">
                  <c:v>205.488008021935</c:v>
                </c:pt>
                <c:pt idx="1398">
                  <c:v>205.488008021935</c:v>
                </c:pt>
                <c:pt idx="1399">
                  <c:v>205.582799313493</c:v>
                </c:pt>
                <c:pt idx="1400">
                  <c:v>205.582799313493</c:v>
                </c:pt>
                <c:pt idx="1401">
                  <c:v>206.288148650758</c:v>
                </c:pt>
                <c:pt idx="1402">
                  <c:v>206.680501562922</c:v>
                </c:pt>
                <c:pt idx="1403">
                  <c:v>206.710120355298</c:v>
                </c:pt>
                <c:pt idx="1404">
                  <c:v>206.963313583249</c:v>
                </c:pt>
                <c:pt idx="1405">
                  <c:v>207.059279985322</c:v>
                </c:pt>
                <c:pt idx="1406">
                  <c:v>207.132319563262</c:v>
                </c:pt>
                <c:pt idx="1407">
                  <c:v>207.468453367159</c:v>
                </c:pt>
                <c:pt idx="1408">
                  <c:v>207.525403214332</c:v>
                </c:pt>
                <c:pt idx="1409">
                  <c:v>207.525761490701</c:v>
                </c:pt>
                <c:pt idx="1410">
                  <c:v>207.542662688166</c:v>
                </c:pt>
                <c:pt idx="1411">
                  <c:v>207.542662688166</c:v>
                </c:pt>
                <c:pt idx="1412">
                  <c:v>207.542662688166</c:v>
                </c:pt>
                <c:pt idx="1413">
                  <c:v>207.542662688166</c:v>
                </c:pt>
                <c:pt idx="1414">
                  <c:v>207.752623920632</c:v>
                </c:pt>
                <c:pt idx="1415">
                  <c:v>207.752623920632</c:v>
                </c:pt>
                <c:pt idx="1416">
                  <c:v>207.921864715652</c:v>
                </c:pt>
                <c:pt idx="1417">
                  <c:v>208.042900350992</c:v>
                </c:pt>
                <c:pt idx="1418">
                  <c:v>208.042900350992</c:v>
                </c:pt>
                <c:pt idx="1419">
                  <c:v>208.301207274229</c:v>
                </c:pt>
                <c:pt idx="1420">
                  <c:v>208.395890407041</c:v>
                </c:pt>
                <c:pt idx="1421">
                  <c:v>208.395890407041</c:v>
                </c:pt>
                <c:pt idx="1422">
                  <c:v>208.395890407041</c:v>
                </c:pt>
                <c:pt idx="1423">
                  <c:v>208.498316531005</c:v>
                </c:pt>
                <c:pt idx="1424">
                  <c:v>208.63332606457</c:v>
                </c:pt>
                <c:pt idx="1425">
                  <c:v>208.684907711869</c:v>
                </c:pt>
                <c:pt idx="1426">
                  <c:v>208.684907711869</c:v>
                </c:pt>
                <c:pt idx="1427">
                  <c:v>208.684907711869</c:v>
                </c:pt>
                <c:pt idx="1428">
                  <c:v>208.684907711869</c:v>
                </c:pt>
                <c:pt idx="1429">
                  <c:v>208.498316531005</c:v>
                </c:pt>
                <c:pt idx="1430">
                  <c:v>208.395890407041</c:v>
                </c:pt>
                <c:pt idx="1431">
                  <c:v>208.342122865586</c:v>
                </c:pt>
                <c:pt idx="1432">
                  <c:v>208.395890407041</c:v>
                </c:pt>
                <c:pt idx="1433">
                  <c:v>208.395890407041</c:v>
                </c:pt>
                <c:pt idx="1434">
                  <c:v>208.395890407041</c:v>
                </c:pt>
                <c:pt idx="1435">
                  <c:v>208.342122865586</c:v>
                </c:pt>
                <c:pt idx="1436">
                  <c:v>208.342122865586</c:v>
                </c:pt>
                <c:pt idx="1437">
                  <c:v>208.342122865586</c:v>
                </c:pt>
                <c:pt idx="1438">
                  <c:v>208.305708408399</c:v>
                </c:pt>
                <c:pt idx="1439">
                  <c:v>208.305708408399</c:v>
                </c:pt>
                <c:pt idx="1440">
                  <c:v>208.289510817576</c:v>
                </c:pt>
                <c:pt idx="1441">
                  <c:v>208.289510817576</c:v>
                </c:pt>
                <c:pt idx="1442">
                  <c:v>207.988686848301</c:v>
                </c:pt>
                <c:pt idx="1443">
                  <c:v>207.988686848301</c:v>
                </c:pt>
                <c:pt idx="1444">
                  <c:v>207.838204371303</c:v>
                </c:pt>
                <c:pt idx="1445">
                  <c:v>207.791399639859</c:v>
                </c:pt>
                <c:pt idx="1446">
                  <c:v>207.625176335252</c:v>
                </c:pt>
                <c:pt idx="1447">
                  <c:v>207.625176335252</c:v>
                </c:pt>
                <c:pt idx="1448">
                  <c:v>207.493006452547</c:v>
                </c:pt>
                <c:pt idx="1449">
                  <c:v>207.337353428651</c:v>
                </c:pt>
                <c:pt idx="1450">
                  <c:v>207.059621971329</c:v>
                </c:pt>
                <c:pt idx="1451">
                  <c:v>207.059621971329</c:v>
                </c:pt>
                <c:pt idx="1452">
                  <c:v>207.059621971329</c:v>
                </c:pt>
                <c:pt idx="1453">
                  <c:v>207.059621971329</c:v>
                </c:pt>
                <c:pt idx="1454">
                  <c:v>207.337353428651</c:v>
                </c:pt>
                <c:pt idx="1455">
                  <c:v>207.337353428651</c:v>
                </c:pt>
                <c:pt idx="1456">
                  <c:v>207.009307762184</c:v>
                </c:pt>
                <c:pt idx="1457">
                  <c:v>207.193076311369</c:v>
                </c:pt>
                <c:pt idx="1458">
                  <c:v>207.337353428651</c:v>
                </c:pt>
                <c:pt idx="1459">
                  <c:v>207.493006452547</c:v>
                </c:pt>
                <c:pt idx="1460">
                  <c:v>207.493006452547</c:v>
                </c:pt>
                <c:pt idx="1461">
                  <c:v>207.337353428651</c:v>
                </c:pt>
                <c:pt idx="1462">
                  <c:v>207.337353428651</c:v>
                </c:pt>
                <c:pt idx="1463">
                  <c:v>207.337353428651</c:v>
                </c:pt>
                <c:pt idx="1464">
                  <c:v>207.337353428651</c:v>
                </c:pt>
                <c:pt idx="1465">
                  <c:v>207.721339646368</c:v>
                </c:pt>
                <c:pt idx="1466">
                  <c:v>207.721339646368</c:v>
                </c:pt>
                <c:pt idx="1467">
                  <c:v>207.721339646368</c:v>
                </c:pt>
                <c:pt idx="1468">
                  <c:v>207.721339646368</c:v>
                </c:pt>
                <c:pt idx="1469">
                  <c:v>207.880627771608</c:v>
                </c:pt>
                <c:pt idx="1470">
                  <c:v>207.918289550591</c:v>
                </c:pt>
                <c:pt idx="1471">
                  <c:v>207.939551763201</c:v>
                </c:pt>
                <c:pt idx="1472">
                  <c:v>207.939551763201</c:v>
                </c:pt>
                <c:pt idx="1473">
                  <c:v>207.939551763201</c:v>
                </c:pt>
                <c:pt idx="1474">
                  <c:v>207.939551763201</c:v>
                </c:pt>
                <c:pt idx="1475">
                  <c:v>208.424604964403</c:v>
                </c:pt>
                <c:pt idx="1476">
                  <c:v>208.513672478977</c:v>
                </c:pt>
                <c:pt idx="1477">
                  <c:v>208.656253949471</c:v>
                </c:pt>
                <c:pt idx="1478">
                  <c:v>209.02501324922</c:v>
                </c:pt>
                <c:pt idx="1479">
                  <c:v>209.146542834525</c:v>
                </c:pt>
                <c:pt idx="1480">
                  <c:v>209.149190074343</c:v>
                </c:pt>
                <c:pt idx="1481">
                  <c:v>209.306662549977</c:v>
                </c:pt>
                <c:pt idx="1482">
                  <c:v>209.306662549977</c:v>
                </c:pt>
                <c:pt idx="1483">
                  <c:v>209.562722041566</c:v>
                </c:pt>
                <c:pt idx="1484">
                  <c:v>209.649377166439</c:v>
                </c:pt>
                <c:pt idx="1485">
                  <c:v>209.687426200595</c:v>
                </c:pt>
                <c:pt idx="1486">
                  <c:v>209.773449999413</c:v>
                </c:pt>
                <c:pt idx="1487">
                  <c:v>209.968590889144</c:v>
                </c:pt>
                <c:pt idx="1488">
                  <c:v>209.968590889144</c:v>
                </c:pt>
                <c:pt idx="1489">
                  <c:v>209.968590889144</c:v>
                </c:pt>
                <c:pt idx="1490">
                  <c:v>210.027339173614</c:v>
                </c:pt>
                <c:pt idx="1491">
                  <c:v>210.027339173614</c:v>
                </c:pt>
                <c:pt idx="1492">
                  <c:v>210.027339173614</c:v>
                </c:pt>
                <c:pt idx="1493">
                  <c:v>210.027339173614</c:v>
                </c:pt>
                <c:pt idx="1494">
                  <c:v>210.112434674934</c:v>
                </c:pt>
                <c:pt idx="1495">
                  <c:v>210.112434674934</c:v>
                </c:pt>
                <c:pt idx="1496">
                  <c:v>210.112434674934</c:v>
                </c:pt>
                <c:pt idx="1497">
                  <c:v>210.306777011996</c:v>
                </c:pt>
                <c:pt idx="1498">
                  <c:v>210.306777011996</c:v>
                </c:pt>
                <c:pt idx="1499">
                  <c:v>210.112434674934</c:v>
                </c:pt>
                <c:pt idx="1500">
                  <c:v>209.776299119089</c:v>
                </c:pt>
                <c:pt idx="1501">
                  <c:v>209.776299119089</c:v>
                </c:pt>
                <c:pt idx="1502">
                  <c:v>210.112434674934</c:v>
                </c:pt>
                <c:pt idx="1503">
                  <c:v>210.306777011996</c:v>
                </c:pt>
                <c:pt idx="1504">
                  <c:v>210.306777011996</c:v>
                </c:pt>
                <c:pt idx="1505">
                  <c:v>210.112434674934</c:v>
                </c:pt>
                <c:pt idx="1506">
                  <c:v>210.306777011996</c:v>
                </c:pt>
                <c:pt idx="1507">
                  <c:v>210.306777011996</c:v>
                </c:pt>
                <c:pt idx="1508">
                  <c:v>210.306777011996</c:v>
                </c:pt>
                <c:pt idx="1509">
                  <c:v>210.306777011996</c:v>
                </c:pt>
                <c:pt idx="1510">
                  <c:v>210.487623737735</c:v>
                </c:pt>
                <c:pt idx="1511">
                  <c:v>211.472319326821</c:v>
                </c:pt>
                <c:pt idx="1512">
                  <c:v>211.803448484395</c:v>
                </c:pt>
                <c:pt idx="1513">
                  <c:v>211.900234535754</c:v>
                </c:pt>
                <c:pt idx="1514">
                  <c:v>211.912331379295</c:v>
                </c:pt>
                <c:pt idx="1515">
                  <c:v>212.32702732565</c:v>
                </c:pt>
                <c:pt idx="1516">
                  <c:v>212.333559017387</c:v>
                </c:pt>
                <c:pt idx="1517">
                  <c:v>212.333559017387</c:v>
                </c:pt>
                <c:pt idx="1518">
                  <c:v>212.333559017387</c:v>
                </c:pt>
                <c:pt idx="1519">
                  <c:v>212.333559017387</c:v>
                </c:pt>
                <c:pt idx="1520">
                  <c:v>212.399941265128</c:v>
                </c:pt>
                <c:pt idx="1521">
                  <c:v>212.593040253695</c:v>
                </c:pt>
                <c:pt idx="1522">
                  <c:v>212.659308462795</c:v>
                </c:pt>
                <c:pt idx="1523">
                  <c:v>212.769030048089</c:v>
                </c:pt>
                <c:pt idx="1524">
                  <c:v>212.769030048089</c:v>
                </c:pt>
                <c:pt idx="1525">
                  <c:v>213.016348069504</c:v>
                </c:pt>
                <c:pt idx="1526">
                  <c:v>213.149379066594</c:v>
                </c:pt>
                <c:pt idx="1527">
                  <c:v>213.227908143276</c:v>
                </c:pt>
                <c:pt idx="1528">
                  <c:v>213.227908143276</c:v>
                </c:pt>
                <c:pt idx="1529">
                  <c:v>213.484460375394</c:v>
                </c:pt>
                <c:pt idx="1530">
                  <c:v>213.484460375394</c:v>
                </c:pt>
                <c:pt idx="1531">
                  <c:v>213.752149902189</c:v>
                </c:pt>
                <c:pt idx="1532">
                  <c:v>213.752149902189</c:v>
                </c:pt>
                <c:pt idx="1533">
                  <c:v>213.752149902189</c:v>
                </c:pt>
                <c:pt idx="1534">
                  <c:v>213.752149902189</c:v>
                </c:pt>
                <c:pt idx="1535">
                  <c:v>213.752149902189</c:v>
                </c:pt>
                <c:pt idx="1536">
                  <c:v>213.806240254709</c:v>
                </c:pt>
                <c:pt idx="1537">
                  <c:v>213.806240254709</c:v>
                </c:pt>
                <c:pt idx="1538">
                  <c:v>213.806240254709</c:v>
                </c:pt>
                <c:pt idx="1539">
                  <c:v>213.806240254709</c:v>
                </c:pt>
                <c:pt idx="1540">
                  <c:v>213.907300709345</c:v>
                </c:pt>
                <c:pt idx="1541">
                  <c:v>213.907300709345</c:v>
                </c:pt>
                <c:pt idx="1542">
                  <c:v>213.907300709345</c:v>
                </c:pt>
                <c:pt idx="1543">
                  <c:v>213.907300709345</c:v>
                </c:pt>
                <c:pt idx="1544">
                  <c:v>214.824799075776</c:v>
                </c:pt>
                <c:pt idx="1545">
                  <c:v>214.836892572211</c:v>
                </c:pt>
                <c:pt idx="1546">
                  <c:v>215.014711464917</c:v>
                </c:pt>
                <c:pt idx="1547">
                  <c:v>215.014711464917</c:v>
                </c:pt>
                <c:pt idx="1548">
                  <c:v>215.014711464917</c:v>
                </c:pt>
                <c:pt idx="1549">
                  <c:v>216.896794032043</c:v>
                </c:pt>
                <c:pt idx="1550">
                  <c:v>216.896794032043</c:v>
                </c:pt>
                <c:pt idx="1551">
                  <c:v>217.071277222594</c:v>
                </c:pt>
                <c:pt idx="1552">
                  <c:v>217.071277222594</c:v>
                </c:pt>
                <c:pt idx="1553">
                  <c:v>216.982744431553</c:v>
                </c:pt>
                <c:pt idx="1554">
                  <c:v>216.982744431553</c:v>
                </c:pt>
                <c:pt idx="1555">
                  <c:v>216.982744431553</c:v>
                </c:pt>
                <c:pt idx="1556">
                  <c:v>216.982744431553</c:v>
                </c:pt>
                <c:pt idx="1557">
                  <c:v>217.071277222594</c:v>
                </c:pt>
                <c:pt idx="1558">
                  <c:v>217.259758779828</c:v>
                </c:pt>
                <c:pt idx="1559">
                  <c:v>217.410261128727</c:v>
                </c:pt>
                <c:pt idx="1560">
                  <c:v>217.259758779828</c:v>
                </c:pt>
                <c:pt idx="1561">
                  <c:v>217.259758779828</c:v>
                </c:pt>
                <c:pt idx="1562">
                  <c:v>216.982744431553</c:v>
                </c:pt>
                <c:pt idx="1563">
                  <c:v>216.982744431553</c:v>
                </c:pt>
                <c:pt idx="1564">
                  <c:v>216.896794032043</c:v>
                </c:pt>
                <c:pt idx="1565">
                  <c:v>216.709894897729</c:v>
                </c:pt>
                <c:pt idx="1566">
                  <c:v>216.198891733101</c:v>
                </c:pt>
                <c:pt idx="1567">
                  <c:v>216.068629736485</c:v>
                </c:pt>
                <c:pt idx="1568">
                  <c:v>215.686670659196</c:v>
                </c:pt>
                <c:pt idx="1569">
                  <c:v>215.473738639938</c:v>
                </c:pt>
                <c:pt idx="1570">
                  <c:v>215.473738639938</c:v>
                </c:pt>
                <c:pt idx="1571">
                  <c:v>215.686670659196</c:v>
                </c:pt>
                <c:pt idx="1572">
                  <c:v>215.686670659196</c:v>
                </c:pt>
                <c:pt idx="1573">
                  <c:v>215.473738639938</c:v>
                </c:pt>
                <c:pt idx="1574">
                  <c:v>215.277765425808</c:v>
                </c:pt>
                <c:pt idx="1575">
                  <c:v>215.473738639938</c:v>
                </c:pt>
                <c:pt idx="1576">
                  <c:v>215.686670659196</c:v>
                </c:pt>
                <c:pt idx="1577">
                  <c:v>215.780696848487</c:v>
                </c:pt>
                <c:pt idx="1578">
                  <c:v>215.780696848487</c:v>
                </c:pt>
                <c:pt idx="1579">
                  <c:v>215.771446614481</c:v>
                </c:pt>
                <c:pt idx="1580">
                  <c:v>215.771446614481</c:v>
                </c:pt>
                <c:pt idx="1581">
                  <c:v>215.771446614481</c:v>
                </c:pt>
                <c:pt idx="1582">
                  <c:v>215.771446614481</c:v>
                </c:pt>
                <c:pt idx="1583">
                  <c:v>215.780696848487</c:v>
                </c:pt>
                <c:pt idx="1584">
                  <c:v>215.780696848487</c:v>
                </c:pt>
                <c:pt idx="1585">
                  <c:v>215.812111701379</c:v>
                </c:pt>
                <c:pt idx="1586">
                  <c:v>215.981085099673</c:v>
                </c:pt>
                <c:pt idx="1587">
                  <c:v>216.302880342768</c:v>
                </c:pt>
                <c:pt idx="1588">
                  <c:v>216.515823480757</c:v>
                </c:pt>
                <c:pt idx="1589">
                  <c:v>216.591329526999</c:v>
                </c:pt>
                <c:pt idx="1590">
                  <c:v>216.696029386406</c:v>
                </c:pt>
                <c:pt idx="1591">
                  <c:v>216.696029386406</c:v>
                </c:pt>
                <c:pt idx="1592">
                  <c:v>217.887368132338</c:v>
                </c:pt>
                <c:pt idx="1593">
                  <c:v>217.904348187392</c:v>
                </c:pt>
                <c:pt idx="1594">
                  <c:v>217.904348187392</c:v>
                </c:pt>
                <c:pt idx="1595">
                  <c:v>218.483227419241</c:v>
                </c:pt>
                <c:pt idx="1596">
                  <c:v>218.72556112744</c:v>
                </c:pt>
                <c:pt idx="1597">
                  <c:v>219.039218878203</c:v>
                </c:pt>
                <c:pt idx="1598">
                  <c:v>219.105370851029</c:v>
                </c:pt>
                <c:pt idx="1599">
                  <c:v>219.110505023515</c:v>
                </c:pt>
                <c:pt idx="1600">
                  <c:v>219.110505023515</c:v>
                </c:pt>
                <c:pt idx="1601">
                  <c:v>219.110505023515</c:v>
                </c:pt>
                <c:pt idx="1602">
                  <c:v>219.303631747395</c:v>
                </c:pt>
                <c:pt idx="1603">
                  <c:v>219.659722489923</c:v>
                </c:pt>
                <c:pt idx="1604">
                  <c:v>219.659722489923</c:v>
                </c:pt>
                <c:pt idx="1605">
                  <c:v>219.659722489923</c:v>
                </c:pt>
                <c:pt idx="1606">
                  <c:v>219.659722489923</c:v>
                </c:pt>
                <c:pt idx="1607">
                  <c:v>219.659722489923</c:v>
                </c:pt>
                <c:pt idx="1608">
                  <c:v>219.659722489923</c:v>
                </c:pt>
                <c:pt idx="1609">
                  <c:v>219.786347128425</c:v>
                </c:pt>
                <c:pt idx="1610">
                  <c:v>219.786347128425</c:v>
                </c:pt>
                <c:pt idx="1611">
                  <c:v>219.840219876951</c:v>
                </c:pt>
                <c:pt idx="1612">
                  <c:v>220.148039188943</c:v>
                </c:pt>
                <c:pt idx="1613">
                  <c:v>220.339314337699</c:v>
                </c:pt>
                <c:pt idx="1614">
                  <c:v>220.630365769132</c:v>
                </c:pt>
                <c:pt idx="1615">
                  <c:v>220.724387452835</c:v>
                </c:pt>
                <c:pt idx="1616">
                  <c:v>220.826259563097</c:v>
                </c:pt>
                <c:pt idx="1617">
                  <c:v>221.452665195005</c:v>
                </c:pt>
                <c:pt idx="1618">
                  <c:v>221.690167502558</c:v>
                </c:pt>
                <c:pt idx="1619">
                  <c:v>221.690167502558</c:v>
                </c:pt>
                <c:pt idx="1620">
                  <c:v>221.75397586782</c:v>
                </c:pt>
                <c:pt idx="1621">
                  <c:v>221.965231313657</c:v>
                </c:pt>
                <c:pt idx="1622">
                  <c:v>222.147133710777</c:v>
                </c:pt>
                <c:pt idx="1623">
                  <c:v>223.963536653715</c:v>
                </c:pt>
                <c:pt idx="1624">
                  <c:v>224.000022855397</c:v>
                </c:pt>
                <c:pt idx="1625">
                  <c:v>224.111765844581</c:v>
                </c:pt>
                <c:pt idx="1626">
                  <c:v>224.827833601514</c:v>
                </c:pt>
                <c:pt idx="1627">
                  <c:v>224.833024569434</c:v>
                </c:pt>
                <c:pt idx="1628">
                  <c:v>224.952329271378</c:v>
                </c:pt>
                <c:pt idx="1629">
                  <c:v>225.264250276595</c:v>
                </c:pt>
                <c:pt idx="1630">
                  <c:v>225.264250276595</c:v>
                </c:pt>
                <c:pt idx="1631">
                  <c:v>225.304095601654</c:v>
                </c:pt>
                <c:pt idx="1632">
                  <c:v>225.307677456564</c:v>
                </c:pt>
                <c:pt idx="1633">
                  <c:v>225.344525966749</c:v>
                </c:pt>
                <c:pt idx="1634">
                  <c:v>225.482121878993</c:v>
                </c:pt>
                <c:pt idx="1635">
                  <c:v>225.552388504225</c:v>
                </c:pt>
                <c:pt idx="1636">
                  <c:v>225.552388504225</c:v>
                </c:pt>
                <c:pt idx="1637">
                  <c:v>225.632928957554</c:v>
                </c:pt>
                <c:pt idx="1638">
                  <c:v>226.05112586814</c:v>
                </c:pt>
                <c:pt idx="1639">
                  <c:v>226.05112586814</c:v>
                </c:pt>
                <c:pt idx="1640">
                  <c:v>226.05112586814</c:v>
                </c:pt>
                <c:pt idx="1641">
                  <c:v>226.05112586814</c:v>
                </c:pt>
                <c:pt idx="1642">
                  <c:v>226.321148069673</c:v>
                </c:pt>
                <c:pt idx="1643">
                  <c:v>226.363482924762</c:v>
                </c:pt>
                <c:pt idx="1644">
                  <c:v>226.395702336135</c:v>
                </c:pt>
                <c:pt idx="1645">
                  <c:v>226.395702336135</c:v>
                </c:pt>
                <c:pt idx="1646">
                  <c:v>226.537768069624</c:v>
                </c:pt>
                <c:pt idx="1647">
                  <c:v>226.551715526934</c:v>
                </c:pt>
                <c:pt idx="1648">
                  <c:v>226.566090477434</c:v>
                </c:pt>
                <c:pt idx="1649">
                  <c:v>226.580465427934</c:v>
                </c:pt>
                <c:pt idx="1650">
                  <c:v>226.601848755984</c:v>
                </c:pt>
                <c:pt idx="1651">
                  <c:v>226.623232084033</c:v>
                </c:pt>
                <c:pt idx="1652">
                  <c:v>226.978137398547</c:v>
                </c:pt>
                <c:pt idx="1653">
                  <c:v>227.032604534099</c:v>
                </c:pt>
                <c:pt idx="1654">
                  <c:v>227.112030781672</c:v>
                </c:pt>
                <c:pt idx="1655">
                  <c:v>227.112030781672</c:v>
                </c:pt>
                <c:pt idx="1656">
                  <c:v>227.226781073924</c:v>
                </c:pt>
                <c:pt idx="1657">
                  <c:v>227.434306287718</c:v>
                </c:pt>
                <c:pt idx="1658">
                  <c:v>227.445280831729</c:v>
                </c:pt>
                <c:pt idx="1659">
                  <c:v>227.456255375741</c:v>
                </c:pt>
                <c:pt idx="1660">
                  <c:v>227.591535109749</c:v>
                </c:pt>
                <c:pt idx="1661">
                  <c:v>227.726814843758</c:v>
                </c:pt>
                <c:pt idx="1662">
                  <c:v>227.917203618814</c:v>
                </c:pt>
                <c:pt idx="1663">
                  <c:v>228.107592393869</c:v>
                </c:pt>
                <c:pt idx="1664">
                  <c:v>227.820581699008</c:v>
                </c:pt>
                <c:pt idx="1665">
                  <c:v>228.184908022275</c:v>
                </c:pt>
                <c:pt idx="1666">
                  <c:v>228.384641255581</c:v>
                </c:pt>
                <c:pt idx="1667">
                  <c:v>228.584374488888</c:v>
                </c:pt>
              </c:numCache>
            </c:numRef>
          </c:val>
          <c:smooth val="0"/>
        </c:ser>
        <c:hiLowLines>
          <c:spPr>
            <a:ln w="0">
              <a:noFill/>
            </a:ln>
          </c:spPr>
        </c:hiLowLines>
        <c:marker val="0"/>
        <c:axId val="30180497"/>
        <c:axId val="51066082"/>
      </c:lineChart>
      <c:dateAx>
        <c:axId val="30180497"/>
        <c:scaling>
          <c:orientation val="minMax"/>
        </c:scaling>
        <c:delete val="0"/>
        <c:axPos val="b"/>
        <c:numFmt formatCode="yyyy" sourceLinked="0"/>
        <c:majorTickMark val="out"/>
        <c:minorTickMark val="none"/>
        <c:tickLblPos val="nextTo"/>
        <c:spPr>
          <a:ln w="9360">
            <a:solidFill>
              <a:srgbClr val="bcbcb5"/>
            </a:solidFill>
            <a:round/>
          </a:ln>
        </c:spPr>
        <c:txPr>
          <a:bodyPr/>
          <a:lstStyle/>
          <a:p>
            <a:pPr>
              <a:defRPr b="0" sz="900" spc="-1" strike="noStrike">
                <a:solidFill>
                  <a:srgbClr val="6c6a62"/>
                </a:solidFill>
                <a:latin typeface="Fira Sans"/>
              </a:defRPr>
            </a:pPr>
          </a:p>
        </c:txPr>
        <c:crossAx val="51066082"/>
        <c:crosses val="autoZero"/>
        <c:auto val="1"/>
        <c:lblOffset val="100"/>
        <c:baseTimeUnit val="days"/>
        <c:majorUnit val="1"/>
        <c:majorTimeUnit val="years"/>
        <c:noMultiLvlLbl val="0"/>
      </c:dateAx>
      <c:valAx>
        <c:axId val="51066082"/>
        <c:scaling>
          <c:orientation val="minMax"/>
          <c:max val="275"/>
          <c:min val="50"/>
        </c:scaling>
        <c:delete val="0"/>
        <c:axPos val="l"/>
        <c:majorGridlines>
          <c:spPr>
            <a:ln w="9360">
              <a:solidFill>
                <a:srgbClr val="e4e4e0"/>
              </a:solidFill>
              <a:round/>
            </a:ln>
          </c:spPr>
        </c:majorGridlines>
        <c:title>
          <c:tx>
            <c:rich>
              <a:bodyPr rot="-5400000"/>
              <a:lstStyle/>
              <a:p>
                <a:pPr>
                  <a:defRPr b="0" sz="900" spc="-1" strike="noStrike">
                    <a:solidFill>
                      <a:srgbClr val="6c6a62"/>
                    </a:solidFill>
                    <a:latin typeface="Fira Sans"/>
                  </a:defRPr>
                </a:pPr>
                <a:r>
                  <a:rPr b="0" sz="900" spc="-1" strike="noStrike">
                    <a:solidFill>
                      <a:srgbClr val="6c6a62"/>
                    </a:solidFill>
                    <a:latin typeface="Fira Sans"/>
                  </a:rPr>
                  <a:t>Index, 2 Jun 2020 = 100</a:t>
                </a:r>
              </a:p>
            </c:rich>
          </c:tx>
          <c:overlay val="0"/>
          <c:spPr>
            <a:noFill/>
            <a:ln w="0">
              <a:noFill/>
            </a:ln>
          </c:spPr>
        </c:title>
        <c:numFmt formatCode="0" sourceLinked="0"/>
        <c:majorTickMark val="none"/>
        <c:minorTickMark val="none"/>
        <c:tickLblPos val="nextTo"/>
        <c:spPr>
          <a:ln w="9360">
            <a:noFill/>
          </a:ln>
        </c:spPr>
        <c:txPr>
          <a:bodyPr/>
          <a:lstStyle/>
          <a:p>
            <a:pPr>
              <a:defRPr b="0" sz="900" spc="-1" strike="noStrike">
                <a:solidFill>
                  <a:srgbClr val="6c6a62"/>
                </a:solidFill>
                <a:latin typeface="Fira Sans"/>
              </a:defRPr>
            </a:pPr>
          </a:p>
        </c:txPr>
        <c:crossAx val="30180497"/>
        <c:crosses val="autoZero"/>
        <c:crossBetween val="between"/>
        <c:majorUnit val="50"/>
      </c:valAx>
      <c:spPr>
        <a:noFill/>
        <a:ln w="0">
          <a:noFill/>
        </a:ln>
      </c:spPr>
    </c:plotArea>
    <c:legend>
      <c:legendPos val="t"/>
      <c:overlay val="0"/>
      <c:spPr>
        <a:noFill/>
        <a:ln w="0">
          <a:noFill/>
        </a:ln>
      </c:spPr>
      <c:txPr>
        <a:bodyPr/>
        <a:lstStyle/>
        <a:p>
          <a:pPr>
            <a:defRPr b="0" sz="1000" spc="-1" strike="noStrike">
              <a:solidFill>
                <a:srgbClr val="272623"/>
              </a:solidFill>
              <a:latin typeface="Fira Sans"/>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"12-month forward P/E"</c:f>
              <c:strCache>
                <c:ptCount val="1"/>
                <c:pt idx="0">
                  <c:v>12-month forward P/E</c:v>
                </c:pt>
              </c:strCache>
            </c:strRef>
          </c:tx>
          <c:spPr>
            <a:solidFill>
              <a:srgbClr val="356494"/>
            </a:solidFill>
            <a:ln w="22320">
              <a:solidFill>
                <a:srgbClr val="356494"/>
              </a:solidFill>
              <a:round/>
            </a:ln>
          </c:spPr>
          <c:marker>
            <c:symbol val="none"/>
          </c:marker>
          <c:dPt>
            <c:idx val="101"/>
            <c:marker>
              <c:symbol val="none"/>
            </c:marker>
          </c:dPt>
          <c:dPt>
            <c:idx val="1667"/>
            <c:marker>
              <c:symbol val="none"/>
            </c:marker>
          </c:dPt>
          <c:dLbls>
            <c:dLbl>
              <c:idx val="101"/>
              <c:txPr>
                <a:bodyPr wrap="square"/>
                <a:lstStyle/>
                <a:p>
                  <a:pPr>
                    <a:defRPr b="1" sz="1000" spc="-1" strike="noStrike">
                      <a:solidFill>
                        <a:srgbClr val="272623"/>
                      </a:solidFill>
                      <a:latin typeface="Fira Sans"/>
                    </a:defRPr>
                  </a:pPr>
                </a:p>
              </c:txPr>
              <c:dLblPos val="r"/>
              <c:showLegendKey val="0"/>
              <c:showVal val="1"/>
              <c:showCatName val="0"/>
              <c:showSerName val="0"/>
              <c:showPercent val="0"/>
              <c:separator>; </c:separator>
            </c:dLbl>
            <c:dLbl>
              <c:idx val="1667"/>
              <c:txPr>
                <a:bodyPr wrap="square"/>
                <a:lstStyle/>
                <a:p>
                  <a:pPr>
                    <a:defRPr b="1" sz="1000" spc="-1" strike="noStrike">
                      <a:solidFill>
                        <a:srgbClr val="272623"/>
                      </a:solidFill>
                      <a:latin typeface="Fira Sans"/>
                    </a:defRPr>
                  </a:pPr>
                </a:p>
              </c:txPr>
              <c:dLblPos val="b"/>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Data!$A$44:$A$1711</c:f>
              <c:numCache>
                <c:formatCode>yyyy</c:formatCode>
                <c:ptCount val="1668"/>
                <c:pt idx="0">
                  <c:v>01-Jan-2020</c:v>
                </c:pt>
                <c:pt idx="1">
                  <c:v>02-Jan-2020</c:v>
                </c:pt>
                <c:pt idx="2">
                  <c:v>03-Jan-2020</c:v>
                </c:pt>
                <c:pt idx="3">
                  <c:v>06-Jan-2020</c:v>
                </c:pt>
                <c:pt idx="4">
                  <c:v>07-Jan-2020</c:v>
                </c:pt>
                <c:pt idx="5">
                  <c:v>08-Jan-2020</c:v>
                </c:pt>
                <c:pt idx="6">
                  <c:v>09-Jan-2020</c:v>
                </c:pt>
                <c:pt idx="7">
                  <c:v>10-Jan-2020</c:v>
                </c:pt>
                <c:pt idx="8">
                  <c:v>13-Jan-2020</c:v>
                </c:pt>
                <c:pt idx="9">
                  <c:v>14-Jan-2020</c:v>
                </c:pt>
                <c:pt idx="10">
                  <c:v>15-Jan-2020</c:v>
                </c:pt>
                <c:pt idx="11">
                  <c:v>16-Jan-2020</c:v>
                </c:pt>
                <c:pt idx="12">
                  <c:v>17-Jan-2020</c:v>
                </c:pt>
                <c:pt idx="13">
                  <c:v>20-Jan-2020</c:v>
                </c:pt>
                <c:pt idx="14">
                  <c:v>21-Jan-2020</c:v>
                </c:pt>
                <c:pt idx="15">
                  <c:v>22-Jan-2020</c:v>
                </c:pt>
                <c:pt idx="16">
                  <c:v>23-Jan-2020</c:v>
                </c:pt>
                <c:pt idx="17">
                  <c:v>24-Jan-2020</c:v>
                </c:pt>
                <c:pt idx="18">
                  <c:v>27-Jan-2020</c:v>
                </c:pt>
                <c:pt idx="19">
                  <c:v>28-Jan-2020</c:v>
                </c:pt>
                <c:pt idx="20">
                  <c:v>29-Jan-2020</c:v>
                </c:pt>
                <c:pt idx="21">
                  <c:v>30-Jan-2020</c:v>
                </c:pt>
                <c:pt idx="22">
                  <c:v>31-Jan-2020</c:v>
                </c:pt>
                <c:pt idx="23">
                  <c:v>03-Feb-2020</c:v>
                </c:pt>
                <c:pt idx="24">
                  <c:v>04-Feb-2020</c:v>
                </c:pt>
                <c:pt idx="25">
                  <c:v>05-Feb-2020</c:v>
                </c:pt>
                <c:pt idx="26">
                  <c:v>06-Feb-2020</c:v>
                </c:pt>
                <c:pt idx="27">
                  <c:v>07-Feb-2020</c:v>
                </c:pt>
                <c:pt idx="28">
                  <c:v>10-Feb-2020</c:v>
                </c:pt>
                <c:pt idx="29">
                  <c:v>11-Feb-2020</c:v>
                </c:pt>
                <c:pt idx="30">
                  <c:v>12-Feb-2020</c:v>
                </c:pt>
                <c:pt idx="31">
                  <c:v>13-Feb-2020</c:v>
                </c:pt>
                <c:pt idx="32">
                  <c:v>14-Feb-2020</c:v>
                </c:pt>
                <c:pt idx="33">
                  <c:v>17-Feb-2020</c:v>
                </c:pt>
                <c:pt idx="34">
                  <c:v>18-Feb-2020</c:v>
                </c:pt>
                <c:pt idx="35">
                  <c:v>19-Feb-2020</c:v>
                </c:pt>
                <c:pt idx="36">
                  <c:v>20-Feb-2020</c:v>
                </c:pt>
                <c:pt idx="37">
                  <c:v>24-Feb-2020</c:v>
                </c:pt>
                <c:pt idx="38">
                  <c:v>25-Feb-2020</c:v>
                </c:pt>
                <c:pt idx="39">
                  <c:v>26-Feb-2020</c:v>
                </c:pt>
                <c:pt idx="40">
                  <c:v>27-Feb-2020</c:v>
                </c:pt>
                <c:pt idx="41">
                  <c:v>28-Feb-2020</c:v>
                </c:pt>
                <c:pt idx="42">
                  <c:v>02-Mar-2020</c:v>
                </c:pt>
                <c:pt idx="43">
                  <c:v>03-Mar-2020</c:v>
                </c:pt>
                <c:pt idx="44">
                  <c:v>04-Mar-2020</c:v>
                </c:pt>
                <c:pt idx="45">
                  <c:v>05-Mar-2020</c:v>
                </c:pt>
                <c:pt idx="46">
                  <c:v>06-Mar-2020</c:v>
                </c:pt>
                <c:pt idx="47">
                  <c:v>09-Mar-2020</c:v>
                </c:pt>
                <c:pt idx="48">
                  <c:v>11-Mar-2020</c:v>
                </c:pt>
                <c:pt idx="49">
                  <c:v>12-Mar-2020</c:v>
                </c:pt>
                <c:pt idx="50">
                  <c:v>13-Mar-2020</c:v>
                </c:pt>
                <c:pt idx="51">
                  <c:v>16-Mar-2020</c:v>
                </c:pt>
                <c:pt idx="52">
                  <c:v>17-Mar-2020</c:v>
                </c:pt>
                <c:pt idx="53">
                  <c:v>18-Mar-2020</c:v>
                </c:pt>
                <c:pt idx="54">
                  <c:v>19-Mar-2020</c:v>
                </c:pt>
                <c:pt idx="55">
                  <c:v>20-Mar-2020</c:v>
                </c:pt>
                <c:pt idx="56">
                  <c:v>23-Mar-2020</c:v>
                </c:pt>
                <c:pt idx="57">
                  <c:v>24-Mar-2020</c:v>
                </c:pt>
                <c:pt idx="58">
                  <c:v>25-Mar-2020</c:v>
                </c:pt>
                <c:pt idx="59">
                  <c:v>26-Mar-2020</c:v>
                </c:pt>
                <c:pt idx="60">
                  <c:v>27-Mar-2020</c:v>
                </c:pt>
                <c:pt idx="61">
                  <c:v>30-Mar-2020</c:v>
                </c:pt>
                <c:pt idx="62">
                  <c:v>31-Mar-2020</c:v>
                </c:pt>
                <c:pt idx="63">
                  <c:v>01-Apr-2020</c:v>
                </c:pt>
                <c:pt idx="64">
                  <c:v>03-Apr-2020</c:v>
                </c:pt>
                <c:pt idx="65">
                  <c:v>07-Apr-2020</c:v>
                </c:pt>
                <c:pt idx="66">
                  <c:v>08-Apr-2020</c:v>
                </c:pt>
                <c:pt idx="67">
                  <c:v>09-Apr-2020</c:v>
                </c:pt>
                <c:pt idx="68">
                  <c:v>13-Apr-2020</c:v>
                </c:pt>
                <c:pt idx="69">
                  <c:v>15-Apr-2020</c:v>
                </c:pt>
                <c:pt idx="70">
                  <c:v>16-Apr-2020</c:v>
                </c:pt>
                <c:pt idx="71">
                  <c:v>17-Apr-2020</c:v>
                </c:pt>
                <c:pt idx="72">
                  <c:v>20-Apr-2020</c:v>
                </c:pt>
                <c:pt idx="73">
                  <c:v>21-Apr-2020</c:v>
                </c:pt>
                <c:pt idx="74">
                  <c:v>22-Apr-2020</c:v>
                </c:pt>
                <c:pt idx="75">
                  <c:v>23-Apr-2020</c:v>
                </c:pt>
                <c:pt idx="76">
                  <c:v>24-Apr-2020</c:v>
                </c:pt>
                <c:pt idx="77">
                  <c:v>27-Apr-2020</c:v>
                </c:pt>
                <c:pt idx="78">
                  <c:v>28-Apr-2020</c:v>
                </c:pt>
                <c:pt idx="79">
                  <c:v>29-Apr-2020</c:v>
                </c:pt>
                <c:pt idx="80">
                  <c:v>30-Apr-2020</c:v>
                </c:pt>
                <c:pt idx="81">
                  <c:v>04-May-2020</c:v>
                </c:pt>
                <c:pt idx="82">
                  <c:v>05-May-2020</c:v>
                </c:pt>
                <c:pt idx="83">
                  <c:v>06-May-2020</c:v>
                </c:pt>
                <c:pt idx="84">
                  <c:v>07-May-2020</c:v>
                </c:pt>
                <c:pt idx="85">
                  <c:v>08-May-2020</c:v>
                </c:pt>
                <c:pt idx="86">
                  <c:v>11-May-2020</c:v>
                </c:pt>
                <c:pt idx="87">
                  <c:v>12-May-2020</c:v>
                </c:pt>
                <c:pt idx="88">
                  <c:v>13-May-2020</c:v>
                </c:pt>
                <c:pt idx="89">
                  <c:v>14-May-2020</c:v>
                </c:pt>
                <c:pt idx="90">
                  <c:v>15-May-2020</c:v>
                </c:pt>
                <c:pt idx="91">
                  <c:v>18-May-2020</c:v>
                </c:pt>
                <c:pt idx="92">
                  <c:v>19-May-2020</c:v>
                </c:pt>
                <c:pt idx="93">
                  <c:v>20-May-2020</c:v>
                </c:pt>
                <c:pt idx="94">
                  <c:v>21-May-2020</c:v>
                </c:pt>
                <c:pt idx="95">
                  <c:v>22-May-2020</c:v>
                </c:pt>
                <c:pt idx="96">
                  <c:v>26-May-2020</c:v>
                </c:pt>
                <c:pt idx="97">
                  <c:v>27-May-2020</c:v>
                </c:pt>
                <c:pt idx="98">
                  <c:v>28-May-2020</c:v>
                </c:pt>
                <c:pt idx="99">
                  <c:v>29-May-2020</c:v>
                </c:pt>
                <c:pt idx="100">
                  <c:v>01-Jun-2020</c:v>
                </c:pt>
                <c:pt idx="101">
                  <c:v>02-Jun-2020</c:v>
                </c:pt>
                <c:pt idx="102">
                  <c:v>03-Jun-2020</c:v>
                </c:pt>
                <c:pt idx="103">
                  <c:v>04-Jun-2020</c:v>
                </c:pt>
                <c:pt idx="104">
                  <c:v>05-Jun-2020</c:v>
                </c:pt>
                <c:pt idx="105">
                  <c:v>08-Jun-2020</c:v>
                </c:pt>
                <c:pt idx="106">
                  <c:v>09-Jun-2020</c:v>
                </c:pt>
                <c:pt idx="107">
                  <c:v>10-Jun-2020</c:v>
                </c:pt>
                <c:pt idx="108">
                  <c:v>11-Jun-2020</c:v>
                </c:pt>
                <c:pt idx="109">
                  <c:v>12-Jun-2020</c:v>
                </c:pt>
                <c:pt idx="110">
                  <c:v>15-Jun-2020</c:v>
                </c:pt>
                <c:pt idx="111">
                  <c:v>16-Jun-2020</c:v>
                </c:pt>
                <c:pt idx="112">
                  <c:v>17-Jun-2020</c:v>
                </c:pt>
                <c:pt idx="113">
                  <c:v>18-Jun-2020</c:v>
                </c:pt>
                <c:pt idx="114">
                  <c:v>19-Jun-2020</c:v>
                </c:pt>
                <c:pt idx="115">
                  <c:v>22-Jun-2020</c:v>
                </c:pt>
                <c:pt idx="116">
                  <c:v>23-Jun-2020</c:v>
                </c:pt>
                <c:pt idx="117">
                  <c:v>24-Jun-2020</c:v>
                </c:pt>
                <c:pt idx="118">
                  <c:v>25-Jun-2020</c:v>
                </c:pt>
                <c:pt idx="119">
                  <c:v>26-Jun-2020</c:v>
                </c:pt>
                <c:pt idx="120">
                  <c:v>29-Jun-2020</c:v>
                </c:pt>
                <c:pt idx="121">
                  <c:v>30-Jun-2020</c:v>
                </c:pt>
                <c:pt idx="122">
                  <c:v>01-Jul-2020</c:v>
                </c:pt>
                <c:pt idx="123">
                  <c:v>02-Jul-2020</c:v>
                </c:pt>
                <c:pt idx="124">
                  <c:v>03-Jul-2020</c:v>
                </c:pt>
                <c:pt idx="125">
                  <c:v>06-Jul-2020</c:v>
                </c:pt>
                <c:pt idx="126">
                  <c:v>07-Jul-2020</c:v>
                </c:pt>
                <c:pt idx="127">
                  <c:v>08-Jul-2020</c:v>
                </c:pt>
                <c:pt idx="128">
                  <c:v>09-Jul-2020</c:v>
                </c:pt>
                <c:pt idx="129">
                  <c:v>10-Jul-2020</c:v>
                </c:pt>
                <c:pt idx="130">
                  <c:v>13-Jul-2020</c:v>
                </c:pt>
                <c:pt idx="131">
                  <c:v>14-Jul-2020</c:v>
                </c:pt>
                <c:pt idx="132">
                  <c:v>15-Jul-2020</c:v>
                </c:pt>
                <c:pt idx="133">
                  <c:v>16-Jul-2020</c:v>
                </c:pt>
                <c:pt idx="134">
                  <c:v>17-Jul-2020</c:v>
                </c:pt>
                <c:pt idx="135">
                  <c:v>20-Jul-2020</c:v>
                </c:pt>
                <c:pt idx="136">
                  <c:v>21-Jul-2020</c:v>
                </c:pt>
                <c:pt idx="137">
                  <c:v>22-Jul-2020</c:v>
                </c:pt>
                <c:pt idx="138">
                  <c:v>23-Jul-2020</c:v>
                </c:pt>
                <c:pt idx="139">
                  <c:v>24-Jul-2020</c:v>
                </c:pt>
                <c:pt idx="140">
                  <c:v>27-Jul-2020</c:v>
                </c:pt>
                <c:pt idx="141">
                  <c:v>28-Jul-2020</c:v>
                </c:pt>
                <c:pt idx="142">
                  <c:v>29-Jul-2020</c:v>
                </c:pt>
                <c:pt idx="143">
                  <c:v>30-Jul-2020</c:v>
                </c:pt>
                <c:pt idx="144">
                  <c:v>31-Jul-2020</c:v>
                </c:pt>
                <c:pt idx="145">
                  <c:v>03-Aug-2020</c:v>
                </c:pt>
                <c:pt idx="146">
                  <c:v>04-Aug-2020</c:v>
                </c:pt>
                <c:pt idx="147">
                  <c:v>05-Aug-2020</c:v>
                </c:pt>
                <c:pt idx="148">
                  <c:v>06-Aug-2020</c:v>
                </c:pt>
                <c:pt idx="149">
                  <c:v>07-Aug-2020</c:v>
                </c:pt>
                <c:pt idx="150">
                  <c:v>10-Aug-2020</c:v>
                </c:pt>
                <c:pt idx="151">
                  <c:v>11-Aug-2020</c:v>
                </c:pt>
                <c:pt idx="152">
                  <c:v>12-Aug-2020</c:v>
                </c:pt>
                <c:pt idx="153">
                  <c:v>13-Aug-2020</c:v>
                </c:pt>
                <c:pt idx="154">
                  <c:v>14-Aug-2020</c:v>
                </c:pt>
                <c:pt idx="155">
                  <c:v>17-Aug-2020</c:v>
                </c:pt>
                <c:pt idx="156">
                  <c:v>18-Aug-2020</c:v>
                </c:pt>
                <c:pt idx="157">
                  <c:v>19-Aug-2020</c:v>
                </c:pt>
                <c:pt idx="158">
                  <c:v>20-Aug-2020</c:v>
                </c:pt>
                <c:pt idx="159">
                  <c:v>21-Aug-2020</c:v>
                </c:pt>
                <c:pt idx="160">
                  <c:v>24-Aug-2020</c:v>
                </c:pt>
                <c:pt idx="161">
                  <c:v>25-Aug-2020</c:v>
                </c:pt>
                <c:pt idx="162">
                  <c:v>26-Aug-2020</c:v>
                </c:pt>
                <c:pt idx="163">
                  <c:v>27-Aug-2020</c:v>
                </c:pt>
                <c:pt idx="164">
                  <c:v>28-Aug-2020</c:v>
                </c:pt>
                <c:pt idx="165">
                  <c:v>31-Aug-2020</c:v>
                </c:pt>
                <c:pt idx="166">
                  <c:v>01-Sep-2020</c:v>
                </c:pt>
                <c:pt idx="167">
                  <c:v>02-Sep-2020</c:v>
                </c:pt>
                <c:pt idx="168">
                  <c:v>03-Sep-2020</c:v>
                </c:pt>
                <c:pt idx="169">
                  <c:v>04-Sep-2020</c:v>
                </c:pt>
                <c:pt idx="170">
                  <c:v>07-Sep-2020</c:v>
                </c:pt>
                <c:pt idx="171">
                  <c:v>08-Sep-2020</c:v>
                </c:pt>
                <c:pt idx="172">
                  <c:v>09-Sep-2020</c:v>
                </c:pt>
                <c:pt idx="173">
                  <c:v>10-Sep-2020</c:v>
                </c:pt>
                <c:pt idx="174">
                  <c:v>11-Sep-2020</c:v>
                </c:pt>
                <c:pt idx="175">
                  <c:v>14-Sep-2020</c:v>
                </c:pt>
                <c:pt idx="176">
                  <c:v>15-Sep-2020</c:v>
                </c:pt>
                <c:pt idx="177">
                  <c:v>16-Sep-2020</c:v>
                </c:pt>
                <c:pt idx="178">
                  <c:v>17-Sep-2020</c:v>
                </c:pt>
                <c:pt idx="179">
                  <c:v>18-Sep-2020</c:v>
                </c:pt>
                <c:pt idx="180">
                  <c:v>21-Sep-2020</c:v>
                </c:pt>
                <c:pt idx="181">
                  <c:v>22-Sep-2020</c:v>
                </c:pt>
                <c:pt idx="182">
                  <c:v>23-Sep-2020</c:v>
                </c:pt>
                <c:pt idx="183">
                  <c:v>24-Sep-2020</c:v>
                </c:pt>
                <c:pt idx="184">
                  <c:v>25-Sep-2020</c:v>
                </c:pt>
                <c:pt idx="185">
                  <c:v>28-Sep-2020</c:v>
                </c:pt>
                <c:pt idx="186">
                  <c:v>29-Sep-2020</c:v>
                </c:pt>
                <c:pt idx="187">
                  <c:v>30-Sep-2020</c:v>
                </c:pt>
                <c:pt idx="188">
                  <c:v>01-Oct-2020</c:v>
                </c:pt>
                <c:pt idx="189">
                  <c:v>05-Oct-2020</c:v>
                </c:pt>
                <c:pt idx="190">
                  <c:v>06-Oct-2020</c:v>
                </c:pt>
                <c:pt idx="191">
                  <c:v>07-Oct-2020</c:v>
                </c:pt>
                <c:pt idx="192">
                  <c:v>08-Oct-2020</c:v>
                </c:pt>
                <c:pt idx="193">
                  <c:v>09-Oct-2020</c:v>
                </c:pt>
                <c:pt idx="194">
                  <c:v>12-Oct-2020</c:v>
                </c:pt>
                <c:pt idx="195">
                  <c:v>13-Oct-2020</c:v>
                </c:pt>
                <c:pt idx="196">
                  <c:v>14-Oct-2020</c:v>
                </c:pt>
                <c:pt idx="197">
                  <c:v>15-Oct-2020</c:v>
                </c:pt>
                <c:pt idx="198">
                  <c:v>16-Oct-2020</c:v>
                </c:pt>
                <c:pt idx="199">
                  <c:v>19-Oct-2020</c:v>
                </c:pt>
                <c:pt idx="200">
                  <c:v>20-Oct-2020</c:v>
                </c:pt>
                <c:pt idx="201">
                  <c:v>21-Oct-2020</c:v>
                </c:pt>
                <c:pt idx="202">
                  <c:v>22-Oct-2020</c:v>
                </c:pt>
                <c:pt idx="203">
                  <c:v>23-Oct-2020</c:v>
                </c:pt>
                <c:pt idx="204">
                  <c:v>26-Oct-2020</c:v>
                </c:pt>
                <c:pt idx="205">
                  <c:v>27-Oct-2020</c:v>
                </c:pt>
                <c:pt idx="206">
                  <c:v>28-Oct-2020</c:v>
                </c:pt>
                <c:pt idx="207">
                  <c:v>29-Oct-2020</c:v>
                </c:pt>
                <c:pt idx="208">
                  <c:v>30-Oct-2020</c:v>
                </c:pt>
                <c:pt idx="209">
                  <c:v>02-Nov-2020</c:v>
                </c:pt>
                <c:pt idx="210">
                  <c:v>03-Nov-2020</c:v>
                </c:pt>
                <c:pt idx="211">
                  <c:v>04-Nov-2020</c:v>
                </c:pt>
                <c:pt idx="212">
                  <c:v>05-Nov-2020</c:v>
                </c:pt>
                <c:pt idx="213">
                  <c:v>06-Nov-2020</c:v>
                </c:pt>
                <c:pt idx="214">
                  <c:v>09-Nov-2020</c:v>
                </c:pt>
                <c:pt idx="215">
                  <c:v>10-Nov-2020</c:v>
                </c:pt>
                <c:pt idx="216">
                  <c:v>11-Nov-2020</c:v>
                </c:pt>
                <c:pt idx="217">
                  <c:v>12-Nov-2020</c:v>
                </c:pt>
                <c:pt idx="218">
                  <c:v>13-Nov-2020</c:v>
                </c:pt>
                <c:pt idx="219">
                  <c:v>17-Nov-2020</c:v>
                </c:pt>
                <c:pt idx="220">
                  <c:v>18-Nov-2020</c:v>
                </c:pt>
                <c:pt idx="221">
                  <c:v>19-Nov-2020</c:v>
                </c:pt>
                <c:pt idx="222">
                  <c:v>20-Nov-2020</c:v>
                </c:pt>
                <c:pt idx="223">
                  <c:v>23-Nov-2020</c:v>
                </c:pt>
                <c:pt idx="224">
                  <c:v>24-Nov-2020</c:v>
                </c:pt>
                <c:pt idx="225">
                  <c:v>25-Nov-2020</c:v>
                </c:pt>
                <c:pt idx="226">
                  <c:v>26-Nov-2020</c:v>
                </c:pt>
                <c:pt idx="227">
                  <c:v>27-Nov-2020</c:v>
                </c:pt>
                <c:pt idx="228">
                  <c:v>01-Dec-2020</c:v>
                </c:pt>
                <c:pt idx="229">
                  <c:v>02-Dec-2020</c:v>
                </c:pt>
                <c:pt idx="230">
                  <c:v>03-Dec-2020</c:v>
                </c:pt>
                <c:pt idx="231">
                  <c:v>04-Dec-2020</c:v>
                </c:pt>
                <c:pt idx="232">
                  <c:v>07-Dec-2020</c:v>
                </c:pt>
                <c:pt idx="233">
                  <c:v>08-Dec-2020</c:v>
                </c:pt>
                <c:pt idx="234">
                  <c:v>09-Dec-2020</c:v>
                </c:pt>
                <c:pt idx="235">
                  <c:v>10-Dec-2020</c:v>
                </c:pt>
                <c:pt idx="236">
                  <c:v>11-Dec-2020</c:v>
                </c:pt>
                <c:pt idx="237">
                  <c:v>14-Dec-2020</c:v>
                </c:pt>
                <c:pt idx="238">
                  <c:v>15-Dec-2020</c:v>
                </c:pt>
                <c:pt idx="239">
                  <c:v>16-Dec-2020</c:v>
                </c:pt>
                <c:pt idx="240">
                  <c:v>17-Dec-2020</c:v>
                </c:pt>
                <c:pt idx="241">
                  <c:v>18-Dec-2020</c:v>
                </c:pt>
                <c:pt idx="242">
                  <c:v>21-Dec-2020</c:v>
                </c:pt>
                <c:pt idx="243">
                  <c:v>22-Dec-2020</c:v>
                </c:pt>
                <c:pt idx="244">
                  <c:v>23-Dec-2020</c:v>
                </c:pt>
                <c:pt idx="245">
                  <c:v>24-Dec-2020</c:v>
                </c:pt>
                <c:pt idx="246">
                  <c:v>28-Dec-2020</c:v>
                </c:pt>
                <c:pt idx="247">
                  <c:v>29-Dec-2020</c:v>
                </c:pt>
                <c:pt idx="248">
                  <c:v>30-Dec-2020</c:v>
                </c:pt>
                <c:pt idx="249">
                  <c:v>31-Dec-2020</c:v>
                </c:pt>
                <c:pt idx="250">
                  <c:v>01-Jan-2021</c:v>
                </c:pt>
                <c:pt idx="251">
                  <c:v>04-Jan-2021</c:v>
                </c:pt>
                <c:pt idx="252">
                  <c:v>05-Jan-2021</c:v>
                </c:pt>
                <c:pt idx="253">
                  <c:v>06-Jan-2021</c:v>
                </c:pt>
                <c:pt idx="254">
                  <c:v>07-Jan-2021</c:v>
                </c:pt>
                <c:pt idx="255">
                  <c:v>08-Jan-2021</c:v>
                </c:pt>
                <c:pt idx="256">
                  <c:v>11-Jan-2021</c:v>
                </c:pt>
                <c:pt idx="257">
                  <c:v>12-Jan-2021</c:v>
                </c:pt>
                <c:pt idx="258">
                  <c:v>13-Jan-2021</c:v>
                </c:pt>
                <c:pt idx="259">
                  <c:v>14-Jan-2021</c:v>
                </c:pt>
                <c:pt idx="260">
                  <c:v>15-Jan-2021</c:v>
                </c:pt>
                <c:pt idx="261">
                  <c:v>18-Jan-2021</c:v>
                </c:pt>
                <c:pt idx="262">
                  <c:v>19-Jan-2021</c:v>
                </c:pt>
                <c:pt idx="263">
                  <c:v>20-Jan-2021</c:v>
                </c:pt>
                <c:pt idx="264">
                  <c:v>21-Jan-2021</c:v>
                </c:pt>
                <c:pt idx="265">
                  <c:v>22-Jan-2021</c:v>
                </c:pt>
                <c:pt idx="266">
                  <c:v>25-Jan-2021</c:v>
                </c:pt>
                <c:pt idx="267">
                  <c:v>27-Jan-2021</c:v>
                </c:pt>
                <c:pt idx="268">
                  <c:v>28-Jan-2021</c:v>
                </c:pt>
                <c:pt idx="269">
                  <c:v>29-Jan-2021</c:v>
                </c:pt>
                <c:pt idx="270">
                  <c:v>01-Feb-2021</c:v>
                </c:pt>
                <c:pt idx="271">
                  <c:v>02-Feb-2021</c:v>
                </c:pt>
                <c:pt idx="272">
                  <c:v>03-Feb-2021</c:v>
                </c:pt>
                <c:pt idx="273">
                  <c:v>04-Feb-2021</c:v>
                </c:pt>
                <c:pt idx="274">
                  <c:v>05-Feb-2021</c:v>
                </c:pt>
                <c:pt idx="275">
                  <c:v>08-Feb-2021</c:v>
                </c:pt>
                <c:pt idx="276">
                  <c:v>09-Feb-2021</c:v>
                </c:pt>
                <c:pt idx="277">
                  <c:v>10-Feb-2021</c:v>
                </c:pt>
                <c:pt idx="278">
                  <c:v>11-Feb-2021</c:v>
                </c:pt>
                <c:pt idx="279">
                  <c:v>12-Feb-2021</c:v>
                </c:pt>
                <c:pt idx="280">
                  <c:v>15-Feb-2021</c:v>
                </c:pt>
                <c:pt idx="281">
                  <c:v>16-Feb-2021</c:v>
                </c:pt>
                <c:pt idx="282">
                  <c:v>17-Feb-2021</c:v>
                </c:pt>
                <c:pt idx="283">
                  <c:v>18-Feb-2021</c:v>
                </c:pt>
                <c:pt idx="284">
                  <c:v>19-Feb-2021</c:v>
                </c:pt>
                <c:pt idx="285">
                  <c:v>22-Feb-2021</c:v>
                </c:pt>
                <c:pt idx="286">
                  <c:v>23-Feb-2021</c:v>
                </c:pt>
                <c:pt idx="287">
                  <c:v>24-Feb-2021</c:v>
                </c:pt>
                <c:pt idx="288">
                  <c:v>25-Feb-2021</c:v>
                </c:pt>
                <c:pt idx="289">
                  <c:v>26-Feb-2021</c:v>
                </c:pt>
                <c:pt idx="290">
                  <c:v>01-Mar-2021</c:v>
                </c:pt>
                <c:pt idx="291">
                  <c:v>02-Mar-2021</c:v>
                </c:pt>
                <c:pt idx="292">
                  <c:v>03-Mar-2021</c:v>
                </c:pt>
                <c:pt idx="293">
                  <c:v>04-Mar-2021</c:v>
                </c:pt>
                <c:pt idx="294">
                  <c:v>05-Mar-2021</c:v>
                </c:pt>
                <c:pt idx="295">
                  <c:v>08-Mar-2021</c:v>
                </c:pt>
                <c:pt idx="296">
                  <c:v>09-Mar-2021</c:v>
                </c:pt>
                <c:pt idx="297">
                  <c:v>10-Mar-2021</c:v>
                </c:pt>
                <c:pt idx="298">
                  <c:v>12-Mar-2021</c:v>
                </c:pt>
                <c:pt idx="299">
                  <c:v>15-Mar-2021</c:v>
                </c:pt>
                <c:pt idx="300">
                  <c:v>16-Mar-2021</c:v>
                </c:pt>
                <c:pt idx="301">
                  <c:v>17-Mar-2021</c:v>
                </c:pt>
                <c:pt idx="302">
                  <c:v>18-Mar-2021</c:v>
                </c:pt>
                <c:pt idx="303">
                  <c:v>19-Mar-2021</c:v>
                </c:pt>
                <c:pt idx="304">
                  <c:v>22-Mar-2021</c:v>
                </c:pt>
                <c:pt idx="305">
                  <c:v>23-Mar-2021</c:v>
                </c:pt>
                <c:pt idx="306">
                  <c:v>24-Mar-2021</c:v>
                </c:pt>
                <c:pt idx="307">
                  <c:v>25-Mar-2021</c:v>
                </c:pt>
                <c:pt idx="308">
                  <c:v>26-Mar-2021</c:v>
                </c:pt>
                <c:pt idx="309">
                  <c:v>30-Mar-2021</c:v>
                </c:pt>
                <c:pt idx="310">
                  <c:v>31-Mar-2021</c:v>
                </c:pt>
                <c:pt idx="311">
                  <c:v>01-Apr-2021</c:v>
                </c:pt>
                <c:pt idx="312">
                  <c:v>05-Apr-2021</c:v>
                </c:pt>
                <c:pt idx="313">
                  <c:v>06-Apr-2021</c:v>
                </c:pt>
                <c:pt idx="314">
                  <c:v>07-Apr-2021</c:v>
                </c:pt>
                <c:pt idx="315">
                  <c:v>08-Apr-2021</c:v>
                </c:pt>
                <c:pt idx="316">
                  <c:v>09-Apr-2021</c:v>
                </c:pt>
                <c:pt idx="317">
                  <c:v>12-Apr-2021</c:v>
                </c:pt>
                <c:pt idx="318">
                  <c:v>13-Apr-2021</c:v>
                </c:pt>
                <c:pt idx="319">
                  <c:v>15-Apr-2021</c:v>
                </c:pt>
                <c:pt idx="320">
                  <c:v>16-Apr-2021</c:v>
                </c:pt>
                <c:pt idx="321">
                  <c:v>19-Apr-2021</c:v>
                </c:pt>
                <c:pt idx="322">
                  <c:v>20-Apr-2021</c:v>
                </c:pt>
                <c:pt idx="323">
                  <c:v>22-Apr-2021</c:v>
                </c:pt>
                <c:pt idx="324">
                  <c:v>23-Apr-2021</c:v>
                </c:pt>
                <c:pt idx="325">
                  <c:v>26-Apr-2021</c:v>
                </c:pt>
                <c:pt idx="326">
                  <c:v>27-Apr-2021</c:v>
                </c:pt>
                <c:pt idx="327">
                  <c:v>28-Apr-2021</c:v>
                </c:pt>
                <c:pt idx="328">
                  <c:v>29-Apr-2021</c:v>
                </c:pt>
                <c:pt idx="329">
                  <c:v>30-Apr-2021</c:v>
                </c:pt>
                <c:pt idx="330">
                  <c:v>03-May-2021</c:v>
                </c:pt>
                <c:pt idx="331">
                  <c:v>04-May-2021</c:v>
                </c:pt>
                <c:pt idx="332">
                  <c:v>05-May-2021</c:v>
                </c:pt>
                <c:pt idx="333">
                  <c:v>06-May-2021</c:v>
                </c:pt>
                <c:pt idx="334">
                  <c:v>07-May-2021</c:v>
                </c:pt>
                <c:pt idx="335">
                  <c:v>10-May-2021</c:v>
                </c:pt>
                <c:pt idx="336">
                  <c:v>11-May-2021</c:v>
                </c:pt>
                <c:pt idx="337">
                  <c:v>12-May-2021</c:v>
                </c:pt>
                <c:pt idx="338">
                  <c:v>14-May-2021</c:v>
                </c:pt>
                <c:pt idx="339">
                  <c:v>17-May-2021</c:v>
                </c:pt>
                <c:pt idx="340">
                  <c:v>18-May-2021</c:v>
                </c:pt>
                <c:pt idx="341">
                  <c:v>19-May-2021</c:v>
                </c:pt>
                <c:pt idx="342">
                  <c:v>20-May-2021</c:v>
                </c:pt>
                <c:pt idx="343">
                  <c:v>21-May-2021</c:v>
                </c:pt>
                <c:pt idx="344">
                  <c:v>24-May-2021</c:v>
                </c:pt>
                <c:pt idx="345">
                  <c:v>25-May-2021</c:v>
                </c:pt>
                <c:pt idx="346">
                  <c:v>26-May-2021</c:v>
                </c:pt>
                <c:pt idx="347">
                  <c:v>27-May-2021</c:v>
                </c:pt>
                <c:pt idx="348">
                  <c:v>28-May-2021</c:v>
                </c:pt>
                <c:pt idx="349">
                  <c:v>31-May-2021</c:v>
                </c:pt>
                <c:pt idx="350">
                  <c:v>01-Jun-2021</c:v>
                </c:pt>
                <c:pt idx="351">
                  <c:v>02-Jun-2021</c:v>
                </c:pt>
                <c:pt idx="352">
                  <c:v>03-Jun-2021</c:v>
                </c:pt>
                <c:pt idx="353">
                  <c:v>04-Jun-2021</c:v>
                </c:pt>
                <c:pt idx="354">
                  <c:v>07-Jun-2021</c:v>
                </c:pt>
                <c:pt idx="355">
                  <c:v>08-Jun-2021</c:v>
                </c:pt>
                <c:pt idx="356">
                  <c:v>09-Jun-2021</c:v>
                </c:pt>
                <c:pt idx="357">
                  <c:v>10-Jun-2021</c:v>
                </c:pt>
                <c:pt idx="358">
                  <c:v>11-Jun-2021</c:v>
                </c:pt>
                <c:pt idx="359">
                  <c:v>14-Jun-2021</c:v>
                </c:pt>
                <c:pt idx="360">
                  <c:v>15-Jun-2021</c:v>
                </c:pt>
                <c:pt idx="361">
                  <c:v>16-Jun-2021</c:v>
                </c:pt>
                <c:pt idx="362">
                  <c:v>17-Jun-2021</c:v>
                </c:pt>
                <c:pt idx="363">
                  <c:v>18-Jun-2021</c:v>
                </c:pt>
                <c:pt idx="364">
                  <c:v>21-Jun-2021</c:v>
                </c:pt>
                <c:pt idx="365">
                  <c:v>22-Jun-2021</c:v>
                </c:pt>
                <c:pt idx="366">
                  <c:v>23-Jun-2021</c:v>
                </c:pt>
                <c:pt idx="367">
                  <c:v>24-Jun-2021</c:v>
                </c:pt>
                <c:pt idx="368">
                  <c:v>25-Jun-2021</c:v>
                </c:pt>
                <c:pt idx="369">
                  <c:v>28-Jun-2021</c:v>
                </c:pt>
                <c:pt idx="370">
                  <c:v>29-Jun-2021</c:v>
                </c:pt>
                <c:pt idx="371">
                  <c:v>30-Jun-2021</c:v>
                </c:pt>
                <c:pt idx="372">
                  <c:v>01-Jul-2021</c:v>
                </c:pt>
                <c:pt idx="373">
                  <c:v>02-Jul-2021</c:v>
                </c:pt>
                <c:pt idx="374">
                  <c:v>05-Jul-2021</c:v>
                </c:pt>
                <c:pt idx="375">
                  <c:v>06-Jul-2021</c:v>
                </c:pt>
                <c:pt idx="376">
                  <c:v>07-Jul-2021</c:v>
                </c:pt>
                <c:pt idx="377">
                  <c:v>08-Jul-2021</c:v>
                </c:pt>
                <c:pt idx="378">
                  <c:v>09-Jul-2021</c:v>
                </c:pt>
                <c:pt idx="379">
                  <c:v>12-Jul-2021</c:v>
                </c:pt>
                <c:pt idx="380">
                  <c:v>13-Jul-2021</c:v>
                </c:pt>
                <c:pt idx="381">
                  <c:v>14-Jul-2021</c:v>
                </c:pt>
                <c:pt idx="382">
                  <c:v>15-Jul-2021</c:v>
                </c:pt>
                <c:pt idx="383">
                  <c:v>16-Jul-2021</c:v>
                </c:pt>
                <c:pt idx="384">
                  <c:v>19-Jul-2021</c:v>
                </c:pt>
                <c:pt idx="385">
                  <c:v>20-Jul-2021</c:v>
                </c:pt>
                <c:pt idx="386">
                  <c:v>22-Jul-2021</c:v>
                </c:pt>
                <c:pt idx="387">
                  <c:v>23-Jul-2021</c:v>
                </c:pt>
                <c:pt idx="388">
                  <c:v>26-Jul-2021</c:v>
                </c:pt>
                <c:pt idx="389">
                  <c:v>27-Jul-2021</c:v>
                </c:pt>
                <c:pt idx="390">
                  <c:v>28-Jul-2021</c:v>
                </c:pt>
                <c:pt idx="391">
                  <c:v>29-Jul-2021</c:v>
                </c:pt>
                <c:pt idx="392">
                  <c:v>30-Jul-2021</c:v>
                </c:pt>
                <c:pt idx="393">
                  <c:v>02-Aug-2021</c:v>
                </c:pt>
                <c:pt idx="394">
                  <c:v>03-Aug-2021</c:v>
                </c:pt>
                <c:pt idx="395">
                  <c:v>04-Aug-2021</c:v>
                </c:pt>
                <c:pt idx="396">
                  <c:v>05-Aug-2021</c:v>
                </c:pt>
                <c:pt idx="397">
                  <c:v>06-Aug-2021</c:v>
                </c:pt>
                <c:pt idx="398">
                  <c:v>09-Aug-2021</c:v>
                </c:pt>
                <c:pt idx="399">
                  <c:v>10-Aug-2021</c:v>
                </c:pt>
                <c:pt idx="400">
                  <c:v>11-Aug-2021</c:v>
                </c:pt>
                <c:pt idx="401">
                  <c:v>12-Aug-2021</c:v>
                </c:pt>
                <c:pt idx="402">
                  <c:v>13-Aug-2021</c:v>
                </c:pt>
                <c:pt idx="403">
                  <c:v>16-Aug-2021</c:v>
                </c:pt>
                <c:pt idx="404">
                  <c:v>17-Aug-2021</c:v>
                </c:pt>
                <c:pt idx="405">
                  <c:v>18-Aug-2021</c:v>
                </c:pt>
                <c:pt idx="406">
                  <c:v>20-Aug-2021</c:v>
                </c:pt>
                <c:pt idx="407">
                  <c:v>23-Aug-2021</c:v>
                </c:pt>
                <c:pt idx="408">
                  <c:v>24-Aug-2021</c:v>
                </c:pt>
                <c:pt idx="409">
                  <c:v>25-Aug-2021</c:v>
                </c:pt>
                <c:pt idx="410">
                  <c:v>26-Aug-2021</c:v>
                </c:pt>
                <c:pt idx="411">
                  <c:v>27-Aug-2021</c:v>
                </c:pt>
                <c:pt idx="412">
                  <c:v>30-Aug-2021</c:v>
                </c:pt>
                <c:pt idx="413">
                  <c:v>31-Aug-2021</c:v>
                </c:pt>
                <c:pt idx="414">
                  <c:v>01-Sep-2021</c:v>
                </c:pt>
                <c:pt idx="415">
                  <c:v>02-Sep-2021</c:v>
                </c:pt>
                <c:pt idx="416">
                  <c:v>03-Sep-2021</c:v>
                </c:pt>
                <c:pt idx="417">
                  <c:v>06-Sep-2021</c:v>
                </c:pt>
                <c:pt idx="418">
                  <c:v>07-Sep-2021</c:v>
                </c:pt>
                <c:pt idx="419">
                  <c:v>08-Sep-2021</c:v>
                </c:pt>
                <c:pt idx="420">
                  <c:v>09-Sep-2021</c:v>
                </c:pt>
                <c:pt idx="421">
                  <c:v>13-Sep-2021</c:v>
                </c:pt>
                <c:pt idx="422">
                  <c:v>14-Sep-2021</c:v>
                </c:pt>
                <c:pt idx="423">
                  <c:v>15-Sep-2021</c:v>
                </c:pt>
                <c:pt idx="424">
                  <c:v>16-Sep-2021</c:v>
                </c:pt>
                <c:pt idx="425">
                  <c:v>17-Sep-2021</c:v>
                </c:pt>
                <c:pt idx="426">
                  <c:v>20-Sep-2021</c:v>
                </c:pt>
                <c:pt idx="427">
                  <c:v>21-Sep-2021</c:v>
                </c:pt>
                <c:pt idx="428">
                  <c:v>22-Sep-2021</c:v>
                </c:pt>
                <c:pt idx="429">
                  <c:v>23-Sep-2021</c:v>
                </c:pt>
                <c:pt idx="430">
                  <c:v>24-Sep-2021</c:v>
                </c:pt>
                <c:pt idx="431">
                  <c:v>27-Sep-2021</c:v>
                </c:pt>
                <c:pt idx="432">
                  <c:v>28-Sep-2021</c:v>
                </c:pt>
                <c:pt idx="433">
                  <c:v>29-Sep-2021</c:v>
                </c:pt>
                <c:pt idx="434">
                  <c:v>30-Sep-2021</c:v>
                </c:pt>
                <c:pt idx="435">
                  <c:v>01-Oct-2021</c:v>
                </c:pt>
                <c:pt idx="436">
                  <c:v>04-Oct-2021</c:v>
                </c:pt>
                <c:pt idx="437">
                  <c:v>05-Oct-2021</c:v>
                </c:pt>
                <c:pt idx="438">
                  <c:v>06-Oct-2021</c:v>
                </c:pt>
                <c:pt idx="439">
                  <c:v>07-Oct-2021</c:v>
                </c:pt>
                <c:pt idx="440">
                  <c:v>08-Oct-2021</c:v>
                </c:pt>
                <c:pt idx="441">
                  <c:v>11-Oct-2021</c:v>
                </c:pt>
                <c:pt idx="442">
                  <c:v>12-Oct-2021</c:v>
                </c:pt>
                <c:pt idx="443">
                  <c:v>13-Oct-2021</c:v>
                </c:pt>
                <c:pt idx="444">
                  <c:v>14-Oct-2021</c:v>
                </c:pt>
                <c:pt idx="445">
                  <c:v>18-Oct-2021</c:v>
                </c:pt>
                <c:pt idx="446">
                  <c:v>19-Oct-2021</c:v>
                </c:pt>
                <c:pt idx="447">
                  <c:v>20-Oct-2021</c:v>
                </c:pt>
                <c:pt idx="448">
                  <c:v>21-Oct-2021</c:v>
                </c:pt>
                <c:pt idx="449">
                  <c:v>22-Oct-2021</c:v>
                </c:pt>
                <c:pt idx="450">
                  <c:v>25-Oct-2021</c:v>
                </c:pt>
                <c:pt idx="451">
                  <c:v>26-Oct-2021</c:v>
                </c:pt>
                <c:pt idx="452">
                  <c:v>27-Oct-2021</c:v>
                </c:pt>
                <c:pt idx="453">
                  <c:v>28-Oct-2021</c:v>
                </c:pt>
                <c:pt idx="454">
                  <c:v>29-Oct-2021</c:v>
                </c:pt>
                <c:pt idx="455">
                  <c:v>01-Nov-2021</c:v>
                </c:pt>
                <c:pt idx="456">
                  <c:v>02-Nov-2021</c:v>
                </c:pt>
                <c:pt idx="457">
                  <c:v>03-Nov-2021</c:v>
                </c:pt>
                <c:pt idx="458">
                  <c:v>04-Nov-2021</c:v>
                </c:pt>
                <c:pt idx="459">
                  <c:v>08-Nov-2021</c:v>
                </c:pt>
                <c:pt idx="460">
                  <c:v>09-Nov-2021</c:v>
                </c:pt>
                <c:pt idx="461">
                  <c:v>10-Nov-2021</c:v>
                </c:pt>
                <c:pt idx="462">
                  <c:v>11-Nov-2021</c:v>
                </c:pt>
                <c:pt idx="463">
                  <c:v>12-Nov-2021</c:v>
                </c:pt>
                <c:pt idx="464">
                  <c:v>15-Nov-2021</c:v>
                </c:pt>
                <c:pt idx="465">
                  <c:v>16-Nov-2021</c:v>
                </c:pt>
                <c:pt idx="466">
                  <c:v>17-Nov-2021</c:v>
                </c:pt>
                <c:pt idx="467">
                  <c:v>18-Nov-2021</c:v>
                </c:pt>
                <c:pt idx="468">
                  <c:v>22-Nov-2021</c:v>
                </c:pt>
                <c:pt idx="469">
                  <c:v>23-Nov-2021</c:v>
                </c:pt>
                <c:pt idx="470">
                  <c:v>24-Nov-2021</c:v>
                </c:pt>
                <c:pt idx="471">
                  <c:v>25-Nov-2021</c:v>
                </c:pt>
                <c:pt idx="472">
                  <c:v>26-Nov-2021</c:v>
                </c:pt>
                <c:pt idx="473">
                  <c:v>29-Nov-2021</c:v>
                </c:pt>
                <c:pt idx="474">
                  <c:v>30-Nov-2021</c:v>
                </c:pt>
                <c:pt idx="475">
                  <c:v>01-Dec-2021</c:v>
                </c:pt>
                <c:pt idx="476">
                  <c:v>02-Dec-2021</c:v>
                </c:pt>
                <c:pt idx="477">
                  <c:v>03-Dec-2021</c:v>
                </c:pt>
                <c:pt idx="478">
                  <c:v>06-Dec-2021</c:v>
                </c:pt>
                <c:pt idx="479">
                  <c:v>07-Dec-2021</c:v>
                </c:pt>
                <c:pt idx="480">
                  <c:v>08-Dec-2021</c:v>
                </c:pt>
                <c:pt idx="481">
                  <c:v>09-Dec-2021</c:v>
                </c:pt>
                <c:pt idx="482">
                  <c:v>10-Dec-2021</c:v>
                </c:pt>
                <c:pt idx="483">
                  <c:v>13-Dec-2021</c:v>
                </c:pt>
                <c:pt idx="484">
                  <c:v>14-Dec-2021</c:v>
                </c:pt>
                <c:pt idx="485">
                  <c:v>15-Dec-2021</c:v>
                </c:pt>
                <c:pt idx="486">
                  <c:v>16-Dec-2021</c:v>
                </c:pt>
                <c:pt idx="487">
                  <c:v>17-Dec-2021</c:v>
                </c:pt>
                <c:pt idx="488">
                  <c:v>20-Dec-2021</c:v>
                </c:pt>
                <c:pt idx="489">
                  <c:v>21-Dec-2021</c:v>
                </c:pt>
                <c:pt idx="490">
                  <c:v>22-Dec-2021</c:v>
                </c:pt>
                <c:pt idx="491">
                  <c:v>23-Dec-2021</c:v>
                </c:pt>
                <c:pt idx="492">
                  <c:v>24-Dec-2021</c:v>
                </c:pt>
                <c:pt idx="493">
                  <c:v>27-Dec-2021</c:v>
                </c:pt>
                <c:pt idx="494">
                  <c:v>28-Dec-2021</c:v>
                </c:pt>
                <c:pt idx="495">
                  <c:v>29-Dec-2021</c:v>
                </c:pt>
                <c:pt idx="496">
                  <c:v>30-Dec-2021</c:v>
                </c:pt>
                <c:pt idx="497">
                  <c:v>31-Dec-2021</c:v>
                </c:pt>
                <c:pt idx="498">
                  <c:v>03-Jan-2022</c:v>
                </c:pt>
                <c:pt idx="499">
                  <c:v>04-Jan-2022</c:v>
                </c:pt>
                <c:pt idx="500">
                  <c:v>05-Jan-2022</c:v>
                </c:pt>
                <c:pt idx="501">
                  <c:v>06-Jan-2022</c:v>
                </c:pt>
                <c:pt idx="502">
                  <c:v>07-Jan-2022</c:v>
                </c:pt>
                <c:pt idx="503">
                  <c:v>10-Jan-2022</c:v>
                </c:pt>
                <c:pt idx="504">
                  <c:v>11-Jan-2022</c:v>
                </c:pt>
                <c:pt idx="505">
                  <c:v>12-Jan-2022</c:v>
                </c:pt>
                <c:pt idx="506">
                  <c:v>13-Jan-2022</c:v>
                </c:pt>
                <c:pt idx="507">
                  <c:v>14-Jan-2022</c:v>
                </c:pt>
                <c:pt idx="508">
                  <c:v>17-Jan-2022</c:v>
                </c:pt>
                <c:pt idx="509">
                  <c:v>18-Jan-2022</c:v>
                </c:pt>
                <c:pt idx="510">
                  <c:v>19-Jan-2022</c:v>
                </c:pt>
                <c:pt idx="511">
                  <c:v>20-Jan-2022</c:v>
                </c:pt>
                <c:pt idx="512">
                  <c:v>21-Jan-2022</c:v>
                </c:pt>
                <c:pt idx="513">
                  <c:v>24-Jan-2022</c:v>
                </c:pt>
                <c:pt idx="514">
                  <c:v>25-Jan-2022</c:v>
                </c:pt>
                <c:pt idx="515">
                  <c:v>27-Jan-2022</c:v>
                </c:pt>
                <c:pt idx="516">
                  <c:v>28-Jan-2022</c:v>
                </c:pt>
                <c:pt idx="517">
                  <c:v>31-Jan-2022</c:v>
                </c:pt>
                <c:pt idx="518">
                  <c:v>01-Feb-2022</c:v>
                </c:pt>
                <c:pt idx="519">
                  <c:v>02-Feb-2022</c:v>
                </c:pt>
                <c:pt idx="520">
                  <c:v>03-Feb-2022</c:v>
                </c:pt>
                <c:pt idx="521">
                  <c:v>04-Feb-2022</c:v>
                </c:pt>
                <c:pt idx="522">
                  <c:v>07-Feb-2022</c:v>
                </c:pt>
                <c:pt idx="523">
                  <c:v>08-Feb-2022</c:v>
                </c:pt>
                <c:pt idx="524">
                  <c:v>09-Feb-2022</c:v>
                </c:pt>
                <c:pt idx="525">
                  <c:v>10-Feb-2022</c:v>
                </c:pt>
                <c:pt idx="526">
                  <c:v>11-Feb-2022</c:v>
                </c:pt>
                <c:pt idx="527">
                  <c:v>14-Feb-2022</c:v>
                </c:pt>
                <c:pt idx="528">
                  <c:v>15-Feb-2022</c:v>
                </c:pt>
                <c:pt idx="529">
                  <c:v>16-Feb-2022</c:v>
                </c:pt>
                <c:pt idx="530">
                  <c:v>17-Feb-2022</c:v>
                </c:pt>
                <c:pt idx="531">
                  <c:v>18-Feb-2022</c:v>
                </c:pt>
                <c:pt idx="532">
                  <c:v>21-Feb-2022</c:v>
                </c:pt>
                <c:pt idx="533">
                  <c:v>22-Feb-2022</c:v>
                </c:pt>
                <c:pt idx="534">
                  <c:v>23-Feb-2022</c:v>
                </c:pt>
                <c:pt idx="535">
                  <c:v>24-Feb-2022</c:v>
                </c:pt>
                <c:pt idx="536">
                  <c:v>25-Feb-2022</c:v>
                </c:pt>
                <c:pt idx="537">
                  <c:v>28-Feb-2022</c:v>
                </c:pt>
                <c:pt idx="538">
                  <c:v>02-Mar-2022</c:v>
                </c:pt>
                <c:pt idx="539">
                  <c:v>03-Mar-2022</c:v>
                </c:pt>
                <c:pt idx="540">
                  <c:v>04-Mar-2022</c:v>
                </c:pt>
                <c:pt idx="541">
                  <c:v>07-Mar-2022</c:v>
                </c:pt>
                <c:pt idx="542">
                  <c:v>08-Mar-2022</c:v>
                </c:pt>
                <c:pt idx="543">
                  <c:v>09-Mar-2022</c:v>
                </c:pt>
                <c:pt idx="544">
                  <c:v>10-Mar-2022</c:v>
                </c:pt>
                <c:pt idx="545">
                  <c:v>11-Mar-2022</c:v>
                </c:pt>
                <c:pt idx="546">
                  <c:v>14-Mar-2022</c:v>
                </c:pt>
                <c:pt idx="547">
                  <c:v>15-Mar-2022</c:v>
                </c:pt>
                <c:pt idx="548">
                  <c:v>16-Mar-2022</c:v>
                </c:pt>
                <c:pt idx="549">
                  <c:v>17-Mar-2022</c:v>
                </c:pt>
                <c:pt idx="550">
                  <c:v>21-Mar-2022</c:v>
                </c:pt>
                <c:pt idx="551">
                  <c:v>22-Mar-2022</c:v>
                </c:pt>
                <c:pt idx="552">
                  <c:v>23-Mar-2022</c:v>
                </c:pt>
                <c:pt idx="553">
                  <c:v>24-Mar-2022</c:v>
                </c:pt>
                <c:pt idx="554">
                  <c:v>25-Mar-2022</c:v>
                </c:pt>
                <c:pt idx="555">
                  <c:v>28-Mar-2022</c:v>
                </c:pt>
                <c:pt idx="556">
                  <c:v>29-Mar-2022</c:v>
                </c:pt>
                <c:pt idx="557">
                  <c:v>30-Mar-2022</c:v>
                </c:pt>
                <c:pt idx="558">
                  <c:v>31-Mar-2022</c:v>
                </c:pt>
                <c:pt idx="559">
                  <c:v>01-Apr-2022</c:v>
                </c:pt>
                <c:pt idx="560">
                  <c:v>04-Apr-2022</c:v>
                </c:pt>
                <c:pt idx="561">
                  <c:v>05-Apr-2022</c:v>
                </c:pt>
                <c:pt idx="562">
                  <c:v>06-Apr-2022</c:v>
                </c:pt>
                <c:pt idx="563">
                  <c:v>07-Apr-2022</c:v>
                </c:pt>
                <c:pt idx="564">
                  <c:v>08-Apr-2022</c:v>
                </c:pt>
                <c:pt idx="565">
                  <c:v>11-Apr-2022</c:v>
                </c:pt>
                <c:pt idx="566">
                  <c:v>12-Apr-2022</c:v>
                </c:pt>
                <c:pt idx="567">
                  <c:v>13-Apr-2022</c:v>
                </c:pt>
                <c:pt idx="568">
                  <c:v>18-Apr-2022</c:v>
                </c:pt>
                <c:pt idx="569">
                  <c:v>19-Apr-2022</c:v>
                </c:pt>
                <c:pt idx="570">
                  <c:v>20-Apr-2022</c:v>
                </c:pt>
                <c:pt idx="571">
                  <c:v>21-Apr-2022</c:v>
                </c:pt>
                <c:pt idx="572">
                  <c:v>22-Apr-2022</c:v>
                </c:pt>
                <c:pt idx="573">
                  <c:v>25-Apr-2022</c:v>
                </c:pt>
                <c:pt idx="574">
                  <c:v>26-Apr-2022</c:v>
                </c:pt>
                <c:pt idx="575">
                  <c:v>27-Apr-2022</c:v>
                </c:pt>
                <c:pt idx="576">
                  <c:v>28-Apr-2022</c:v>
                </c:pt>
                <c:pt idx="577">
                  <c:v>29-Apr-2022</c:v>
                </c:pt>
                <c:pt idx="578">
                  <c:v>02-May-2022</c:v>
                </c:pt>
                <c:pt idx="579">
                  <c:v>04-May-2022</c:v>
                </c:pt>
                <c:pt idx="580">
                  <c:v>05-May-2022</c:v>
                </c:pt>
                <c:pt idx="581">
                  <c:v>06-May-2022</c:v>
                </c:pt>
                <c:pt idx="582">
                  <c:v>09-May-2022</c:v>
                </c:pt>
                <c:pt idx="583">
                  <c:v>10-May-2022</c:v>
                </c:pt>
                <c:pt idx="584">
                  <c:v>11-May-2022</c:v>
                </c:pt>
                <c:pt idx="585">
                  <c:v>12-May-2022</c:v>
                </c:pt>
                <c:pt idx="586">
                  <c:v>13-May-2022</c:v>
                </c:pt>
                <c:pt idx="587">
                  <c:v>16-May-2022</c:v>
                </c:pt>
                <c:pt idx="588">
                  <c:v>17-May-2022</c:v>
                </c:pt>
                <c:pt idx="589">
                  <c:v>18-May-2022</c:v>
                </c:pt>
                <c:pt idx="590">
                  <c:v>19-May-2022</c:v>
                </c:pt>
                <c:pt idx="591">
                  <c:v>20-May-2022</c:v>
                </c:pt>
                <c:pt idx="592">
                  <c:v>23-May-2022</c:v>
                </c:pt>
                <c:pt idx="593">
                  <c:v>24-May-2022</c:v>
                </c:pt>
                <c:pt idx="594">
                  <c:v>25-May-2022</c:v>
                </c:pt>
                <c:pt idx="595">
                  <c:v>26-May-2022</c:v>
                </c:pt>
                <c:pt idx="596">
                  <c:v>27-May-2022</c:v>
                </c:pt>
                <c:pt idx="597">
                  <c:v>30-May-2022</c:v>
                </c:pt>
                <c:pt idx="598">
                  <c:v>31-May-2022</c:v>
                </c:pt>
                <c:pt idx="599">
                  <c:v>01-Jun-2022</c:v>
                </c:pt>
                <c:pt idx="600">
                  <c:v>02-Jun-2022</c:v>
                </c:pt>
                <c:pt idx="601">
                  <c:v>03-Jun-2022</c:v>
                </c:pt>
                <c:pt idx="602">
                  <c:v>06-Jun-2022</c:v>
                </c:pt>
                <c:pt idx="603">
                  <c:v>07-Jun-2022</c:v>
                </c:pt>
                <c:pt idx="604">
                  <c:v>08-Jun-2022</c:v>
                </c:pt>
                <c:pt idx="605">
                  <c:v>09-Jun-2022</c:v>
                </c:pt>
                <c:pt idx="606">
                  <c:v>10-Jun-2022</c:v>
                </c:pt>
                <c:pt idx="607">
                  <c:v>13-Jun-2022</c:v>
                </c:pt>
                <c:pt idx="608">
                  <c:v>14-Jun-2022</c:v>
                </c:pt>
                <c:pt idx="609">
                  <c:v>15-Jun-2022</c:v>
                </c:pt>
                <c:pt idx="610">
                  <c:v>16-Jun-2022</c:v>
                </c:pt>
                <c:pt idx="611">
                  <c:v>17-Jun-2022</c:v>
                </c:pt>
                <c:pt idx="612">
                  <c:v>20-Jun-2022</c:v>
                </c:pt>
                <c:pt idx="613">
                  <c:v>21-Jun-2022</c:v>
                </c:pt>
                <c:pt idx="614">
                  <c:v>22-Jun-2022</c:v>
                </c:pt>
                <c:pt idx="615">
                  <c:v>23-Jun-2022</c:v>
                </c:pt>
                <c:pt idx="616">
                  <c:v>24-Jun-2022</c:v>
                </c:pt>
                <c:pt idx="617">
                  <c:v>27-Jun-2022</c:v>
                </c:pt>
                <c:pt idx="618">
                  <c:v>28-Jun-2022</c:v>
                </c:pt>
                <c:pt idx="619">
                  <c:v>29-Jun-2022</c:v>
                </c:pt>
                <c:pt idx="620">
                  <c:v>30-Jun-2022</c:v>
                </c:pt>
                <c:pt idx="621">
                  <c:v>01-Jul-2022</c:v>
                </c:pt>
                <c:pt idx="622">
                  <c:v>04-Jul-2022</c:v>
                </c:pt>
                <c:pt idx="623">
                  <c:v>05-Jul-2022</c:v>
                </c:pt>
                <c:pt idx="624">
                  <c:v>06-Jul-2022</c:v>
                </c:pt>
                <c:pt idx="625">
                  <c:v>07-Jul-2022</c:v>
                </c:pt>
                <c:pt idx="626">
                  <c:v>08-Jul-2022</c:v>
                </c:pt>
                <c:pt idx="627">
                  <c:v>11-Jul-2022</c:v>
                </c:pt>
                <c:pt idx="628">
                  <c:v>12-Jul-2022</c:v>
                </c:pt>
                <c:pt idx="629">
                  <c:v>13-Jul-2022</c:v>
                </c:pt>
                <c:pt idx="630">
                  <c:v>14-Jul-2022</c:v>
                </c:pt>
                <c:pt idx="631">
                  <c:v>15-Jul-2022</c:v>
                </c:pt>
                <c:pt idx="632">
                  <c:v>18-Jul-2022</c:v>
                </c:pt>
                <c:pt idx="633">
                  <c:v>19-Jul-2022</c:v>
                </c:pt>
                <c:pt idx="634">
                  <c:v>20-Jul-2022</c:v>
                </c:pt>
                <c:pt idx="635">
                  <c:v>21-Jul-2022</c:v>
                </c:pt>
                <c:pt idx="636">
                  <c:v>22-Jul-2022</c:v>
                </c:pt>
                <c:pt idx="637">
                  <c:v>25-Jul-2022</c:v>
                </c:pt>
                <c:pt idx="638">
                  <c:v>26-Jul-2022</c:v>
                </c:pt>
                <c:pt idx="639">
                  <c:v>27-Jul-2022</c:v>
                </c:pt>
                <c:pt idx="640">
                  <c:v>28-Jul-2022</c:v>
                </c:pt>
                <c:pt idx="641">
                  <c:v>29-Jul-2022</c:v>
                </c:pt>
                <c:pt idx="642">
                  <c:v>01-Aug-2022</c:v>
                </c:pt>
                <c:pt idx="643">
                  <c:v>02-Aug-2022</c:v>
                </c:pt>
                <c:pt idx="644">
                  <c:v>03-Aug-2022</c:v>
                </c:pt>
                <c:pt idx="645">
                  <c:v>04-Aug-2022</c:v>
                </c:pt>
                <c:pt idx="646">
                  <c:v>05-Aug-2022</c:v>
                </c:pt>
                <c:pt idx="647">
                  <c:v>08-Aug-2022</c:v>
                </c:pt>
                <c:pt idx="648">
                  <c:v>10-Aug-2022</c:v>
                </c:pt>
                <c:pt idx="649">
                  <c:v>11-Aug-2022</c:v>
                </c:pt>
                <c:pt idx="650">
                  <c:v>12-Aug-2022</c:v>
                </c:pt>
                <c:pt idx="651">
                  <c:v>16-Aug-2022</c:v>
                </c:pt>
                <c:pt idx="652">
                  <c:v>17-Aug-2022</c:v>
                </c:pt>
                <c:pt idx="653">
                  <c:v>18-Aug-2022</c:v>
                </c:pt>
                <c:pt idx="654">
                  <c:v>19-Aug-2022</c:v>
                </c:pt>
                <c:pt idx="655">
                  <c:v>22-Aug-2022</c:v>
                </c:pt>
                <c:pt idx="656">
                  <c:v>23-Aug-2022</c:v>
                </c:pt>
                <c:pt idx="657">
                  <c:v>24-Aug-2022</c:v>
                </c:pt>
                <c:pt idx="658">
                  <c:v>25-Aug-2022</c:v>
                </c:pt>
                <c:pt idx="659">
                  <c:v>26-Aug-2022</c:v>
                </c:pt>
                <c:pt idx="660">
                  <c:v>29-Aug-2022</c:v>
                </c:pt>
                <c:pt idx="661">
                  <c:v>30-Aug-2022</c:v>
                </c:pt>
                <c:pt idx="662">
                  <c:v>01-Sep-2022</c:v>
                </c:pt>
                <c:pt idx="663">
                  <c:v>02-Sep-2022</c:v>
                </c:pt>
                <c:pt idx="664">
                  <c:v>05-Sep-2022</c:v>
                </c:pt>
                <c:pt idx="665">
                  <c:v>06-Sep-2022</c:v>
                </c:pt>
                <c:pt idx="666">
                  <c:v>07-Sep-2022</c:v>
                </c:pt>
                <c:pt idx="667">
                  <c:v>08-Sep-2022</c:v>
                </c:pt>
                <c:pt idx="668">
                  <c:v>09-Sep-2022</c:v>
                </c:pt>
                <c:pt idx="669">
                  <c:v>12-Sep-2022</c:v>
                </c:pt>
                <c:pt idx="670">
                  <c:v>13-Sep-2022</c:v>
                </c:pt>
                <c:pt idx="671">
                  <c:v>14-Sep-2022</c:v>
                </c:pt>
                <c:pt idx="672">
                  <c:v>15-Sep-2022</c:v>
                </c:pt>
                <c:pt idx="673">
                  <c:v>16-Sep-2022</c:v>
                </c:pt>
                <c:pt idx="674">
                  <c:v>19-Sep-2022</c:v>
                </c:pt>
                <c:pt idx="675">
                  <c:v>20-Sep-2022</c:v>
                </c:pt>
                <c:pt idx="676">
                  <c:v>21-Sep-2022</c:v>
                </c:pt>
                <c:pt idx="677">
                  <c:v>22-Sep-2022</c:v>
                </c:pt>
                <c:pt idx="678">
                  <c:v>23-Sep-2022</c:v>
                </c:pt>
                <c:pt idx="679">
                  <c:v>26-Sep-2022</c:v>
                </c:pt>
                <c:pt idx="680">
                  <c:v>27-Sep-2022</c:v>
                </c:pt>
                <c:pt idx="681">
                  <c:v>28-Sep-2022</c:v>
                </c:pt>
                <c:pt idx="682">
                  <c:v>29-Sep-2022</c:v>
                </c:pt>
                <c:pt idx="683">
                  <c:v>30-Sep-2022</c:v>
                </c:pt>
                <c:pt idx="684">
                  <c:v>03-Oct-2022</c:v>
                </c:pt>
                <c:pt idx="685">
                  <c:v>04-Oct-2022</c:v>
                </c:pt>
                <c:pt idx="686">
                  <c:v>06-Oct-2022</c:v>
                </c:pt>
                <c:pt idx="687">
                  <c:v>07-Oct-2022</c:v>
                </c:pt>
                <c:pt idx="688">
                  <c:v>10-Oct-2022</c:v>
                </c:pt>
                <c:pt idx="689">
                  <c:v>11-Oct-2022</c:v>
                </c:pt>
                <c:pt idx="690">
                  <c:v>12-Oct-2022</c:v>
                </c:pt>
                <c:pt idx="691">
                  <c:v>13-Oct-2022</c:v>
                </c:pt>
                <c:pt idx="692">
                  <c:v>14-Oct-2022</c:v>
                </c:pt>
                <c:pt idx="693">
                  <c:v>17-Oct-2022</c:v>
                </c:pt>
                <c:pt idx="694">
                  <c:v>18-Oct-2022</c:v>
                </c:pt>
                <c:pt idx="695">
                  <c:v>19-Oct-2022</c:v>
                </c:pt>
                <c:pt idx="696">
                  <c:v>20-Oct-2022</c:v>
                </c:pt>
                <c:pt idx="697">
                  <c:v>21-Oct-2022</c:v>
                </c:pt>
                <c:pt idx="698">
                  <c:v>24-Oct-2022</c:v>
                </c:pt>
                <c:pt idx="699">
                  <c:v>25-Oct-2022</c:v>
                </c:pt>
                <c:pt idx="700">
                  <c:v>27-Oct-2022</c:v>
                </c:pt>
                <c:pt idx="701">
                  <c:v>28-Oct-2022</c:v>
                </c:pt>
                <c:pt idx="702">
                  <c:v>31-Oct-2022</c:v>
                </c:pt>
                <c:pt idx="703">
                  <c:v>01-Nov-2022</c:v>
                </c:pt>
                <c:pt idx="704">
                  <c:v>02-Nov-2022</c:v>
                </c:pt>
                <c:pt idx="705">
                  <c:v>03-Nov-2022</c:v>
                </c:pt>
                <c:pt idx="706">
                  <c:v>04-Nov-2022</c:v>
                </c:pt>
                <c:pt idx="707">
                  <c:v>07-Nov-2022</c:v>
                </c:pt>
                <c:pt idx="708">
                  <c:v>09-Nov-2022</c:v>
                </c:pt>
                <c:pt idx="709">
                  <c:v>10-Nov-2022</c:v>
                </c:pt>
                <c:pt idx="710">
                  <c:v>11-Nov-2022</c:v>
                </c:pt>
                <c:pt idx="711">
                  <c:v>14-Nov-2022</c:v>
                </c:pt>
                <c:pt idx="712">
                  <c:v>15-Nov-2022</c:v>
                </c:pt>
                <c:pt idx="713">
                  <c:v>16-Nov-2022</c:v>
                </c:pt>
                <c:pt idx="714">
                  <c:v>17-Nov-2022</c:v>
                </c:pt>
                <c:pt idx="715">
                  <c:v>18-Nov-2022</c:v>
                </c:pt>
                <c:pt idx="716">
                  <c:v>21-Nov-2022</c:v>
                </c:pt>
                <c:pt idx="717">
                  <c:v>22-Nov-2022</c:v>
                </c:pt>
                <c:pt idx="718">
                  <c:v>23-Nov-2022</c:v>
                </c:pt>
                <c:pt idx="719">
                  <c:v>24-Nov-2022</c:v>
                </c:pt>
                <c:pt idx="720">
                  <c:v>25-Nov-2022</c:v>
                </c:pt>
                <c:pt idx="721">
                  <c:v>28-Nov-2022</c:v>
                </c:pt>
                <c:pt idx="722">
                  <c:v>29-Nov-2022</c:v>
                </c:pt>
                <c:pt idx="723">
                  <c:v>30-Nov-2022</c:v>
                </c:pt>
                <c:pt idx="724">
                  <c:v>01-Dec-2022</c:v>
                </c:pt>
                <c:pt idx="725">
                  <c:v>02-Dec-2022</c:v>
                </c:pt>
                <c:pt idx="726">
                  <c:v>05-Dec-2022</c:v>
                </c:pt>
                <c:pt idx="727">
                  <c:v>06-Dec-2022</c:v>
                </c:pt>
                <c:pt idx="728">
                  <c:v>07-Dec-2022</c:v>
                </c:pt>
                <c:pt idx="729">
                  <c:v>08-Dec-2022</c:v>
                </c:pt>
                <c:pt idx="730">
                  <c:v>09-Dec-2022</c:v>
                </c:pt>
                <c:pt idx="731">
                  <c:v>12-Dec-2022</c:v>
                </c:pt>
                <c:pt idx="732">
                  <c:v>13-Dec-2022</c:v>
                </c:pt>
                <c:pt idx="733">
                  <c:v>14-Dec-2022</c:v>
                </c:pt>
                <c:pt idx="734">
                  <c:v>15-Dec-2022</c:v>
                </c:pt>
                <c:pt idx="735">
                  <c:v>16-Dec-2022</c:v>
                </c:pt>
                <c:pt idx="736">
                  <c:v>19-Dec-2022</c:v>
                </c:pt>
                <c:pt idx="737">
                  <c:v>20-Dec-2022</c:v>
                </c:pt>
                <c:pt idx="738">
                  <c:v>21-Dec-2022</c:v>
                </c:pt>
                <c:pt idx="739">
                  <c:v>22-Dec-2022</c:v>
                </c:pt>
                <c:pt idx="740">
                  <c:v>23-Dec-2022</c:v>
                </c:pt>
                <c:pt idx="741">
                  <c:v>26-Dec-2022</c:v>
                </c:pt>
                <c:pt idx="742">
                  <c:v>27-Dec-2022</c:v>
                </c:pt>
                <c:pt idx="743">
                  <c:v>28-Dec-2022</c:v>
                </c:pt>
                <c:pt idx="744">
                  <c:v>29-Dec-2022</c:v>
                </c:pt>
                <c:pt idx="745">
                  <c:v>30-Dec-2022</c:v>
                </c:pt>
                <c:pt idx="746">
                  <c:v>02-Jan-2023</c:v>
                </c:pt>
                <c:pt idx="747">
                  <c:v>03-Jan-2023</c:v>
                </c:pt>
                <c:pt idx="748">
                  <c:v>04-Jan-2023</c:v>
                </c:pt>
                <c:pt idx="749">
                  <c:v>05-Jan-2023</c:v>
                </c:pt>
                <c:pt idx="750">
                  <c:v>06-Jan-2023</c:v>
                </c:pt>
                <c:pt idx="751">
                  <c:v>09-Jan-2023</c:v>
                </c:pt>
                <c:pt idx="752">
                  <c:v>10-Jan-2023</c:v>
                </c:pt>
                <c:pt idx="753">
                  <c:v>11-Jan-2023</c:v>
                </c:pt>
                <c:pt idx="754">
                  <c:v>12-Jan-2023</c:v>
                </c:pt>
                <c:pt idx="755">
                  <c:v>13-Jan-2023</c:v>
                </c:pt>
                <c:pt idx="756">
                  <c:v>16-Jan-2023</c:v>
                </c:pt>
                <c:pt idx="757">
                  <c:v>17-Jan-2023</c:v>
                </c:pt>
                <c:pt idx="758">
                  <c:v>18-Jan-2023</c:v>
                </c:pt>
                <c:pt idx="759">
                  <c:v>19-Jan-2023</c:v>
                </c:pt>
                <c:pt idx="760">
                  <c:v>20-Jan-2023</c:v>
                </c:pt>
                <c:pt idx="761">
                  <c:v>23-Jan-2023</c:v>
                </c:pt>
                <c:pt idx="762">
                  <c:v>24-Jan-2023</c:v>
                </c:pt>
                <c:pt idx="763">
                  <c:v>25-Jan-2023</c:v>
                </c:pt>
                <c:pt idx="764">
                  <c:v>27-Jan-2023</c:v>
                </c:pt>
                <c:pt idx="765">
                  <c:v>30-Jan-2023</c:v>
                </c:pt>
                <c:pt idx="766">
                  <c:v>31-Jan-2023</c:v>
                </c:pt>
                <c:pt idx="767">
                  <c:v>01-Feb-2023</c:v>
                </c:pt>
                <c:pt idx="768">
                  <c:v>02-Feb-2023</c:v>
                </c:pt>
                <c:pt idx="769">
                  <c:v>03-Feb-2023</c:v>
                </c:pt>
                <c:pt idx="770">
                  <c:v>06-Feb-2023</c:v>
                </c:pt>
                <c:pt idx="771">
                  <c:v>07-Feb-2023</c:v>
                </c:pt>
                <c:pt idx="772">
                  <c:v>08-Feb-2023</c:v>
                </c:pt>
                <c:pt idx="773">
                  <c:v>09-Feb-2023</c:v>
                </c:pt>
                <c:pt idx="774">
                  <c:v>10-Feb-2023</c:v>
                </c:pt>
                <c:pt idx="775">
                  <c:v>13-Feb-2023</c:v>
                </c:pt>
                <c:pt idx="776">
                  <c:v>14-Feb-2023</c:v>
                </c:pt>
                <c:pt idx="777">
                  <c:v>15-Feb-2023</c:v>
                </c:pt>
                <c:pt idx="778">
                  <c:v>16-Feb-2023</c:v>
                </c:pt>
                <c:pt idx="779">
                  <c:v>17-Feb-2023</c:v>
                </c:pt>
                <c:pt idx="780">
                  <c:v>20-Feb-2023</c:v>
                </c:pt>
                <c:pt idx="781">
                  <c:v>21-Feb-2023</c:v>
                </c:pt>
                <c:pt idx="782">
                  <c:v>22-Feb-2023</c:v>
                </c:pt>
                <c:pt idx="783">
                  <c:v>23-Feb-2023</c:v>
                </c:pt>
                <c:pt idx="784">
                  <c:v>24-Feb-2023</c:v>
                </c:pt>
                <c:pt idx="785">
                  <c:v>27-Feb-2023</c:v>
                </c:pt>
                <c:pt idx="786">
                  <c:v>28-Feb-2023</c:v>
                </c:pt>
                <c:pt idx="787">
                  <c:v>01-Mar-2023</c:v>
                </c:pt>
                <c:pt idx="788">
                  <c:v>02-Mar-2023</c:v>
                </c:pt>
                <c:pt idx="789">
                  <c:v>03-Mar-2023</c:v>
                </c:pt>
                <c:pt idx="790">
                  <c:v>06-Mar-2023</c:v>
                </c:pt>
                <c:pt idx="791">
                  <c:v>08-Mar-2023</c:v>
                </c:pt>
                <c:pt idx="792">
                  <c:v>09-Mar-2023</c:v>
                </c:pt>
                <c:pt idx="793">
                  <c:v>10-Mar-2023</c:v>
                </c:pt>
                <c:pt idx="794">
                  <c:v>13-Mar-2023</c:v>
                </c:pt>
                <c:pt idx="795">
                  <c:v>14-Mar-2023</c:v>
                </c:pt>
                <c:pt idx="796">
                  <c:v>15-Mar-2023</c:v>
                </c:pt>
                <c:pt idx="797">
                  <c:v>16-Mar-2023</c:v>
                </c:pt>
                <c:pt idx="798">
                  <c:v>17-Mar-2023</c:v>
                </c:pt>
                <c:pt idx="799">
                  <c:v>20-Mar-2023</c:v>
                </c:pt>
                <c:pt idx="800">
                  <c:v>21-Mar-2023</c:v>
                </c:pt>
                <c:pt idx="801">
                  <c:v>22-Mar-2023</c:v>
                </c:pt>
                <c:pt idx="802">
                  <c:v>23-Mar-2023</c:v>
                </c:pt>
                <c:pt idx="803">
                  <c:v>24-Mar-2023</c:v>
                </c:pt>
                <c:pt idx="804">
                  <c:v>27-Mar-2023</c:v>
                </c:pt>
                <c:pt idx="805">
                  <c:v>28-Mar-2023</c:v>
                </c:pt>
                <c:pt idx="806">
                  <c:v>29-Mar-2023</c:v>
                </c:pt>
                <c:pt idx="807">
                  <c:v>31-Mar-2023</c:v>
                </c:pt>
                <c:pt idx="808">
                  <c:v>03-Apr-2023</c:v>
                </c:pt>
                <c:pt idx="809">
                  <c:v>05-Apr-2023</c:v>
                </c:pt>
                <c:pt idx="810">
                  <c:v>06-Apr-2023</c:v>
                </c:pt>
                <c:pt idx="811">
                  <c:v>10-Apr-2023</c:v>
                </c:pt>
                <c:pt idx="812">
                  <c:v>11-Apr-2023</c:v>
                </c:pt>
                <c:pt idx="813">
                  <c:v>12-Apr-2023</c:v>
                </c:pt>
                <c:pt idx="814">
                  <c:v>13-Apr-2023</c:v>
                </c:pt>
                <c:pt idx="815">
                  <c:v>17-Apr-2023</c:v>
                </c:pt>
                <c:pt idx="816">
                  <c:v>18-Apr-2023</c:v>
                </c:pt>
                <c:pt idx="817">
                  <c:v>19-Apr-2023</c:v>
                </c:pt>
                <c:pt idx="818">
                  <c:v>20-Apr-2023</c:v>
                </c:pt>
                <c:pt idx="819">
                  <c:v>21-Apr-2023</c:v>
                </c:pt>
                <c:pt idx="820">
                  <c:v>24-Apr-2023</c:v>
                </c:pt>
                <c:pt idx="821">
                  <c:v>25-Apr-2023</c:v>
                </c:pt>
                <c:pt idx="822">
                  <c:v>26-Apr-2023</c:v>
                </c:pt>
                <c:pt idx="823">
                  <c:v>27-Apr-2023</c:v>
                </c:pt>
                <c:pt idx="824">
                  <c:v>28-Apr-2023</c:v>
                </c:pt>
                <c:pt idx="825">
                  <c:v>02-May-2023</c:v>
                </c:pt>
                <c:pt idx="826">
                  <c:v>03-May-2023</c:v>
                </c:pt>
                <c:pt idx="827">
                  <c:v>04-May-2023</c:v>
                </c:pt>
                <c:pt idx="828">
                  <c:v>05-May-2023</c:v>
                </c:pt>
                <c:pt idx="829">
                  <c:v>08-May-2023</c:v>
                </c:pt>
                <c:pt idx="830">
                  <c:v>09-May-2023</c:v>
                </c:pt>
                <c:pt idx="831">
                  <c:v>10-May-2023</c:v>
                </c:pt>
                <c:pt idx="832">
                  <c:v>11-May-2023</c:v>
                </c:pt>
                <c:pt idx="833">
                  <c:v>12-May-2023</c:v>
                </c:pt>
                <c:pt idx="834">
                  <c:v>15-May-2023</c:v>
                </c:pt>
                <c:pt idx="835">
                  <c:v>16-May-2023</c:v>
                </c:pt>
                <c:pt idx="836">
                  <c:v>17-May-2023</c:v>
                </c:pt>
                <c:pt idx="837">
                  <c:v>18-May-2023</c:v>
                </c:pt>
                <c:pt idx="838">
                  <c:v>19-May-2023</c:v>
                </c:pt>
                <c:pt idx="839">
                  <c:v>22-May-2023</c:v>
                </c:pt>
                <c:pt idx="840">
                  <c:v>23-May-2023</c:v>
                </c:pt>
                <c:pt idx="841">
                  <c:v>24-May-2023</c:v>
                </c:pt>
                <c:pt idx="842">
                  <c:v>25-May-2023</c:v>
                </c:pt>
                <c:pt idx="843">
                  <c:v>26-May-2023</c:v>
                </c:pt>
                <c:pt idx="844">
                  <c:v>29-May-2023</c:v>
                </c:pt>
                <c:pt idx="845">
                  <c:v>30-May-2023</c:v>
                </c:pt>
                <c:pt idx="846">
                  <c:v>31-May-2023</c:v>
                </c:pt>
                <c:pt idx="847">
                  <c:v>01-Jun-2023</c:v>
                </c:pt>
                <c:pt idx="848">
                  <c:v>02-Jun-2023</c:v>
                </c:pt>
                <c:pt idx="849">
                  <c:v>05-Jun-2023</c:v>
                </c:pt>
                <c:pt idx="850">
                  <c:v>06-Jun-2023</c:v>
                </c:pt>
                <c:pt idx="851">
                  <c:v>07-Jun-2023</c:v>
                </c:pt>
                <c:pt idx="852">
                  <c:v>08-Jun-2023</c:v>
                </c:pt>
                <c:pt idx="853">
                  <c:v>09-Jun-2023</c:v>
                </c:pt>
                <c:pt idx="854">
                  <c:v>12-Jun-2023</c:v>
                </c:pt>
                <c:pt idx="855">
                  <c:v>13-Jun-2023</c:v>
                </c:pt>
                <c:pt idx="856">
                  <c:v>14-Jun-2023</c:v>
                </c:pt>
                <c:pt idx="857">
                  <c:v>15-Jun-2023</c:v>
                </c:pt>
                <c:pt idx="858">
                  <c:v>16-Jun-2023</c:v>
                </c:pt>
                <c:pt idx="859">
                  <c:v>19-Jun-2023</c:v>
                </c:pt>
                <c:pt idx="860">
                  <c:v>20-Jun-2023</c:v>
                </c:pt>
                <c:pt idx="861">
                  <c:v>21-Jun-2023</c:v>
                </c:pt>
                <c:pt idx="862">
                  <c:v>22-Jun-2023</c:v>
                </c:pt>
                <c:pt idx="863">
                  <c:v>23-Jun-2023</c:v>
                </c:pt>
                <c:pt idx="864">
                  <c:v>26-Jun-2023</c:v>
                </c:pt>
                <c:pt idx="865">
                  <c:v>27-Jun-2023</c:v>
                </c:pt>
                <c:pt idx="866">
                  <c:v>28-Jun-2023</c:v>
                </c:pt>
                <c:pt idx="867">
                  <c:v>30-Jun-2023</c:v>
                </c:pt>
                <c:pt idx="868">
                  <c:v>03-Jul-2023</c:v>
                </c:pt>
                <c:pt idx="869">
                  <c:v>04-Jul-2023</c:v>
                </c:pt>
                <c:pt idx="870">
                  <c:v>05-Jul-2023</c:v>
                </c:pt>
                <c:pt idx="871">
                  <c:v>06-Jul-2023</c:v>
                </c:pt>
                <c:pt idx="872">
                  <c:v>07-Jul-2023</c:v>
                </c:pt>
                <c:pt idx="873">
                  <c:v>10-Jul-2023</c:v>
                </c:pt>
                <c:pt idx="874">
                  <c:v>11-Jul-2023</c:v>
                </c:pt>
                <c:pt idx="875">
                  <c:v>12-Jul-2023</c:v>
                </c:pt>
                <c:pt idx="876">
                  <c:v>13-Jul-2023</c:v>
                </c:pt>
                <c:pt idx="877">
                  <c:v>14-Jul-2023</c:v>
                </c:pt>
                <c:pt idx="878">
                  <c:v>17-Jul-2023</c:v>
                </c:pt>
                <c:pt idx="879">
                  <c:v>18-Jul-2023</c:v>
                </c:pt>
                <c:pt idx="880">
                  <c:v>19-Jul-2023</c:v>
                </c:pt>
                <c:pt idx="881">
                  <c:v>20-Jul-2023</c:v>
                </c:pt>
                <c:pt idx="882">
                  <c:v>21-Jul-2023</c:v>
                </c:pt>
                <c:pt idx="883">
                  <c:v>24-Jul-2023</c:v>
                </c:pt>
                <c:pt idx="884">
                  <c:v>25-Jul-2023</c:v>
                </c:pt>
                <c:pt idx="885">
                  <c:v>26-Jul-2023</c:v>
                </c:pt>
                <c:pt idx="886">
                  <c:v>27-Jul-2023</c:v>
                </c:pt>
                <c:pt idx="887">
                  <c:v>28-Jul-2023</c:v>
                </c:pt>
                <c:pt idx="888">
                  <c:v>31-Jul-2023</c:v>
                </c:pt>
                <c:pt idx="889">
                  <c:v>01-Aug-2023</c:v>
                </c:pt>
                <c:pt idx="890">
                  <c:v>02-Aug-2023</c:v>
                </c:pt>
                <c:pt idx="891">
                  <c:v>03-Aug-2023</c:v>
                </c:pt>
                <c:pt idx="892">
                  <c:v>04-Aug-2023</c:v>
                </c:pt>
                <c:pt idx="893">
                  <c:v>07-Aug-2023</c:v>
                </c:pt>
                <c:pt idx="894">
                  <c:v>08-Aug-2023</c:v>
                </c:pt>
                <c:pt idx="895">
                  <c:v>09-Aug-2023</c:v>
                </c:pt>
                <c:pt idx="896">
                  <c:v>10-Aug-2023</c:v>
                </c:pt>
                <c:pt idx="897">
                  <c:v>11-Aug-2023</c:v>
                </c:pt>
                <c:pt idx="898">
                  <c:v>14-Aug-2023</c:v>
                </c:pt>
                <c:pt idx="899">
                  <c:v>16-Aug-2023</c:v>
                </c:pt>
                <c:pt idx="900">
                  <c:v>17-Aug-2023</c:v>
                </c:pt>
                <c:pt idx="901">
                  <c:v>18-Aug-2023</c:v>
                </c:pt>
                <c:pt idx="902">
                  <c:v>21-Aug-2023</c:v>
                </c:pt>
                <c:pt idx="903">
                  <c:v>22-Aug-2023</c:v>
                </c:pt>
                <c:pt idx="904">
                  <c:v>23-Aug-2023</c:v>
                </c:pt>
                <c:pt idx="905">
                  <c:v>24-Aug-2023</c:v>
                </c:pt>
                <c:pt idx="906">
                  <c:v>25-Aug-2023</c:v>
                </c:pt>
                <c:pt idx="907">
                  <c:v>28-Aug-2023</c:v>
                </c:pt>
                <c:pt idx="908">
                  <c:v>29-Aug-2023</c:v>
                </c:pt>
                <c:pt idx="909">
                  <c:v>30-Aug-2023</c:v>
                </c:pt>
                <c:pt idx="910">
                  <c:v>31-Aug-2023</c:v>
                </c:pt>
                <c:pt idx="911">
                  <c:v>01-Sep-2023</c:v>
                </c:pt>
                <c:pt idx="912">
                  <c:v>04-Sep-2023</c:v>
                </c:pt>
                <c:pt idx="913">
                  <c:v>05-Sep-2023</c:v>
                </c:pt>
                <c:pt idx="914">
                  <c:v>06-Sep-2023</c:v>
                </c:pt>
                <c:pt idx="915">
                  <c:v>07-Sep-2023</c:v>
                </c:pt>
                <c:pt idx="916">
                  <c:v>08-Sep-2023</c:v>
                </c:pt>
                <c:pt idx="917">
                  <c:v>11-Sep-2023</c:v>
                </c:pt>
                <c:pt idx="918">
                  <c:v>12-Sep-2023</c:v>
                </c:pt>
                <c:pt idx="919">
                  <c:v>13-Sep-2023</c:v>
                </c:pt>
                <c:pt idx="920">
                  <c:v>14-Sep-2023</c:v>
                </c:pt>
                <c:pt idx="921">
                  <c:v>15-Sep-2023</c:v>
                </c:pt>
                <c:pt idx="922">
                  <c:v>18-Sep-2023</c:v>
                </c:pt>
                <c:pt idx="923">
                  <c:v>20-Sep-2023</c:v>
                </c:pt>
                <c:pt idx="924">
                  <c:v>21-Sep-2023</c:v>
                </c:pt>
                <c:pt idx="925">
                  <c:v>22-Sep-2023</c:v>
                </c:pt>
                <c:pt idx="926">
                  <c:v>25-Sep-2023</c:v>
                </c:pt>
                <c:pt idx="927">
                  <c:v>26-Sep-2023</c:v>
                </c:pt>
                <c:pt idx="928">
                  <c:v>27-Sep-2023</c:v>
                </c:pt>
                <c:pt idx="929">
                  <c:v>28-Sep-2023</c:v>
                </c:pt>
                <c:pt idx="930">
                  <c:v>29-Sep-2023</c:v>
                </c:pt>
                <c:pt idx="931">
                  <c:v>03-Oct-2023</c:v>
                </c:pt>
                <c:pt idx="932">
                  <c:v>04-Oct-2023</c:v>
                </c:pt>
                <c:pt idx="933">
                  <c:v>05-Oct-2023</c:v>
                </c:pt>
                <c:pt idx="934">
                  <c:v>06-Oct-2023</c:v>
                </c:pt>
                <c:pt idx="935">
                  <c:v>09-Oct-2023</c:v>
                </c:pt>
                <c:pt idx="936">
                  <c:v>10-Oct-2023</c:v>
                </c:pt>
                <c:pt idx="937">
                  <c:v>11-Oct-2023</c:v>
                </c:pt>
                <c:pt idx="938">
                  <c:v>12-Oct-2023</c:v>
                </c:pt>
                <c:pt idx="939">
                  <c:v>13-Oct-2023</c:v>
                </c:pt>
                <c:pt idx="940">
                  <c:v>16-Oct-2023</c:v>
                </c:pt>
                <c:pt idx="941">
                  <c:v>17-Oct-2023</c:v>
                </c:pt>
                <c:pt idx="942">
                  <c:v>18-Oct-2023</c:v>
                </c:pt>
                <c:pt idx="943">
                  <c:v>19-Oct-2023</c:v>
                </c:pt>
                <c:pt idx="944">
                  <c:v>20-Oct-2023</c:v>
                </c:pt>
                <c:pt idx="945">
                  <c:v>23-Oct-2023</c:v>
                </c:pt>
                <c:pt idx="946">
                  <c:v>25-Oct-2023</c:v>
                </c:pt>
                <c:pt idx="947">
                  <c:v>26-Oct-2023</c:v>
                </c:pt>
                <c:pt idx="948">
                  <c:v>27-Oct-2023</c:v>
                </c:pt>
                <c:pt idx="949">
                  <c:v>30-Oct-2023</c:v>
                </c:pt>
                <c:pt idx="950">
                  <c:v>31-Oct-2023</c:v>
                </c:pt>
                <c:pt idx="951">
                  <c:v>01-Nov-2023</c:v>
                </c:pt>
                <c:pt idx="952">
                  <c:v>02-Nov-2023</c:v>
                </c:pt>
                <c:pt idx="953">
                  <c:v>03-Nov-2023</c:v>
                </c:pt>
                <c:pt idx="954">
                  <c:v>06-Nov-2023</c:v>
                </c:pt>
                <c:pt idx="955">
                  <c:v>07-Nov-2023</c:v>
                </c:pt>
                <c:pt idx="956">
                  <c:v>08-Nov-2023</c:v>
                </c:pt>
                <c:pt idx="957">
                  <c:v>09-Nov-2023</c:v>
                </c:pt>
                <c:pt idx="958">
                  <c:v>10-Nov-2023</c:v>
                </c:pt>
                <c:pt idx="959">
                  <c:v>13-Nov-2023</c:v>
                </c:pt>
                <c:pt idx="960">
                  <c:v>15-Nov-2023</c:v>
                </c:pt>
                <c:pt idx="961">
                  <c:v>16-Nov-2023</c:v>
                </c:pt>
                <c:pt idx="962">
                  <c:v>17-Nov-2023</c:v>
                </c:pt>
                <c:pt idx="963">
                  <c:v>20-Nov-2023</c:v>
                </c:pt>
                <c:pt idx="964">
                  <c:v>21-Nov-2023</c:v>
                </c:pt>
                <c:pt idx="965">
                  <c:v>22-Nov-2023</c:v>
                </c:pt>
                <c:pt idx="966">
                  <c:v>23-Nov-2023</c:v>
                </c:pt>
                <c:pt idx="967">
                  <c:v>24-Nov-2023</c:v>
                </c:pt>
                <c:pt idx="968">
                  <c:v>28-Nov-2023</c:v>
                </c:pt>
                <c:pt idx="969">
                  <c:v>29-Nov-2023</c:v>
                </c:pt>
                <c:pt idx="970">
                  <c:v>30-Nov-2023</c:v>
                </c:pt>
                <c:pt idx="971">
                  <c:v>01-Dec-2023</c:v>
                </c:pt>
                <c:pt idx="972">
                  <c:v>04-Dec-2023</c:v>
                </c:pt>
                <c:pt idx="973">
                  <c:v>05-Dec-2023</c:v>
                </c:pt>
                <c:pt idx="974">
                  <c:v>06-Dec-2023</c:v>
                </c:pt>
                <c:pt idx="975">
                  <c:v>07-Dec-2023</c:v>
                </c:pt>
                <c:pt idx="976">
                  <c:v>08-Dec-2023</c:v>
                </c:pt>
                <c:pt idx="977">
                  <c:v>11-Dec-2023</c:v>
                </c:pt>
                <c:pt idx="978">
                  <c:v>12-Dec-2023</c:v>
                </c:pt>
                <c:pt idx="979">
                  <c:v>13-Dec-2023</c:v>
                </c:pt>
                <c:pt idx="980">
                  <c:v>14-Dec-2023</c:v>
                </c:pt>
                <c:pt idx="981">
                  <c:v>15-Dec-2023</c:v>
                </c:pt>
                <c:pt idx="982">
                  <c:v>18-Dec-2023</c:v>
                </c:pt>
                <c:pt idx="983">
                  <c:v>19-Dec-2023</c:v>
                </c:pt>
                <c:pt idx="984">
                  <c:v>20-Dec-2023</c:v>
                </c:pt>
                <c:pt idx="985">
                  <c:v>21-Dec-2023</c:v>
                </c:pt>
                <c:pt idx="986">
                  <c:v>22-Dec-2023</c:v>
                </c:pt>
                <c:pt idx="987">
                  <c:v>26-Dec-2023</c:v>
                </c:pt>
                <c:pt idx="988">
                  <c:v>27-Dec-2023</c:v>
                </c:pt>
                <c:pt idx="989">
                  <c:v>28-Dec-2023</c:v>
                </c:pt>
                <c:pt idx="990">
                  <c:v>29-Dec-2023</c:v>
                </c:pt>
                <c:pt idx="991">
                  <c:v>01-Jan-2024</c:v>
                </c:pt>
                <c:pt idx="992">
                  <c:v>02-Jan-2024</c:v>
                </c:pt>
                <c:pt idx="993">
                  <c:v>03-Jan-2024</c:v>
                </c:pt>
                <c:pt idx="994">
                  <c:v>04-Jan-2024</c:v>
                </c:pt>
                <c:pt idx="995">
                  <c:v>05-Jan-2024</c:v>
                </c:pt>
                <c:pt idx="996">
                  <c:v>08-Jan-2024</c:v>
                </c:pt>
                <c:pt idx="997">
                  <c:v>09-Jan-2024</c:v>
                </c:pt>
                <c:pt idx="998">
                  <c:v>10-Jan-2024</c:v>
                </c:pt>
                <c:pt idx="999">
                  <c:v>11-Jan-2024</c:v>
                </c:pt>
                <c:pt idx="1000">
                  <c:v>12-Jan-2024</c:v>
                </c:pt>
                <c:pt idx="1001">
                  <c:v>15-Jan-2024</c:v>
                </c:pt>
                <c:pt idx="1002">
                  <c:v>16-Jan-2024</c:v>
                </c:pt>
                <c:pt idx="1003">
                  <c:v>17-Jan-2024</c:v>
                </c:pt>
                <c:pt idx="1004">
                  <c:v>18-Jan-2024</c:v>
                </c:pt>
                <c:pt idx="1005">
                  <c:v>19-Jan-2024</c:v>
                </c:pt>
                <c:pt idx="1006">
                  <c:v>23-Jan-2024</c:v>
                </c:pt>
                <c:pt idx="1007">
                  <c:v>24-Jan-2024</c:v>
                </c:pt>
                <c:pt idx="1008">
                  <c:v>25-Jan-2024</c:v>
                </c:pt>
                <c:pt idx="1009">
                  <c:v>29-Jan-2024</c:v>
                </c:pt>
                <c:pt idx="1010">
                  <c:v>30-Jan-2024</c:v>
                </c:pt>
                <c:pt idx="1011">
                  <c:v>31-Jan-2024</c:v>
                </c:pt>
                <c:pt idx="1012">
                  <c:v>01-Feb-2024</c:v>
                </c:pt>
                <c:pt idx="1013">
                  <c:v>02-Feb-2024</c:v>
                </c:pt>
                <c:pt idx="1014">
                  <c:v>05-Feb-2024</c:v>
                </c:pt>
                <c:pt idx="1015">
                  <c:v>06-Feb-2024</c:v>
                </c:pt>
                <c:pt idx="1016">
                  <c:v>07-Feb-2024</c:v>
                </c:pt>
                <c:pt idx="1017">
                  <c:v>08-Feb-2024</c:v>
                </c:pt>
                <c:pt idx="1018">
                  <c:v>09-Feb-2024</c:v>
                </c:pt>
                <c:pt idx="1019">
                  <c:v>12-Feb-2024</c:v>
                </c:pt>
                <c:pt idx="1020">
                  <c:v>13-Feb-2024</c:v>
                </c:pt>
                <c:pt idx="1021">
                  <c:v>14-Feb-2024</c:v>
                </c:pt>
                <c:pt idx="1022">
                  <c:v>15-Feb-2024</c:v>
                </c:pt>
                <c:pt idx="1023">
                  <c:v>16-Feb-2024</c:v>
                </c:pt>
                <c:pt idx="1024">
                  <c:v>19-Feb-2024</c:v>
                </c:pt>
                <c:pt idx="1025">
                  <c:v>20-Feb-2024</c:v>
                </c:pt>
                <c:pt idx="1026">
                  <c:v>21-Feb-2024</c:v>
                </c:pt>
                <c:pt idx="1027">
                  <c:v>22-Feb-2024</c:v>
                </c:pt>
                <c:pt idx="1028">
                  <c:v>23-Feb-2024</c:v>
                </c:pt>
                <c:pt idx="1029">
                  <c:v>26-Feb-2024</c:v>
                </c:pt>
                <c:pt idx="1030">
                  <c:v>27-Feb-2024</c:v>
                </c:pt>
                <c:pt idx="1031">
                  <c:v>28-Feb-2024</c:v>
                </c:pt>
                <c:pt idx="1032">
                  <c:v>29-Feb-2024</c:v>
                </c:pt>
                <c:pt idx="1033">
                  <c:v>01-Mar-2024</c:v>
                </c:pt>
                <c:pt idx="1034">
                  <c:v>04-Mar-2024</c:v>
                </c:pt>
                <c:pt idx="1035">
                  <c:v>05-Mar-2024</c:v>
                </c:pt>
                <c:pt idx="1036">
                  <c:v>06-Mar-2024</c:v>
                </c:pt>
                <c:pt idx="1037">
                  <c:v>07-Mar-2024</c:v>
                </c:pt>
                <c:pt idx="1038">
                  <c:v>11-Mar-2024</c:v>
                </c:pt>
                <c:pt idx="1039">
                  <c:v>12-Mar-2024</c:v>
                </c:pt>
                <c:pt idx="1040">
                  <c:v>13-Mar-2024</c:v>
                </c:pt>
                <c:pt idx="1041">
                  <c:v>14-Mar-2024</c:v>
                </c:pt>
                <c:pt idx="1042">
                  <c:v>15-Mar-2024</c:v>
                </c:pt>
                <c:pt idx="1043">
                  <c:v>18-Mar-2024</c:v>
                </c:pt>
                <c:pt idx="1044">
                  <c:v>19-Mar-2024</c:v>
                </c:pt>
                <c:pt idx="1045">
                  <c:v>20-Mar-2024</c:v>
                </c:pt>
                <c:pt idx="1046">
                  <c:v>21-Mar-2024</c:v>
                </c:pt>
                <c:pt idx="1047">
                  <c:v>22-Mar-2024</c:v>
                </c:pt>
                <c:pt idx="1048">
                  <c:v>26-Mar-2024</c:v>
                </c:pt>
                <c:pt idx="1049">
                  <c:v>27-Mar-2024</c:v>
                </c:pt>
                <c:pt idx="1050">
                  <c:v>28-Mar-2024</c:v>
                </c:pt>
                <c:pt idx="1051">
                  <c:v>01-Apr-2024</c:v>
                </c:pt>
                <c:pt idx="1052">
                  <c:v>02-Apr-2024</c:v>
                </c:pt>
                <c:pt idx="1053">
                  <c:v>03-Apr-2024</c:v>
                </c:pt>
                <c:pt idx="1054">
                  <c:v>04-Apr-2024</c:v>
                </c:pt>
                <c:pt idx="1055">
                  <c:v>05-Apr-2024</c:v>
                </c:pt>
                <c:pt idx="1056">
                  <c:v>08-Apr-2024</c:v>
                </c:pt>
                <c:pt idx="1057">
                  <c:v>09-Apr-2024</c:v>
                </c:pt>
                <c:pt idx="1058">
                  <c:v>10-Apr-2024</c:v>
                </c:pt>
                <c:pt idx="1059">
                  <c:v>12-Apr-2024</c:v>
                </c:pt>
                <c:pt idx="1060">
                  <c:v>15-Apr-2024</c:v>
                </c:pt>
                <c:pt idx="1061">
                  <c:v>16-Apr-2024</c:v>
                </c:pt>
                <c:pt idx="1062">
                  <c:v>18-Apr-2024</c:v>
                </c:pt>
                <c:pt idx="1063">
                  <c:v>19-Apr-2024</c:v>
                </c:pt>
                <c:pt idx="1064">
                  <c:v>22-Apr-2024</c:v>
                </c:pt>
                <c:pt idx="1065">
                  <c:v>23-Apr-2024</c:v>
                </c:pt>
                <c:pt idx="1066">
                  <c:v>24-Apr-2024</c:v>
                </c:pt>
                <c:pt idx="1067">
                  <c:v>25-Apr-2024</c:v>
                </c:pt>
                <c:pt idx="1068">
                  <c:v>26-Apr-2024</c:v>
                </c:pt>
                <c:pt idx="1069">
                  <c:v>29-Apr-2024</c:v>
                </c:pt>
                <c:pt idx="1070">
                  <c:v>30-Apr-2024</c:v>
                </c:pt>
                <c:pt idx="1071">
                  <c:v>02-May-2024</c:v>
                </c:pt>
                <c:pt idx="1072">
                  <c:v>03-May-2024</c:v>
                </c:pt>
                <c:pt idx="1073">
                  <c:v>06-May-2024</c:v>
                </c:pt>
                <c:pt idx="1074">
                  <c:v>07-May-2024</c:v>
                </c:pt>
                <c:pt idx="1075">
                  <c:v>08-May-2024</c:v>
                </c:pt>
                <c:pt idx="1076">
                  <c:v>09-May-2024</c:v>
                </c:pt>
                <c:pt idx="1077">
                  <c:v>10-May-2024</c:v>
                </c:pt>
                <c:pt idx="1078">
                  <c:v>13-May-2024</c:v>
                </c:pt>
                <c:pt idx="1079">
                  <c:v>14-May-2024</c:v>
                </c:pt>
                <c:pt idx="1080">
                  <c:v>15-May-2024</c:v>
                </c:pt>
                <c:pt idx="1081">
                  <c:v>16-May-2024</c:v>
                </c:pt>
                <c:pt idx="1082">
                  <c:v>17-May-2024</c:v>
                </c:pt>
                <c:pt idx="1083">
                  <c:v>21-May-2024</c:v>
                </c:pt>
                <c:pt idx="1084">
                  <c:v>22-May-2024</c:v>
                </c:pt>
                <c:pt idx="1085">
                  <c:v>23-May-2024</c:v>
                </c:pt>
                <c:pt idx="1086">
                  <c:v>24-May-2024</c:v>
                </c:pt>
                <c:pt idx="1087">
                  <c:v>27-May-2024</c:v>
                </c:pt>
                <c:pt idx="1088">
                  <c:v>28-May-2024</c:v>
                </c:pt>
                <c:pt idx="1089">
                  <c:v>29-May-2024</c:v>
                </c:pt>
                <c:pt idx="1090">
                  <c:v>30-May-2024</c:v>
                </c:pt>
                <c:pt idx="1091">
                  <c:v>31-May-2024</c:v>
                </c:pt>
                <c:pt idx="1092">
                  <c:v>03-Jun-2024</c:v>
                </c:pt>
                <c:pt idx="1093">
                  <c:v>04-Jun-2024</c:v>
                </c:pt>
                <c:pt idx="1094">
                  <c:v>05-Jun-2024</c:v>
                </c:pt>
                <c:pt idx="1095">
                  <c:v>06-Jun-2024</c:v>
                </c:pt>
                <c:pt idx="1096">
                  <c:v>07-Jun-2024</c:v>
                </c:pt>
                <c:pt idx="1097">
                  <c:v>10-Jun-2024</c:v>
                </c:pt>
                <c:pt idx="1098">
                  <c:v>11-Jun-2024</c:v>
                </c:pt>
                <c:pt idx="1099">
                  <c:v>12-Jun-2024</c:v>
                </c:pt>
                <c:pt idx="1100">
                  <c:v>13-Jun-2024</c:v>
                </c:pt>
                <c:pt idx="1101">
                  <c:v>14-Jun-2024</c:v>
                </c:pt>
                <c:pt idx="1102">
                  <c:v>18-Jun-2024</c:v>
                </c:pt>
                <c:pt idx="1103">
                  <c:v>19-Jun-2024</c:v>
                </c:pt>
                <c:pt idx="1104">
                  <c:v>20-Jun-2024</c:v>
                </c:pt>
                <c:pt idx="1105">
                  <c:v>21-Jun-2024</c:v>
                </c:pt>
                <c:pt idx="1106">
                  <c:v>24-Jun-2024</c:v>
                </c:pt>
                <c:pt idx="1107">
                  <c:v>25-Jun-2024</c:v>
                </c:pt>
                <c:pt idx="1108">
                  <c:v>26-Jun-2024</c:v>
                </c:pt>
                <c:pt idx="1109">
                  <c:v>27-Jun-2024</c:v>
                </c:pt>
                <c:pt idx="1110">
                  <c:v>28-Jun-2024</c:v>
                </c:pt>
                <c:pt idx="1111">
                  <c:v>01-Jul-2024</c:v>
                </c:pt>
                <c:pt idx="1112">
                  <c:v>02-Jul-2024</c:v>
                </c:pt>
                <c:pt idx="1113">
                  <c:v>03-Jul-2024</c:v>
                </c:pt>
                <c:pt idx="1114">
                  <c:v>04-Jul-2024</c:v>
                </c:pt>
                <c:pt idx="1115">
                  <c:v>05-Jul-2024</c:v>
                </c:pt>
                <c:pt idx="1116">
                  <c:v>08-Jul-2024</c:v>
                </c:pt>
                <c:pt idx="1117">
                  <c:v>09-Jul-2024</c:v>
                </c:pt>
                <c:pt idx="1118">
                  <c:v>10-Jul-2024</c:v>
                </c:pt>
                <c:pt idx="1119">
                  <c:v>11-Jul-2024</c:v>
                </c:pt>
                <c:pt idx="1120">
                  <c:v>12-Jul-2024</c:v>
                </c:pt>
                <c:pt idx="1121">
                  <c:v>15-Jul-2024</c:v>
                </c:pt>
                <c:pt idx="1122">
                  <c:v>16-Jul-2024</c:v>
                </c:pt>
                <c:pt idx="1123">
                  <c:v>18-Jul-2024</c:v>
                </c:pt>
                <c:pt idx="1124">
                  <c:v>19-Jul-2024</c:v>
                </c:pt>
                <c:pt idx="1125">
                  <c:v>22-Jul-2024</c:v>
                </c:pt>
                <c:pt idx="1126">
                  <c:v>23-Jul-2024</c:v>
                </c:pt>
                <c:pt idx="1127">
                  <c:v>24-Jul-2024</c:v>
                </c:pt>
                <c:pt idx="1128">
                  <c:v>25-Jul-2024</c:v>
                </c:pt>
                <c:pt idx="1129">
                  <c:v>26-Jul-2024</c:v>
                </c:pt>
                <c:pt idx="1130">
                  <c:v>29-Jul-2024</c:v>
                </c:pt>
                <c:pt idx="1131">
                  <c:v>30-Jul-2024</c:v>
                </c:pt>
                <c:pt idx="1132">
                  <c:v>31-Jul-2024</c:v>
                </c:pt>
                <c:pt idx="1133">
                  <c:v>01-Aug-2024</c:v>
                </c:pt>
                <c:pt idx="1134">
                  <c:v>02-Aug-2024</c:v>
                </c:pt>
                <c:pt idx="1135">
                  <c:v>05-Aug-2024</c:v>
                </c:pt>
                <c:pt idx="1136">
                  <c:v>06-Aug-2024</c:v>
                </c:pt>
                <c:pt idx="1137">
                  <c:v>07-Aug-2024</c:v>
                </c:pt>
                <c:pt idx="1138">
                  <c:v>08-Aug-2024</c:v>
                </c:pt>
                <c:pt idx="1139">
                  <c:v>09-Aug-2024</c:v>
                </c:pt>
                <c:pt idx="1140">
                  <c:v>12-Aug-2024</c:v>
                </c:pt>
                <c:pt idx="1141">
                  <c:v>13-Aug-2024</c:v>
                </c:pt>
                <c:pt idx="1142">
                  <c:v>14-Aug-2024</c:v>
                </c:pt>
                <c:pt idx="1143">
                  <c:v>16-Aug-2024</c:v>
                </c:pt>
                <c:pt idx="1144">
                  <c:v>19-Aug-2024</c:v>
                </c:pt>
                <c:pt idx="1145">
                  <c:v>20-Aug-2024</c:v>
                </c:pt>
                <c:pt idx="1146">
                  <c:v>21-Aug-2024</c:v>
                </c:pt>
                <c:pt idx="1147">
                  <c:v>22-Aug-2024</c:v>
                </c:pt>
                <c:pt idx="1148">
                  <c:v>23-Aug-2024</c:v>
                </c:pt>
                <c:pt idx="1149">
                  <c:v>26-Aug-2024</c:v>
                </c:pt>
                <c:pt idx="1150">
                  <c:v>27-Aug-2024</c:v>
                </c:pt>
                <c:pt idx="1151">
                  <c:v>28-Aug-2024</c:v>
                </c:pt>
                <c:pt idx="1152">
                  <c:v>29-Aug-2024</c:v>
                </c:pt>
                <c:pt idx="1153">
                  <c:v>30-Aug-2024</c:v>
                </c:pt>
                <c:pt idx="1154">
                  <c:v>02-Sep-2024</c:v>
                </c:pt>
                <c:pt idx="1155">
                  <c:v>03-Sep-2024</c:v>
                </c:pt>
                <c:pt idx="1156">
                  <c:v>04-Sep-2024</c:v>
                </c:pt>
                <c:pt idx="1157">
                  <c:v>05-Sep-2024</c:v>
                </c:pt>
                <c:pt idx="1158">
                  <c:v>06-Sep-2024</c:v>
                </c:pt>
                <c:pt idx="1159">
                  <c:v>09-Sep-2024</c:v>
                </c:pt>
                <c:pt idx="1160">
                  <c:v>10-Sep-2024</c:v>
                </c:pt>
                <c:pt idx="1161">
                  <c:v>11-Sep-2024</c:v>
                </c:pt>
                <c:pt idx="1162">
                  <c:v>12-Sep-2024</c:v>
                </c:pt>
                <c:pt idx="1163">
                  <c:v>13-Sep-2024</c:v>
                </c:pt>
                <c:pt idx="1164">
                  <c:v>16-Sep-2024</c:v>
                </c:pt>
                <c:pt idx="1165">
                  <c:v>17-Sep-2024</c:v>
                </c:pt>
                <c:pt idx="1166">
                  <c:v>18-Sep-2024</c:v>
                </c:pt>
                <c:pt idx="1167">
                  <c:v>19-Sep-2024</c:v>
                </c:pt>
                <c:pt idx="1168">
                  <c:v>20-Sep-2024</c:v>
                </c:pt>
                <c:pt idx="1169">
                  <c:v>23-Sep-2024</c:v>
                </c:pt>
                <c:pt idx="1170">
                  <c:v>24-Sep-2024</c:v>
                </c:pt>
                <c:pt idx="1171">
                  <c:v>25-Sep-2024</c:v>
                </c:pt>
                <c:pt idx="1172">
                  <c:v>26-Sep-2024</c:v>
                </c:pt>
                <c:pt idx="1173">
                  <c:v>27-Sep-2024</c:v>
                </c:pt>
                <c:pt idx="1174">
                  <c:v>30-Sep-2024</c:v>
                </c:pt>
                <c:pt idx="1175">
                  <c:v>01-Oct-2024</c:v>
                </c:pt>
                <c:pt idx="1176">
                  <c:v>03-Oct-2024</c:v>
                </c:pt>
                <c:pt idx="1177">
                  <c:v>04-Oct-2024</c:v>
                </c:pt>
                <c:pt idx="1178">
                  <c:v>07-Oct-2024</c:v>
                </c:pt>
                <c:pt idx="1179">
                  <c:v>08-Oct-2024</c:v>
                </c:pt>
                <c:pt idx="1180">
                  <c:v>09-Oct-2024</c:v>
                </c:pt>
                <c:pt idx="1181">
                  <c:v>10-Oct-2024</c:v>
                </c:pt>
                <c:pt idx="1182">
                  <c:v>11-Oct-2024</c:v>
                </c:pt>
                <c:pt idx="1183">
                  <c:v>14-Oct-2024</c:v>
                </c:pt>
                <c:pt idx="1184">
                  <c:v>15-Oct-2024</c:v>
                </c:pt>
                <c:pt idx="1185">
                  <c:v>16-Oct-2024</c:v>
                </c:pt>
                <c:pt idx="1186">
                  <c:v>17-Oct-2024</c:v>
                </c:pt>
                <c:pt idx="1187">
                  <c:v>18-Oct-2024</c:v>
                </c:pt>
                <c:pt idx="1188">
                  <c:v>21-Oct-2024</c:v>
                </c:pt>
                <c:pt idx="1189">
                  <c:v>22-Oct-2024</c:v>
                </c:pt>
                <c:pt idx="1190">
                  <c:v>23-Oct-2024</c:v>
                </c:pt>
                <c:pt idx="1191">
                  <c:v>24-Oct-2024</c:v>
                </c:pt>
                <c:pt idx="1192">
                  <c:v>25-Oct-2024</c:v>
                </c:pt>
                <c:pt idx="1193">
                  <c:v>28-Oct-2024</c:v>
                </c:pt>
                <c:pt idx="1194">
                  <c:v>29-Oct-2024</c:v>
                </c:pt>
                <c:pt idx="1195">
                  <c:v>30-Oct-2024</c:v>
                </c:pt>
                <c:pt idx="1196">
                  <c:v>31-Oct-2024</c:v>
                </c:pt>
                <c:pt idx="1197">
                  <c:v>01-Nov-2024</c:v>
                </c:pt>
                <c:pt idx="1198">
                  <c:v>04-Nov-2024</c:v>
                </c:pt>
                <c:pt idx="1199">
                  <c:v>05-Nov-2024</c:v>
                </c:pt>
                <c:pt idx="1200">
                  <c:v>06-Nov-2024</c:v>
                </c:pt>
                <c:pt idx="1201">
                  <c:v>07-Nov-2024</c:v>
                </c:pt>
                <c:pt idx="1202">
                  <c:v>08-Nov-2024</c:v>
                </c:pt>
                <c:pt idx="1203">
                  <c:v>11-Nov-2024</c:v>
                </c:pt>
                <c:pt idx="1204">
                  <c:v>12-Nov-2024</c:v>
                </c:pt>
                <c:pt idx="1205">
                  <c:v>13-Nov-2024</c:v>
                </c:pt>
                <c:pt idx="1206">
                  <c:v>14-Nov-2024</c:v>
                </c:pt>
                <c:pt idx="1207">
                  <c:v>18-Nov-2024</c:v>
                </c:pt>
                <c:pt idx="1208">
                  <c:v>19-Nov-2024</c:v>
                </c:pt>
                <c:pt idx="1209">
                  <c:v>21-Nov-2024</c:v>
                </c:pt>
                <c:pt idx="1210">
                  <c:v>22-Nov-2024</c:v>
                </c:pt>
                <c:pt idx="1211">
                  <c:v>25-Nov-2024</c:v>
                </c:pt>
                <c:pt idx="1212">
                  <c:v>26-Nov-2024</c:v>
                </c:pt>
                <c:pt idx="1213">
                  <c:v>27-Nov-2024</c:v>
                </c:pt>
                <c:pt idx="1214">
                  <c:v>28-Nov-2024</c:v>
                </c:pt>
                <c:pt idx="1215">
                  <c:v>29-Nov-2024</c:v>
                </c:pt>
                <c:pt idx="1216">
                  <c:v>02-Dec-2024</c:v>
                </c:pt>
                <c:pt idx="1217">
                  <c:v>03-Dec-2024</c:v>
                </c:pt>
                <c:pt idx="1218">
                  <c:v>04-Dec-2024</c:v>
                </c:pt>
                <c:pt idx="1219">
                  <c:v>05-Dec-2024</c:v>
                </c:pt>
                <c:pt idx="1220">
                  <c:v>06-Dec-2024</c:v>
                </c:pt>
                <c:pt idx="1221">
                  <c:v>09-Dec-2024</c:v>
                </c:pt>
                <c:pt idx="1222">
                  <c:v>10-Dec-2024</c:v>
                </c:pt>
                <c:pt idx="1223">
                  <c:v>11-Dec-2024</c:v>
                </c:pt>
                <c:pt idx="1224">
                  <c:v>12-Dec-2024</c:v>
                </c:pt>
                <c:pt idx="1225">
                  <c:v>13-Dec-2024</c:v>
                </c:pt>
                <c:pt idx="1226">
                  <c:v>16-Dec-2024</c:v>
                </c:pt>
                <c:pt idx="1227">
                  <c:v>17-Dec-2024</c:v>
                </c:pt>
                <c:pt idx="1228">
                  <c:v>18-Dec-2024</c:v>
                </c:pt>
                <c:pt idx="1229">
                  <c:v>19-Dec-2024</c:v>
                </c:pt>
                <c:pt idx="1230">
                  <c:v>20-Dec-2024</c:v>
                </c:pt>
                <c:pt idx="1231">
                  <c:v>23-Dec-2024</c:v>
                </c:pt>
                <c:pt idx="1232">
                  <c:v>24-Dec-2024</c:v>
                </c:pt>
                <c:pt idx="1233">
                  <c:v>26-Dec-2024</c:v>
                </c:pt>
                <c:pt idx="1234">
                  <c:v>27-Dec-2024</c:v>
                </c:pt>
                <c:pt idx="1235">
                  <c:v>30-Dec-2024</c:v>
                </c:pt>
                <c:pt idx="1236">
                  <c:v>31-Dec-2024</c:v>
                </c:pt>
                <c:pt idx="1237">
                  <c:v>01-Jan-2025</c:v>
                </c:pt>
                <c:pt idx="1238">
                  <c:v>02-Jan-2025</c:v>
                </c:pt>
                <c:pt idx="1239">
                  <c:v>03-Jan-2025</c:v>
                </c:pt>
                <c:pt idx="1240">
                  <c:v>06-Jan-2025</c:v>
                </c:pt>
                <c:pt idx="1241">
                  <c:v>07-Jan-2025</c:v>
                </c:pt>
                <c:pt idx="1242">
                  <c:v>08-Jan-2025</c:v>
                </c:pt>
                <c:pt idx="1243">
                  <c:v>09-Jan-2025</c:v>
                </c:pt>
                <c:pt idx="1244">
                  <c:v>10-Jan-2025</c:v>
                </c:pt>
                <c:pt idx="1245">
                  <c:v>13-Jan-2025</c:v>
                </c:pt>
                <c:pt idx="1246">
                  <c:v>14-Jan-2025</c:v>
                </c:pt>
                <c:pt idx="1247">
                  <c:v>15-Jan-2025</c:v>
                </c:pt>
                <c:pt idx="1248">
                  <c:v>16-Jan-2025</c:v>
                </c:pt>
                <c:pt idx="1249">
                  <c:v>17-Jan-2025</c:v>
                </c:pt>
                <c:pt idx="1250">
                  <c:v>20-Jan-2025</c:v>
                </c:pt>
                <c:pt idx="1251">
                  <c:v>21-Jan-2025</c:v>
                </c:pt>
                <c:pt idx="1252">
                  <c:v>22-Jan-2025</c:v>
                </c:pt>
                <c:pt idx="1253">
                  <c:v>23-Jan-2025</c:v>
                </c:pt>
                <c:pt idx="1254">
                  <c:v>24-Jan-2025</c:v>
                </c:pt>
                <c:pt idx="1255">
                  <c:v>27-Jan-2025</c:v>
                </c:pt>
                <c:pt idx="1256">
                  <c:v>28-Jan-2025</c:v>
                </c:pt>
                <c:pt idx="1257">
                  <c:v>29-Jan-2025</c:v>
                </c:pt>
                <c:pt idx="1258">
                  <c:v>30-Jan-2025</c:v>
                </c:pt>
                <c:pt idx="1259">
                  <c:v>31-Jan-2025</c:v>
                </c:pt>
                <c:pt idx="1260">
                  <c:v>01-Feb-2025</c:v>
                </c:pt>
                <c:pt idx="1261">
                  <c:v>03-Feb-2025</c:v>
                </c:pt>
                <c:pt idx="1262">
                  <c:v>04-Feb-2025</c:v>
                </c:pt>
                <c:pt idx="1263">
                  <c:v>05-Feb-2025</c:v>
                </c:pt>
                <c:pt idx="1264">
                  <c:v>06-Feb-2025</c:v>
                </c:pt>
                <c:pt idx="1265">
                  <c:v>07-Feb-2025</c:v>
                </c:pt>
                <c:pt idx="1266">
                  <c:v>10-Feb-2025</c:v>
                </c:pt>
                <c:pt idx="1267">
                  <c:v>11-Feb-2025</c:v>
                </c:pt>
                <c:pt idx="1268">
                  <c:v>12-Feb-2025</c:v>
                </c:pt>
                <c:pt idx="1269">
                  <c:v>13-Feb-2025</c:v>
                </c:pt>
                <c:pt idx="1270">
                  <c:v>14-Feb-2025</c:v>
                </c:pt>
                <c:pt idx="1271">
                  <c:v>17-Feb-2025</c:v>
                </c:pt>
                <c:pt idx="1272">
                  <c:v>18-Feb-2025</c:v>
                </c:pt>
                <c:pt idx="1273">
                  <c:v>19-Feb-2025</c:v>
                </c:pt>
                <c:pt idx="1274">
                  <c:v>20-Feb-2025</c:v>
                </c:pt>
                <c:pt idx="1275">
                  <c:v>21-Feb-2025</c:v>
                </c:pt>
                <c:pt idx="1276">
                  <c:v>24-Feb-2025</c:v>
                </c:pt>
                <c:pt idx="1277">
                  <c:v>25-Feb-2025</c:v>
                </c:pt>
                <c:pt idx="1278">
                  <c:v>27-Feb-2025</c:v>
                </c:pt>
                <c:pt idx="1279">
                  <c:v>28-Feb-2025</c:v>
                </c:pt>
                <c:pt idx="1280">
                  <c:v>03-Mar-2025</c:v>
                </c:pt>
                <c:pt idx="1281">
                  <c:v>04-Mar-2025</c:v>
                </c:pt>
                <c:pt idx="1282">
                  <c:v>05-Mar-2025</c:v>
                </c:pt>
                <c:pt idx="1283">
                  <c:v>06-Mar-2025</c:v>
                </c:pt>
                <c:pt idx="1284">
                  <c:v>07-Mar-2025</c:v>
                </c:pt>
                <c:pt idx="1285">
                  <c:v>10-Mar-2025</c:v>
                </c:pt>
                <c:pt idx="1286">
                  <c:v>11-Mar-2025</c:v>
                </c:pt>
                <c:pt idx="1287">
                  <c:v>12-Mar-2025</c:v>
                </c:pt>
                <c:pt idx="1288">
                  <c:v>13-Mar-2025</c:v>
                </c:pt>
                <c:pt idx="1289">
                  <c:v>17-Mar-2025</c:v>
                </c:pt>
                <c:pt idx="1290">
                  <c:v>18-Mar-2025</c:v>
                </c:pt>
                <c:pt idx="1291">
                  <c:v>19-Mar-2025</c:v>
                </c:pt>
                <c:pt idx="1292">
                  <c:v>20-Mar-2025</c:v>
                </c:pt>
                <c:pt idx="1293">
                  <c:v>21-Mar-2025</c:v>
                </c:pt>
                <c:pt idx="1294">
                  <c:v>24-Mar-2025</c:v>
                </c:pt>
                <c:pt idx="1295">
                  <c:v>25-Mar-2025</c:v>
                </c:pt>
                <c:pt idx="1296">
                  <c:v>26-Mar-2025</c:v>
                </c:pt>
                <c:pt idx="1297">
                  <c:v>27-Mar-2025</c:v>
                </c:pt>
                <c:pt idx="1298">
                  <c:v>28-Mar-2025</c:v>
                </c:pt>
                <c:pt idx="1299">
                  <c:v>01-Apr-2025</c:v>
                </c:pt>
                <c:pt idx="1300">
                  <c:v>02-Apr-2025</c:v>
                </c:pt>
                <c:pt idx="1301">
                  <c:v>03-Apr-2025</c:v>
                </c:pt>
                <c:pt idx="1302">
                  <c:v>04-Apr-2025</c:v>
                </c:pt>
                <c:pt idx="1303">
                  <c:v>07-Apr-2025</c:v>
                </c:pt>
                <c:pt idx="1304">
                  <c:v>08-Apr-2025</c:v>
                </c:pt>
                <c:pt idx="1305">
                  <c:v>09-Apr-2025</c:v>
                </c:pt>
                <c:pt idx="1306">
                  <c:v>11-Apr-2025</c:v>
                </c:pt>
                <c:pt idx="1307">
                  <c:v>15-Apr-2025</c:v>
                </c:pt>
                <c:pt idx="1308">
                  <c:v>16-Apr-2025</c:v>
                </c:pt>
                <c:pt idx="1309">
                  <c:v>17-Apr-2025</c:v>
                </c:pt>
                <c:pt idx="1310">
                  <c:v>21-Apr-2025</c:v>
                </c:pt>
                <c:pt idx="1311">
                  <c:v>22-Apr-2025</c:v>
                </c:pt>
                <c:pt idx="1312">
                  <c:v>23-Apr-2025</c:v>
                </c:pt>
                <c:pt idx="1313">
                  <c:v>24-Apr-2025</c:v>
                </c:pt>
                <c:pt idx="1314">
                  <c:v>25-Apr-2025</c:v>
                </c:pt>
                <c:pt idx="1315">
                  <c:v>28-Apr-2025</c:v>
                </c:pt>
                <c:pt idx="1316">
                  <c:v>29-Apr-2025</c:v>
                </c:pt>
                <c:pt idx="1317">
                  <c:v>30-Apr-2025</c:v>
                </c:pt>
                <c:pt idx="1318">
                  <c:v>02-May-2025</c:v>
                </c:pt>
                <c:pt idx="1319">
                  <c:v>05-May-2025</c:v>
                </c:pt>
                <c:pt idx="1320">
                  <c:v>06-May-2025</c:v>
                </c:pt>
                <c:pt idx="1321">
                  <c:v>07-May-2025</c:v>
                </c:pt>
                <c:pt idx="1322">
                  <c:v>08-May-2025</c:v>
                </c:pt>
                <c:pt idx="1323">
                  <c:v>09-May-2025</c:v>
                </c:pt>
                <c:pt idx="1324">
                  <c:v>12-May-2025</c:v>
                </c:pt>
                <c:pt idx="1325">
                  <c:v>13-May-2025</c:v>
                </c:pt>
                <c:pt idx="1326">
                  <c:v>14-May-2025</c:v>
                </c:pt>
                <c:pt idx="1327">
                  <c:v>15-May-2025</c:v>
                </c:pt>
                <c:pt idx="1328">
                  <c:v>16-May-2025</c:v>
                </c:pt>
                <c:pt idx="1329">
                  <c:v>19-May-2025</c:v>
                </c:pt>
                <c:pt idx="1330">
                  <c:v>20-May-2025</c:v>
                </c:pt>
                <c:pt idx="1331">
                  <c:v>21-May-2025</c:v>
                </c:pt>
                <c:pt idx="1332">
                  <c:v>22-May-2025</c:v>
                </c:pt>
                <c:pt idx="1333">
                  <c:v>23-May-2025</c:v>
                </c:pt>
                <c:pt idx="1334">
                  <c:v>26-May-2025</c:v>
                </c:pt>
                <c:pt idx="1335">
                  <c:v>27-May-2025</c:v>
                </c:pt>
                <c:pt idx="1336">
                  <c:v>28-May-2025</c:v>
                </c:pt>
                <c:pt idx="1337">
                  <c:v>29-May-2025</c:v>
                </c:pt>
                <c:pt idx="1338">
                  <c:v>30-May-2025</c:v>
                </c:pt>
                <c:pt idx="1339">
                  <c:v>02-Jun-2025</c:v>
                </c:pt>
                <c:pt idx="1340">
                  <c:v>03-Jun-2025</c:v>
                </c:pt>
                <c:pt idx="1341">
                  <c:v>04-Jun-2025</c:v>
                </c:pt>
                <c:pt idx="1342">
                  <c:v>05-Jun-2025</c:v>
                </c:pt>
                <c:pt idx="1343">
                  <c:v>06-Jun-2025</c:v>
                </c:pt>
                <c:pt idx="1344">
                  <c:v>09-Jun-2025</c:v>
                </c:pt>
                <c:pt idx="1345">
                  <c:v>10-Jun-2025</c:v>
                </c:pt>
                <c:pt idx="1346">
                  <c:v>11-Jun-2025</c:v>
                </c:pt>
                <c:pt idx="1347">
                  <c:v>12-Jun-2025</c:v>
                </c:pt>
                <c:pt idx="1348">
                  <c:v>13-Jun-2025</c:v>
                </c:pt>
                <c:pt idx="1349">
                  <c:v>16-Jun-2025</c:v>
                </c:pt>
                <c:pt idx="1350">
                  <c:v>17-Jun-2025</c:v>
                </c:pt>
                <c:pt idx="1351">
                  <c:v>18-Jun-2025</c:v>
                </c:pt>
                <c:pt idx="1352">
                  <c:v>19-Jun-2025</c:v>
                </c:pt>
                <c:pt idx="1353">
                  <c:v>20-Jun-2025</c:v>
                </c:pt>
                <c:pt idx="1354">
                  <c:v>23-Jun-2025</c:v>
                </c:pt>
                <c:pt idx="1355">
                  <c:v>24-Jun-2025</c:v>
                </c:pt>
                <c:pt idx="1356">
                  <c:v>25-Jun-2025</c:v>
                </c:pt>
                <c:pt idx="1357">
                  <c:v>26-Jun-2025</c:v>
                </c:pt>
                <c:pt idx="1358">
                  <c:v>27-Jun-2025</c:v>
                </c:pt>
                <c:pt idx="1359">
                  <c:v>30-Jun-2025</c:v>
                </c:pt>
                <c:pt idx="1360">
                  <c:v>01-Jul-2025</c:v>
                </c:pt>
                <c:pt idx="1361">
                  <c:v>02-Jul-2025</c:v>
                </c:pt>
                <c:pt idx="1362">
                  <c:v>03-Jul-2025</c:v>
                </c:pt>
                <c:pt idx="1363">
                  <c:v>04-Jul-2025</c:v>
                </c:pt>
                <c:pt idx="1364">
                  <c:v>07-Jul-2025</c:v>
                </c:pt>
                <c:pt idx="1365">
                  <c:v>08-Jul-2025</c:v>
                </c:pt>
                <c:pt idx="1366">
                  <c:v>09-Jul-2025</c:v>
                </c:pt>
                <c:pt idx="1367">
                  <c:v>10-Jul-2025</c:v>
                </c:pt>
                <c:pt idx="1368">
                  <c:v>11-Jul-2025</c:v>
                </c:pt>
                <c:pt idx="1369">
                  <c:v>14-Jul-2025</c:v>
                </c:pt>
                <c:pt idx="1370">
                  <c:v>15-Jul-2025</c:v>
                </c:pt>
                <c:pt idx="1371">
                  <c:v>16-Jul-2025</c:v>
                </c:pt>
                <c:pt idx="1372">
                  <c:v>17-Jul-2025</c:v>
                </c:pt>
                <c:pt idx="1373">
                  <c:v>18-Jul-2025</c:v>
                </c:pt>
                <c:pt idx="1374">
                  <c:v>21-Jul-2025</c:v>
                </c:pt>
                <c:pt idx="1375">
                  <c:v>22-Jul-2025</c:v>
                </c:pt>
                <c:pt idx="1376">
                  <c:v>23-Jul-2025</c:v>
                </c:pt>
                <c:pt idx="1377">
                  <c:v>24-Jul-2025</c:v>
                </c:pt>
                <c:pt idx="1378">
                  <c:v>25-Jul-2025</c:v>
                </c:pt>
                <c:pt idx="1379">
                  <c:v>28-Jul-2025</c:v>
                </c:pt>
                <c:pt idx="1380">
                  <c:v>29-Jul-2025</c:v>
                </c:pt>
                <c:pt idx="1381">
                  <c:v>30-Jul-2025</c:v>
                </c:pt>
                <c:pt idx="1382">
                  <c:v>31-Jul-2025</c:v>
                </c:pt>
                <c:pt idx="1383">
                  <c:v>01-Aug-2025</c:v>
                </c:pt>
                <c:pt idx="1384">
                  <c:v>04-Aug-2025</c:v>
                </c:pt>
                <c:pt idx="1385">
                  <c:v>05-Aug-2025</c:v>
                </c:pt>
                <c:pt idx="1386">
                  <c:v>06-Aug-2025</c:v>
                </c:pt>
                <c:pt idx="1387">
                  <c:v>07-Aug-2025</c:v>
                </c:pt>
                <c:pt idx="1388">
                  <c:v>08-Aug-2025</c:v>
                </c:pt>
                <c:pt idx="1389">
                  <c:v>11-Aug-2025</c:v>
                </c:pt>
                <c:pt idx="1390">
                  <c:v>12-Aug-2025</c:v>
                </c:pt>
                <c:pt idx="1391">
                  <c:v>13-Aug-2025</c:v>
                </c:pt>
                <c:pt idx="1392">
                  <c:v>14-Aug-2025</c:v>
                </c:pt>
                <c:pt idx="1393">
                  <c:v>18-Aug-2025</c:v>
                </c:pt>
                <c:pt idx="1394">
                  <c:v>19-Aug-2025</c:v>
                </c:pt>
                <c:pt idx="1395">
                  <c:v>20-Aug-2025</c:v>
                </c:pt>
                <c:pt idx="1396">
                  <c:v>21-Aug-2025</c:v>
                </c:pt>
                <c:pt idx="1397">
                  <c:v>22-Aug-2025</c:v>
                </c:pt>
                <c:pt idx="1398">
                  <c:v>25-Aug-2025</c:v>
                </c:pt>
                <c:pt idx="1399">
                  <c:v>26-Aug-2025</c:v>
                </c:pt>
                <c:pt idx="1400">
                  <c:v>28-Aug-2025</c:v>
                </c:pt>
                <c:pt idx="1401">
                  <c:v>29-Aug-2025</c:v>
                </c:pt>
                <c:pt idx="1402">
                  <c:v>01-Sep-2025</c:v>
                </c:pt>
                <c:pt idx="1403">
                  <c:v>02-Sep-2025</c:v>
                </c:pt>
                <c:pt idx="1404">
                  <c:v>03-Sep-2025</c:v>
                </c:pt>
                <c:pt idx="1405">
                  <c:v>04-Sep-2025</c:v>
                </c:pt>
                <c:pt idx="1406">
                  <c:v>05-Sep-2025</c:v>
                </c:pt>
                <c:pt idx="1407">
                  <c:v>08-Sep-2025</c:v>
                </c:pt>
                <c:pt idx="1408">
                  <c:v>09-Sep-2025</c:v>
                </c:pt>
                <c:pt idx="1409">
                  <c:v>10-Sep-2025</c:v>
                </c:pt>
                <c:pt idx="1410">
                  <c:v>11-Sep-2025</c:v>
                </c:pt>
                <c:pt idx="1411">
                  <c:v>12-Sep-2025</c:v>
                </c:pt>
                <c:pt idx="1412">
                  <c:v>15-Sep-2025</c:v>
                </c:pt>
                <c:pt idx="1413">
                  <c:v>16-Sep-2025</c:v>
                </c:pt>
                <c:pt idx="1414">
                  <c:v>17-Sep-2025</c:v>
                </c:pt>
                <c:pt idx="1415">
                  <c:v>18-Sep-2025</c:v>
                </c:pt>
                <c:pt idx="1416">
                  <c:v>19-Sep-2025</c:v>
                </c:pt>
                <c:pt idx="1417">
                  <c:v>22-Sep-2025</c:v>
                </c:pt>
                <c:pt idx="1418">
                  <c:v>23-Sep-2025</c:v>
                </c:pt>
                <c:pt idx="1419">
                  <c:v>24-Sep-2025</c:v>
                </c:pt>
                <c:pt idx="1420">
                  <c:v>25-Sep-2025</c:v>
                </c:pt>
                <c:pt idx="1421">
                  <c:v>26-Sep-2025</c:v>
                </c:pt>
                <c:pt idx="1422">
                  <c:v>29-Sep-2025</c:v>
                </c:pt>
                <c:pt idx="1423">
                  <c:v>30-Sep-2025</c:v>
                </c:pt>
                <c:pt idx="1424">
                  <c:v>01-Oct-2025</c:v>
                </c:pt>
                <c:pt idx="1425">
                  <c:v>03-Oct-2025</c:v>
                </c:pt>
                <c:pt idx="1426">
                  <c:v>06-Oct-2025</c:v>
                </c:pt>
                <c:pt idx="1427">
                  <c:v>07-Oct-2025</c:v>
                </c:pt>
                <c:pt idx="1428">
                  <c:v>08-Oct-2025</c:v>
                </c:pt>
                <c:pt idx="1429">
                  <c:v>09-Oct-2025</c:v>
                </c:pt>
                <c:pt idx="1430">
                  <c:v>10-Oct-2025</c:v>
                </c:pt>
                <c:pt idx="1431">
                  <c:v>13-Oct-2025</c:v>
                </c:pt>
                <c:pt idx="1432">
                  <c:v>14-Oct-2025</c:v>
                </c:pt>
                <c:pt idx="1433">
                  <c:v>15-Oct-2025</c:v>
                </c:pt>
                <c:pt idx="1434">
                  <c:v>16-Oct-2025</c:v>
                </c:pt>
                <c:pt idx="1435">
                  <c:v>17-Oct-2025</c:v>
                </c:pt>
                <c:pt idx="1436">
                  <c:v>20-Oct-2025</c:v>
                </c:pt>
                <c:pt idx="1437">
                  <c:v>21-Oct-2025</c:v>
                </c:pt>
                <c:pt idx="1438">
                  <c:v>23-Oct-2025</c:v>
                </c:pt>
                <c:pt idx="1439">
                  <c:v>24-Oct-2025</c:v>
                </c:pt>
                <c:pt idx="1440">
                  <c:v>27-Oct-2025</c:v>
                </c:pt>
                <c:pt idx="1441">
                  <c:v>28-Oct-2025</c:v>
                </c:pt>
                <c:pt idx="1442">
                  <c:v>29-Oct-2025</c:v>
                </c:pt>
                <c:pt idx="1443">
                  <c:v>30-Oct-2025</c:v>
                </c:pt>
                <c:pt idx="1444">
                  <c:v>31-Oct-2025</c:v>
                </c:pt>
                <c:pt idx="1445">
                  <c:v>03-Nov-2025</c:v>
                </c:pt>
                <c:pt idx="1446">
                  <c:v>04-Nov-2025</c:v>
                </c:pt>
                <c:pt idx="1447">
                  <c:v>06-Nov-2025</c:v>
                </c:pt>
                <c:pt idx="1448">
                  <c:v>07-Nov-2025</c:v>
                </c:pt>
                <c:pt idx="1449">
                  <c:v>10-Nov-2025</c:v>
                </c:pt>
                <c:pt idx="1450">
                  <c:v>11-Nov-2025</c:v>
                </c:pt>
                <c:pt idx="1451">
                  <c:v>12-Nov-2025</c:v>
                </c:pt>
                <c:pt idx="1452">
                  <c:v>13-Nov-2025</c:v>
                </c:pt>
                <c:pt idx="1453">
                  <c:v>14-Nov-2025</c:v>
                </c:pt>
                <c:pt idx="1454">
                  <c:v>17-Nov-2025</c:v>
                </c:pt>
                <c:pt idx="1455">
                  <c:v>18-Nov-2025</c:v>
                </c:pt>
                <c:pt idx="1456">
                  <c:v>19-Nov-2025</c:v>
                </c:pt>
                <c:pt idx="1457">
                  <c:v>20-Nov-2025</c:v>
                </c:pt>
                <c:pt idx="1458">
                  <c:v>21-Nov-2025</c:v>
                </c:pt>
                <c:pt idx="1459">
                  <c:v>24-Nov-2025</c:v>
                </c:pt>
                <c:pt idx="1460">
                  <c:v>25-Nov-2025</c:v>
                </c:pt>
                <c:pt idx="1461">
                  <c:v>26-Nov-2025</c:v>
                </c:pt>
                <c:pt idx="1462">
                  <c:v>27-Nov-2025</c:v>
                </c:pt>
                <c:pt idx="1463">
                  <c:v>28-Nov-2025</c:v>
                </c:pt>
                <c:pt idx="1464">
                  <c:v>01-Dec-2025</c:v>
                </c:pt>
                <c:pt idx="1465">
                  <c:v>02-Dec-2025</c:v>
                </c:pt>
                <c:pt idx="1466">
                  <c:v>03-Dec-2025</c:v>
                </c:pt>
                <c:pt idx="1467">
                  <c:v>04-Dec-2025</c:v>
                </c:pt>
                <c:pt idx="1468">
                  <c:v>05-Dec-2025</c:v>
                </c:pt>
                <c:pt idx="1469">
                  <c:v>08-Dec-2025</c:v>
                </c:pt>
                <c:pt idx="1470">
                  <c:v>09-Dec-2025</c:v>
                </c:pt>
                <c:pt idx="1471">
                  <c:v>10-Dec-2025</c:v>
                </c:pt>
                <c:pt idx="1472">
                  <c:v>11-Dec-2025</c:v>
                </c:pt>
                <c:pt idx="1473">
                  <c:v>12-Dec-2025</c:v>
                </c:pt>
                <c:pt idx="1474">
                  <c:v>15-Dec-2025</c:v>
                </c:pt>
                <c:pt idx="1475">
                  <c:v>16-Dec-2025</c:v>
                </c:pt>
                <c:pt idx="1476">
                  <c:v>17-Dec-2025</c:v>
                </c:pt>
                <c:pt idx="1477">
                  <c:v>18-Dec-2025</c:v>
                </c:pt>
                <c:pt idx="1478">
                  <c:v>19-Dec-2025</c:v>
                </c:pt>
                <c:pt idx="1479">
                  <c:v>22-Dec-2025</c:v>
                </c:pt>
                <c:pt idx="1480">
                  <c:v>23-Dec-2025</c:v>
                </c:pt>
                <c:pt idx="1481">
                  <c:v>24-Dec-2025</c:v>
                </c:pt>
                <c:pt idx="1482">
                  <c:v>26-Dec-2025</c:v>
                </c:pt>
                <c:pt idx="1483">
                  <c:v>29-Dec-2025</c:v>
                </c:pt>
                <c:pt idx="1484">
                  <c:v>30-Dec-2025</c:v>
                </c:pt>
                <c:pt idx="1485">
                  <c:v>31-Dec-2025</c:v>
                </c:pt>
                <c:pt idx="1486">
                  <c:v>01-Jan-2026</c:v>
                </c:pt>
                <c:pt idx="1487">
                  <c:v>02-Jan-2026</c:v>
                </c:pt>
                <c:pt idx="1488">
                  <c:v>05-Jan-2026</c:v>
                </c:pt>
                <c:pt idx="1489">
                  <c:v>06-Jan-2026</c:v>
                </c:pt>
                <c:pt idx="1490">
                  <c:v>07-Jan-2026</c:v>
                </c:pt>
                <c:pt idx="1491">
                  <c:v>08-Jan-2026</c:v>
                </c:pt>
                <c:pt idx="1492">
                  <c:v>09-Jan-2026</c:v>
                </c:pt>
                <c:pt idx="1493">
                  <c:v>12-Jan-2026</c:v>
                </c:pt>
                <c:pt idx="1494">
                  <c:v>13-Jan-2026</c:v>
                </c:pt>
                <c:pt idx="1495">
                  <c:v>14-Jan-2026</c:v>
                </c:pt>
                <c:pt idx="1496">
                  <c:v>16-Jan-2026</c:v>
                </c:pt>
                <c:pt idx="1497">
                  <c:v>19-Jan-2026</c:v>
                </c:pt>
                <c:pt idx="1498">
                  <c:v>20-Jan-2026</c:v>
                </c:pt>
                <c:pt idx="1499">
                  <c:v>21-Jan-2026</c:v>
                </c:pt>
                <c:pt idx="1500">
                  <c:v>22-Jan-2026</c:v>
                </c:pt>
                <c:pt idx="1501">
                  <c:v>23-Jan-2026</c:v>
                </c:pt>
                <c:pt idx="1502">
                  <c:v>27-Jan-2026</c:v>
                </c:pt>
                <c:pt idx="1503">
                  <c:v>28-Jan-2026</c:v>
                </c:pt>
                <c:pt idx="1504">
                  <c:v>29-Jan-2026</c:v>
                </c:pt>
                <c:pt idx="1505">
                  <c:v>30-Jan-2026</c:v>
                </c:pt>
                <c:pt idx="1506">
                  <c:v>02-Feb-2026</c:v>
                </c:pt>
                <c:pt idx="1507">
                  <c:v>03-Feb-2026</c:v>
                </c:pt>
                <c:pt idx="1508">
                  <c:v>04-Feb-2026</c:v>
                </c:pt>
                <c:pt idx="1509">
                  <c:v>05-Feb-2026</c:v>
                </c:pt>
                <c:pt idx="1510">
                  <c:v>06-Feb-2026</c:v>
                </c:pt>
                <c:pt idx="1511">
                  <c:v>09-Feb-2026</c:v>
                </c:pt>
                <c:pt idx="1512">
                  <c:v>10-Feb-2026</c:v>
                </c:pt>
                <c:pt idx="1513">
                  <c:v>11-Feb-2026</c:v>
                </c:pt>
                <c:pt idx="1514">
                  <c:v>12-Feb-2026</c:v>
                </c:pt>
                <c:pt idx="1515">
                  <c:v>13-Feb-2026</c:v>
                </c:pt>
                <c:pt idx="1516">
                  <c:v>16-Feb-2026</c:v>
                </c:pt>
                <c:pt idx="1517">
                  <c:v>17-Feb-2026</c:v>
                </c:pt>
                <c:pt idx="1518">
                  <c:v>18-Feb-2026</c:v>
                </c:pt>
                <c:pt idx="1519">
                  <c:v>19-Feb-2026</c:v>
                </c:pt>
                <c:pt idx="1520">
                  <c:v>20-Feb-2026</c:v>
                </c:pt>
                <c:pt idx="1521">
                  <c:v>23-Feb-2026</c:v>
                </c:pt>
                <c:pt idx="1522">
                  <c:v>24-Feb-2026</c:v>
                </c:pt>
                <c:pt idx="1523">
                  <c:v>25-Feb-2026</c:v>
                </c:pt>
                <c:pt idx="1524">
                  <c:v>26-Feb-2026</c:v>
                </c:pt>
                <c:pt idx="1525">
                  <c:v>27-Feb-2026</c:v>
                </c:pt>
                <c:pt idx="1526">
                  <c:v>02-Mar-2026</c:v>
                </c:pt>
                <c:pt idx="1527">
                  <c:v>04-Mar-2026</c:v>
                </c:pt>
                <c:pt idx="1528">
                  <c:v>05-Mar-2026</c:v>
                </c:pt>
                <c:pt idx="1529">
                  <c:v>06-Mar-2026</c:v>
                </c:pt>
                <c:pt idx="1530">
                  <c:v>09-Mar-2026</c:v>
                </c:pt>
                <c:pt idx="1531">
                  <c:v>10-Mar-2026</c:v>
                </c:pt>
                <c:pt idx="1532">
                  <c:v>11-Mar-2026</c:v>
                </c:pt>
                <c:pt idx="1533">
                  <c:v>12-Mar-2026</c:v>
                </c:pt>
                <c:pt idx="1534">
                  <c:v>13-Mar-2026</c:v>
                </c:pt>
                <c:pt idx="1535">
                  <c:v>16-Mar-2026</c:v>
                </c:pt>
                <c:pt idx="1536">
                  <c:v>17-Mar-2026</c:v>
                </c:pt>
                <c:pt idx="1537">
                  <c:v>18-Mar-2026</c:v>
                </c:pt>
                <c:pt idx="1538">
                  <c:v>19-Mar-2026</c:v>
                </c:pt>
                <c:pt idx="1539">
                  <c:v>20-Mar-2026</c:v>
                </c:pt>
                <c:pt idx="1540">
                  <c:v>23-Mar-2026</c:v>
                </c:pt>
                <c:pt idx="1541">
                  <c:v>24-Mar-2026</c:v>
                </c:pt>
                <c:pt idx="1542">
                  <c:v>25-Mar-2026</c:v>
                </c:pt>
                <c:pt idx="1543">
                  <c:v>27-Mar-2026</c:v>
                </c:pt>
                <c:pt idx="1544">
                  <c:v>30-Mar-2026</c:v>
                </c:pt>
                <c:pt idx="1545">
                  <c:v>01-Apr-2026</c:v>
                </c:pt>
                <c:pt idx="1546">
                  <c:v>02-Apr-2026</c:v>
                </c:pt>
                <c:pt idx="1547">
                  <c:v>06-Apr-2026</c:v>
                </c:pt>
                <c:pt idx="1548">
                  <c:v>07-Apr-2026</c:v>
                </c:pt>
                <c:pt idx="1549">
                  <c:v>08-Apr-2026</c:v>
                </c:pt>
                <c:pt idx="1550">
                  <c:v>09-Apr-2026</c:v>
                </c:pt>
                <c:pt idx="1551">
                  <c:v>10-Apr-2026</c:v>
                </c:pt>
                <c:pt idx="1552">
                  <c:v>13-Apr-2026</c:v>
                </c:pt>
                <c:pt idx="1553">
                  <c:v>15-Apr-2026</c:v>
                </c:pt>
                <c:pt idx="1554">
                  <c:v>16-Apr-2026</c:v>
                </c:pt>
                <c:pt idx="1555">
                  <c:v>17-Apr-2026</c:v>
                </c:pt>
                <c:pt idx="1556">
                  <c:v>20-Apr-2026</c:v>
                </c:pt>
                <c:pt idx="1557">
                  <c:v>21-Apr-2026</c:v>
                </c:pt>
                <c:pt idx="1558">
                  <c:v>22-Apr-2026</c:v>
                </c:pt>
                <c:pt idx="1559">
                  <c:v>23-Apr-2026</c:v>
                </c:pt>
                <c:pt idx="1560">
                  <c:v>24-Apr-2026</c:v>
                </c:pt>
                <c:pt idx="1561">
                  <c:v>27-Apr-2026</c:v>
                </c:pt>
                <c:pt idx="1562">
                  <c:v>28-Apr-2026</c:v>
                </c:pt>
                <c:pt idx="1563">
                  <c:v>29-Apr-2026</c:v>
                </c:pt>
                <c:pt idx="1564">
                  <c:v>30-Apr-2026</c:v>
                </c:pt>
                <c:pt idx="1565">
                  <c:v>04-May-2026</c:v>
                </c:pt>
                <c:pt idx="1566">
                  <c:v>05-May-2026</c:v>
                </c:pt>
                <c:pt idx="1567">
                  <c:v>06-May-2026</c:v>
                </c:pt>
                <c:pt idx="1568">
                  <c:v>07-May-2026</c:v>
                </c:pt>
                <c:pt idx="1569">
                  <c:v>08-May-2026</c:v>
                </c:pt>
                <c:pt idx="1570">
                  <c:v>11-May-2026</c:v>
                </c:pt>
                <c:pt idx="1571">
                  <c:v>12-May-2026</c:v>
                </c:pt>
                <c:pt idx="1572">
                  <c:v>13-May-2026</c:v>
                </c:pt>
                <c:pt idx="1573">
                  <c:v>14-May-2026</c:v>
                </c:pt>
                <c:pt idx="1574">
                  <c:v>15-May-2026</c:v>
                </c:pt>
                <c:pt idx="1575">
                  <c:v>18-May-2026</c:v>
                </c:pt>
                <c:pt idx="1576">
                  <c:v>19-May-2026</c:v>
                </c:pt>
                <c:pt idx="1577">
                  <c:v>20-May-2026</c:v>
                </c:pt>
                <c:pt idx="1578">
                  <c:v>21-May-2026</c:v>
                </c:pt>
                <c:pt idx="1579">
                  <c:v>22-May-2026</c:v>
                </c:pt>
                <c:pt idx="1580">
                  <c:v>25-May-2026</c:v>
                </c:pt>
                <c:pt idx="1581">
                  <c:v>26-May-2026</c:v>
                </c:pt>
                <c:pt idx="1582">
                  <c:v>27-May-2026</c:v>
                </c:pt>
                <c:pt idx="1583">
                  <c:v>29-May-2026</c:v>
                </c:pt>
                <c:pt idx="1584">
                  <c:v>01-Jun-2026</c:v>
                </c:pt>
                <c:pt idx="1585">
                  <c:v>02-Jun-2026</c:v>
                </c:pt>
                <c:pt idx="1586">
                  <c:v>03-Jun-2026</c:v>
                </c:pt>
                <c:pt idx="1587">
                  <c:v>04-Jun-2026</c:v>
                </c:pt>
                <c:pt idx="1588">
                  <c:v>05-Jun-2026</c:v>
                </c:pt>
                <c:pt idx="1589">
                  <c:v>08-Jun-2026</c:v>
                </c:pt>
                <c:pt idx="1590">
                  <c:v>09-Jun-2026</c:v>
                </c:pt>
                <c:pt idx="1591">
                  <c:v>10-Jun-2026</c:v>
                </c:pt>
                <c:pt idx="1592">
                  <c:v>11-Jun-2026</c:v>
                </c:pt>
                <c:pt idx="1593">
                  <c:v>12-Jun-2026</c:v>
                </c:pt>
                <c:pt idx="1594">
                  <c:v>15-Jun-2026</c:v>
                </c:pt>
                <c:pt idx="1595">
                  <c:v>16-Jun-2026</c:v>
                </c:pt>
                <c:pt idx="1596">
                  <c:v>17-Jun-2026</c:v>
                </c:pt>
                <c:pt idx="1597">
                  <c:v>18-Jun-2026</c:v>
                </c:pt>
                <c:pt idx="1598">
                  <c:v>19-Jun-2026</c:v>
                </c:pt>
                <c:pt idx="1599">
                  <c:v>22-Jun-2026</c:v>
                </c:pt>
                <c:pt idx="1600">
                  <c:v>23-Jun-2026</c:v>
                </c:pt>
                <c:pt idx="1601">
                  <c:v>24-Jun-2026</c:v>
                </c:pt>
                <c:pt idx="1602">
                  <c:v>25-Jun-2026</c:v>
                </c:pt>
                <c:pt idx="1603">
                  <c:v>29-Jun-2026</c:v>
                </c:pt>
                <c:pt idx="1604">
                  <c:v>30-Jun-2026</c:v>
                </c:pt>
                <c:pt idx="1605">
                  <c:v>01-Jul-2026</c:v>
                </c:pt>
                <c:pt idx="1606">
                  <c:v>02-Jul-2026</c:v>
                </c:pt>
                <c:pt idx="1607">
                  <c:v>03-Jul-2026</c:v>
                </c:pt>
                <c:pt idx="1608">
                  <c:v>06-Jul-2026</c:v>
                </c:pt>
                <c:pt idx="1609">
                  <c:v>07-Jul-2026</c:v>
                </c:pt>
                <c:pt idx="1610">
                  <c:v>08-Jul-2026</c:v>
                </c:pt>
                <c:pt idx="1611">
                  <c:v>09-Jul-2026</c:v>
                </c:pt>
                <c:pt idx="1612">
                  <c:v>10-Jul-2026</c:v>
                </c:pt>
                <c:pt idx="1613">
                  <c:v>13-Jul-2026</c:v>
                </c:pt>
                <c:pt idx="1614">
                  <c:v>14-Jul-2026</c:v>
                </c:pt>
                <c:pt idx="1615">
                  <c:v>15-Jul-2026</c:v>
                </c:pt>
                <c:pt idx="1616">
                  <c:v>16-Jul-2026</c:v>
                </c:pt>
                <c:pt idx="1617">
                  <c:v>17-Jul-2026</c:v>
                </c:pt>
                <c:pt idx="1618">
                  <c:v>20-Jul-2026</c:v>
                </c:pt>
                <c:pt idx="1619">
                  <c:v>21-Jul-2026</c:v>
                </c:pt>
                <c:pt idx="1620">
                  <c:v>22-Jul-2026</c:v>
                </c:pt>
                <c:pt idx="1621">
                  <c:v>23-Jul-2026</c:v>
                </c:pt>
                <c:pt idx="1622">
                  <c:v>24-Jul-2026</c:v>
                </c:pt>
                <c:pt idx="1623">
                  <c:v>27-Jul-2026</c:v>
                </c:pt>
                <c:pt idx="1624">
                  <c:v>28-Jul-2026</c:v>
                </c:pt>
                <c:pt idx="1625">
                  <c:v>29-Jul-2026</c:v>
                </c:pt>
                <c:pt idx="1626">
                  <c:v>30-Jul-2026</c:v>
                </c:pt>
                <c:pt idx="1627">
                  <c:v>31-Jul-2026</c:v>
                </c:pt>
                <c:pt idx="1628">
                  <c:v>03-Aug-2026</c:v>
                </c:pt>
                <c:pt idx="1629">
                  <c:v>04-Aug-2026</c:v>
                </c:pt>
                <c:pt idx="1630">
                  <c:v>05-Aug-2026</c:v>
                </c:pt>
                <c:pt idx="1631">
                  <c:v>06-Aug-2026</c:v>
                </c:pt>
                <c:pt idx="1632">
                  <c:v>07-Aug-2026</c:v>
                </c:pt>
                <c:pt idx="1633">
                  <c:v>10-Aug-2026</c:v>
                </c:pt>
                <c:pt idx="1634">
                  <c:v>11-Aug-2026</c:v>
                </c:pt>
                <c:pt idx="1635">
                  <c:v>12-Aug-2026</c:v>
                </c:pt>
                <c:pt idx="1636">
                  <c:v>13-Aug-2026</c:v>
                </c:pt>
                <c:pt idx="1637">
                  <c:v>14-Aug-2026</c:v>
                </c:pt>
                <c:pt idx="1638">
                  <c:v>17-Aug-2026</c:v>
                </c:pt>
                <c:pt idx="1639">
                  <c:v>18-Aug-2026</c:v>
                </c:pt>
                <c:pt idx="1640">
                  <c:v>19-Aug-2026</c:v>
                </c:pt>
                <c:pt idx="1641">
                  <c:v>20-Aug-2026</c:v>
                </c:pt>
                <c:pt idx="1642">
                  <c:v>21-Aug-2026</c:v>
                </c:pt>
                <c:pt idx="1643">
                  <c:v>24-Aug-2026</c:v>
                </c:pt>
                <c:pt idx="1644">
                  <c:v>25-Aug-2026</c:v>
                </c:pt>
                <c:pt idx="1645">
                  <c:v>26-Aug-2026</c:v>
                </c:pt>
                <c:pt idx="1646">
                  <c:v>27-Aug-2026</c:v>
                </c:pt>
                <c:pt idx="1647">
                  <c:v>28-Aug-2026</c:v>
                </c:pt>
                <c:pt idx="1648">
                  <c:v>31-Aug-2026</c:v>
                </c:pt>
                <c:pt idx="1649">
                  <c:v>01-Sep-2026</c:v>
                </c:pt>
                <c:pt idx="1650">
                  <c:v>02-Sep-2026</c:v>
                </c:pt>
                <c:pt idx="1651">
                  <c:v>03-Sep-2026</c:v>
                </c:pt>
                <c:pt idx="1652">
                  <c:v>04-Sep-2026</c:v>
                </c:pt>
                <c:pt idx="1653">
                  <c:v>07-Sep-2026</c:v>
                </c:pt>
                <c:pt idx="1654">
                  <c:v>08-Sep-2026</c:v>
                </c:pt>
                <c:pt idx="1655">
                  <c:v>09-Sep-2026</c:v>
                </c:pt>
                <c:pt idx="1656">
                  <c:v>10-Sep-2026</c:v>
                </c:pt>
                <c:pt idx="1657">
                  <c:v>11-Sep-2026</c:v>
                </c:pt>
                <c:pt idx="1658">
                  <c:v>15-Sep-2026</c:v>
                </c:pt>
                <c:pt idx="1659">
                  <c:v>16-Sep-2026</c:v>
                </c:pt>
                <c:pt idx="1660">
                  <c:v>17-Sep-2026</c:v>
                </c:pt>
                <c:pt idx="1661">
                  <c:v>18-Sep-2026</c:v>
                </c:pt>
                <c:pt idx="1662">
                  <c:v>21-Sep-2026</c:v>
                </c:pt>
                <c:pt idx="1663">
                  <c:v>22-Sep-2026</c:v>
                </c:pt>
                <c:pt idx="1664">
                  <c:v>23-Sep-2026</c:v>
                </c:pt>
                <c:pt idx="1665">
                  <c:v>24-Sep-2026</c:v>
                </c:pt>
                <c:pt idx="1666">
                  <c:v>25-Sep-2026</c:v>
                </c:pt>
                <c:pt idx="1667">
                  <c:v>28-Sep-2026</c:v>
                </c:pt>
              </c:numCache>
            </c:numRef>
          </c:cat>
          <c:val>
            <c:numRef>
              <c:f>Data!$H$44:$H$1711</c:f>
              <c:numCache>
                <c:formatCode>0.0\x</c:formatCode>
                <c:ptCount val="1668"/>
                <c:pt idx="0">
                  <c:v>18.2797017758319</c:v>
                </c:pt>
                <c:pt idx="1">
                  <c:v>18.4094589802218</c:v>
                </c:pt>
                <c:pt idx="2">
                  <c:v>18.3118504436673</c:v>
                </c:pt>
                <c:pt idx="3">
                  <c:v>17.9458579580364</c:v>
                </c:pt>
                <c:pt idx="4">
                  <c:v>17.9350706542802</c:v>
                </c:pt>
                <c:pt idx="5">
                  <c:v>17.8910715658013</c:v>
                </c:pt>
                <c:pt idx="6">
                  <c:v>18.1516257702437</c:v>
                </c:pt>
                <c:pt idx="7">
                  <c:v>18.2027762633264</c:v>
                </c:pt>
                <c:pt idx="8">
                  <c:v>18.2425559026713</c:v>
                </c:pt>
                <c:pt idx="9">
                  <c:v>18.2734511200417</c:v>
                </c:pt>
                <c:pt idx="10">
                  <c:v>18.2240980034218</c:v>
                </c:pt>
                <c:pt idx="11">
                  <c:v>18.2277834349186</c:v>
                </c:pt>
                <c:pt idx="12">
                  <c:v>18.2147451078723</c:v>
                </c:pt>
                <c:pt idx="13">
                  <c:v>18.0262915403498</c:v>
                </c:pt>
                <c:pt idx="14">
                  <c:v>17.9201299805755</c:v>
                </c:pt>
                <c:pt idx="15">
                  <c:v>17.8232240805104</c:v>
                </c:pt>
                <c:pt idx="16">
                  <c:v>17.9295682106081</c:v>
                </c:pt>
                <c:pt idx="17">
                  <c:v>18.0134878331546</c:v>
                </c:pt>
                <c:pt idx="18">
                  <c:v>17.8142198728338</c:v>
                </c:pt>
                <c:pt idx="19">
                  <c:v>17.7067473266221</c:v>
                </c:pt>
                <c:pt idx="20">
                  <c:v>17.7753758536934</c:v>
                </c:pt>
                <c:pt idx="21">
                  <c:v>17.6293801882075</c:v>
                </c:pt>
                <c:pt idx="22">
                  <c:v>17.4739254698983</c:v>
                </c:pt>
                <c:pt idx="23">
                  <c:v>17.093958777305</c:v>
                </c:pt>
                <c:pt idx="24">
                  <c:v>17.474919540135</c:v>
                </c:pt>
                <c:pt idx="25">
                  <c:v>17.6287763219293</c:v>
                </c:pt>
                <c:pt idx="26">
                  <c:v>17.6929155851574</c:v>
                </c:pt>
                <c:pt idx="27">
                  <c:v>17.6240135438851</c:v>
                </c:pt>
                <c:pt idx="28">
                  <c:v>17.4746546428156</c:v>
                </c:pt>
                <c:pt idx="29">
                  <c:v>17.5750162434911</c:v>
                </c:pt>
                <c:pt idx="30">
                  <c:v>17.7064169320427</c:v>
                </c:pt>
                <c:pt idx="31">
                  <c:v>17.6719060703193</c:v>
                </c:pt>
                <c:pt idx="32">
                  <c:v>17.5830722515644</c:v>
                </c:pt>
                <c:pt idx="33">
                  <c:v>17.4809</c:v>
                </c:pt>
                <c:pt idx="34">
                  <c:v>17.3492249111525</c:v>
                </c:pt>
                <c:pt idx="35">
                  <c:v>17.5412713651116</c:v>
                </c:pt>
                <c:pt idx="36">
                  <c:v>17.4712470473484</c:v>
                </c:pt>
                <c:pt idx="37">
                  <c:v>17.0584578369509</c:v>
                </c:pt>
                <c:pt idx="38">
                  <c:v>17.0043194054298</c:v>
                </c:pt>
                <c:pt idx="39">
                  <c:v>16.8322281233365</c:v>
                </c:pt>
                <c:pt idx="40">
                  <c:v>16.7670813398305</c:v>
                </c:pt>
                <c:pt idx="41">
                  <c:v>16.1450881004054</c:v>
                </c:pt>
                <c:pt idx="42">
                  <c:v>16.0456383645223</c:v>
                </c:pt>
                <c:pt idx="43">
                  <c:v>16.2914521682159</c:v>
                </c:pt>
                <c:pt idx="44">
                  <c:v>16.2160721510176</c:v>
                </c:pt>
                <c:pt idx="45">
                  <c:v>16.2382369143734</c:v>
                </c:pt>
                <c:pt idx="46">
                  <c:v>15.8391</c:v>
                </c:pt>
                <c:pt idx="47">
                  <c:v>15.0714</c:v>
                </c:pt>
                <c:pt idx="48">
                  <c:v>15.0845863387978</c:v>
                </c:pt>
                <c:pt idx="49">
                  <c:v>13.8322731657827</c:v>
                </c:pt>
                <c:pt idx="50">
                  <c:v>14.5088248635782</c:v>
                </c:pt>
                <c:pt idx="51">
                  <c:v>13.4682795046332</c:v>
                </c:pt>
                <c:pt idx="52">
                  <c:v>13.1309648087526</c:v>
                </c:pt>
                <c:pt idx="53">
                  <c:v>12.40928639833</c:v>
                </c:pt>
                <c:pt idx="54">
                  <c:v>12.1997862843163</c:v>
                </c:pt>
                <c:pt idx="55">
                  <c:v>12.9636400936291</c:v>
                </c:pt>
                <c:pt idx="56">
                  <c:v>11.4176876815675</c:v>
                </c:pt>
                <c:pt idx="57">
                  <c:v>11.7713633597347</c:v>
                </c:pt>
                <c:pt idx="58">
                  <c:v>12.5529051214006</c:v>
                </c:pt>
                <c:pt idx="59">
                  <c:v>13.0611373796903</c:v>
                </c:pt>
                <c:pt idx="60">
                  <c:v>13.1118245604058</c:v>
                </c:pt>
                <c:pt idx="61">
                  <c:v>12.7006682886127</c:v>
                </c:pt>
                <c:pt idx="62">
                  <c:v>13.236076807429</c:v>
                </c:pt>
                <c:pt idx="63">
                  <c:v>12.7407</c:v>
                </c:pt>
                <c:pt idx="64">
                  <c:v>12.4782852334682</c:v>
                </c:pt>
                <c:pt idx="65">
                  <c:v>13.7991073008336</c:v>
                </c:pt>
                <c:pt idx="66">
                  <c:v>13.7895386198012</c:v>
                </c:pt>
                <c:pt idx="67">
                  <c:v>14.3619256407791</c:v>
                </c:pt>
                <c:pt idx="68">
                  <c:v>14.3102631631218</c:v>
                </c:pt>
                <c:pt idx="69">
                  <c:v>14.241618472623</c:v>
                </c:pt>
                <c:pt idx="70">
                  <c:v>14.3659927811398</c:v>
                </c:pt>
                <c:pt idx="71">
                  <c:v>14.8122888366008</c:v>
                </c:pt>
                <c:pt idx="72">
                  <c:v>14.889838982853</c:v>
                </c:pt>
                <c:pt idx="73">
                  <c:v>14.470447201811</c:v>
                </c:pt>
                <c:pt idx="74">
                  <c:v>14.8116</c:v>
                </c:pt>
                <c:pt idx="75">
                  <c:v>15.049712953066</c:v>
                </c:pt>
                <c:pt idx="76">
                  <c:v>14.8628</c:v>
                </c:pt>
                <c:pt idx="77">
                  <c:v>15.1755623953901</c:v>
                </c:pt>
                <c:pt idx="78">
                  <c:v>15.4620945760428</c:v>
                </c:pt>
                <c:pt idx="79">
                  <c:v>15.8051181130809</c:v>
                </c:pt>
                <c:pt idx="80">
                  <c:v>16.3416893069961</c:v>
                </c:pt>
                <c:pt idx="81">
                  <c:v>15.5304671013602</c:v>
                </c:pt>
                <c:pt idx="82">
                  <c:v>15.3911453859919</c:v>
                </c:pt>
                <c:pt idx="83">
                  <c:v>15.5003226035231</c:v>
                </c:pt>
                <c:pt idx="84">
                  <c:v>15.380194225581</c:v>
                </c:pt>
                <c:pt idx="85">
                  <c:v>15.468701754953</c:v>
                </c:pt>
                <c:pt idx="86">
                  <c:v>15.4532194886659</c:v>
                </c:pt>
                <c:pt idx="87">
                  <c:v>15.4162866583797</c:v>
                </c:pt>
                <c:pt idx="88">
                  <c:v>15.7747680486406</c:v>
                </c:pt>
                <c:pt idx="89">
                  <c:v>15.3900299704861</c:v>
                </c:pt>
                <c:pt idx="90">
                  <c:v>15.4272983330706</c:v>
                </c:pt>
                <c:pt idx="91">
                  <c:v>14.8977940994177</c:v>
                </c:pt>
                <c:pt idx="92">
                  <c:v>14.9734703891923</c:v>
                </c:pt>
                <c:pt idx="93">
                  <c:v>15.2706101532202</c:v>
                </c:pt>
                <c:pt idx="94">
                  <c:v>15.3565299108674</c:v>
                </c:pt>
                <c:pt idx="95">
                  <c:v>15.2625036481072</c:v>
                </c:pt>
                <c:pt idx="96">
                  <c:v>15.2511062663809</c:v>
                </c:pt>
                <c:pt idx="97">
                  <c:v>15.7400383768348</c:v>
                </c:pt>
                <c:pt idx="98">
                  <c:v>16.0560261630604</c:v>
                </c:pt>
                <c:pt idx="99">
                  <c:v>16.2289</c:v>
                </c:pt>
                <c:pt idx="100">
                  <c:v>16.6726954473951</c:v>
                </c:pt>
                <c:pt idx="101">
                  <c:v>16.9600616031219</c:v>
                </c:pt>
                <c:pt idx="102">
                  <c:v>17.0721146001983</c:v>
                </c:pt>
                <c:pt idx="103">
                  <c:v>17.0170544833399</c:v>
                </c:pt>
                <c:pt idx="104">
                  <c:v>17.237212837542</c:v>
                </c:pt>
                <c:pt idx="105">
                  <c:v>17.2910106888146</c:v>
                </c:pt>
                <c:pt idx="106">
                  <c:v>17.2093425634332</c:v>
                </c:pt>
                <c:pt idx="107">
                  <c:v>17.3283921280302</c:v>
                </c:pt>
                <c:pt idx="108">
                  <c:v>17.0806972520674</c:v>
                </c:pt>
                <c:pt idx="109">
                  <c:v>17.2266177511956</c:v>
                </c:pt>
                <c:pt idx="110">
                  <c:v>17.0685602244415</c:v>
                </c:pt>
                <c:pt idx="111">
                  <c:v>17.3601889963472</c:v>
                </c:pt>
                <c:pt idx="112">
                  <c:v>17.371654867307</c:v>
                </c:pt>
                <c:pt idx="113">
                  <c:v>17.7970198606542</c:v>
                </c:pt>
                <c:pt idx="114">
                  <c:v>18.0866507008694</c:v>
                </c:pt>
                <c:pt idx="115">
                  <c:v>18.2250151833529</c:v>
                </c:pt>
                <c:pt idx="116">
                  <c:v>18.5487939400987</c:v>
                </c:pt>
                <c:pt idx="117">
                  <c:v>18.2961263689101</c:v>
                </c:pt>
                <c:pt idx="118">
                  <c:v>18.291555218811</c:v>
                </c:pt>
                <c:pt idx="119">
                  <c:v>18.4836824397964</c:v>
                </c:pt>
                <c:pt idx="120">
                  <c:v>18.3583314504493</c:v>
                </c:pt>
                <c:pt idx="121">
                  <c:v>18.3403250941827</c:v>
                </c:pt>
                <c:pt idx="122">
                  <c:v>18.6003301462462</c:v>
                </c:pt>
                <c:pt idx="123">
                  <c:v>18.8499845842741</c:v>
                </c:pt>
                <c:pt idx="124">
                  <c:v>19.0112700538348</c:v>
                </c:pt>
                <c:pt idx="125">
                  <c:v>19.3645661873292</c:v>
                </c:pt>
                <c:pt idx="126">
                  <c:v>19.4293327286738</c:v>
                </c:pt>
                <c:pt idx="127">
                  <c:v>19.2673699790539</c:v>
                </c:pt>
                <c:pt idx="128">
                  <c:v>19.4696960509832</c:v>
                </c:pt>
                <c:pt idx="129">
                  <c:v>19.4217798506189</c:v>
                </c:pt>
                <c:pt idx="130">
                  <c:v>19.498737671909</c:v>
                </c:pt>
                <c:pt idx="131">
                  <c:v>19.1319334975657</c:v>
                </c:pt>
                <c:pt idx="132">
                  <c:v>19.1515030864308</c:v>
                </c:pt>
                <c:pt idx="133">
                  <c:v>19.3854747108981</c:v>
                </c:pt>
                <c:pt idx="134">
                  <c:v>19.7157689944969</c:v>
                </c:pt>
                <c:pt idx="135">
                  <c:v>19.9365982865979</c:v>
                </c:pt>
                <c:pt idx="136">
                  <c:v>20.1902532491877</c:v>
                </c:pt>
                <c:pt idx="137">
                  <c:v>20.1422934044307</c:v>
                </c:pt>
                <c:pt idx="138">
                  <c:v>20.2921945064695</c:v>
                </c:pt>
                <c:pt idx="139">
                  <c:v>20.2663199246847</c:v>
                </c:pt>
                <c:pt idx="140">
                  <c:v>20.1555989920276</c:v>
                </c:pt>
                <c:pt idx="141">
                  <c:v>20.461143228351</c:v>
                </c:pt>
                <c:pt idx="142">
                  <c:v>20.2820707394714</c:v>
                </c:pt>
                <c:pt idx="143">
                  <c:v>20.0872</c:v>
                </c:pt>
                <c:pt idx="144">
                  <c:v>20.0352728831803</c:v>
                </c:pt>
                <c:pt idx="145">
                  <c:v>19.6975031032282</c:v>
                </c:pt>
                <c:pt idx="146">
                  <c:v>20.0267867435223</c:v>
                </c:pt>
                <c:pt idx="147">
                  <c:v>20.0383386630517</c:v>
                </c:pt>
                <c:pt idx="148">
                  <c:v>20.2161299245588</c:v>
                </c:pt>
                <c:pt idx="149">
                  <c:v>20.2412192497867</c:v>
                </c:pt>
                <c:pt idx="150">
                  <c:v>20.3058300046234</c:v>
                </c:pt>
                <c:pt idx="151">
                  <c:v>20.3841845884475</c:v>
                </c:pt>
                <c:pt idx="152">
                  <c:v>20.3588</c:v>
                </c:pt>
                <c:pt idx="153">
                  <c:v>20.3385196716115</c:v>
                </c:pt>
                <c:pt idx="154">
                  <c:v>20.1117127123256</c:v>
                </c:pt>
                <c:pt idx="155">
                  <c:v>20.2349459271362</c:v>
                </c:pt>
                <c:pt idx="156">
                  <c:v>20.4548206529234</c:v>
                </c:pt>
                <c:pt idx="157">
                  <c:v>20.4089329593021</c:v>
                </c:pt>
                <c:pt idx="158">
                  <c:v>20.1811634774973</c:v>
                </c:pt>
                <c:pt idx="159">
                  <c:v>20.2582938970124</c:v>
                </c:pt>
                <c:pt idx="160">
                  <c:v>20.4218</c:v>
                </c:pt>
                <c:pt idx="161">
                  <c:v>20.429200841047</c:v>
                </c:pt>
                <c:pt idx="162">
                  <c:v>20.5606992916335</c:v>
                </c:pt>
                <c:pt idx="163">
                  <c:v>20.4866807483776</c:v>
                </c:pt>
                <c:pt idx="164">
                  <c:v>20.6149490371961</c:v>
                </c:pt>
                <c:pt idx="165">
                  <c:v>20.1390532452563</c:v>
                </c:pt>
                <c:pt idx="166">
                  <c:v>20.2152246275147</c:v>
                </c:pt>
                <c:pt idx="167">
                  <c:v>20.3250056329441</c:v>
                </c:pt>
                <c:pt idx="168">
                  <c:v>20.3099795157037</c:v>
                </c:pt>
                <c:pt idx="169">
                  <c:v>19.9618128667517</c:v>
                </c:pt>
                <c:pt idx="170">
                  <c:v>19.9454</c:v>
                </c:pt>
                <c:pt idx="171">
                  <c:v>19.8080637022861</c:v>
                </c:pt>
                <c:pt idx="172">
                  <c:v>19.7052249390432</c:v>
                </c:pt>
                <c:pt idx="173">
                  <c:v>20.0044375450737</c:v>
                </c:pt>
                <c:pt idx="174">
                  <c:v>20.0152301586476</c:v>
                </c:pt>
                <c:pt idx="175">
                  <c:v>19.9621923092271</c:v>
                </c:pt>
                <c:pt idx="176">
                  <c:v>20.1048410932166</c:v>
                </c:pt>
                <c:pt idx="177">
                  <c:v>20.2492348164598</c:v>
                </c:pt>
                <c:pt idx="178">
                  <c:v>20.0698035356028</c:v>
                </c:pt>
                <c:pt idx="179">
                  <c:v>20.0503717566653</c:v>
                </c:pt>
                <c:pt idx="180">
                  <c:v>19.6070135000109</c:v>
                </c:pt>
                <c:pt idx="181">
                  <c:v>19.4381400131013</c:v>
                </c:pt>
                <c:pt idx="182">
                  <c:v>19.3928803042516</c:v>
                </c:pt>
                <c:pt idx="183">
                  <c:v>18.8176394249179</c:v>
                </c:pt>
                <c:pt idx="184">
                  <c:v>19.2411570078414</c:v>
                </c:pt>
                <c:pt idx="185">
                  <c:v>19.549280080496</c:v>
                </c:pt>
                <c:pt idx="186">
                  <c:v>19.4941928346024</c:v>
                </c:pt>
                <c:pt idx="187">
                  <c:v>19.5378803657714</c:v>
                </c:pt>
                <c:pt idx="188">
                  <c:v>19.8790611678433</c:v>
                </c:pt>
                <c:pt idx="189">
                  <c:v>19.9822251161894</c:v>
                </c:pt>
                <c:pt idx="190">
                  <c:v>20.258507495212</c:v>
                </c:pt>
                <c:pt idx="191">
                  <c:v>20.391307167493</c:v>
                </c:pt>
                <c:pt idx="192">
                  <c:v>20.5576324601142</c:v>
                </c:pt>
                <c:pt idx="193">
                  <c:v>20.6959039305336</c:v>
                </c:pt>
                <c:pt idx="194">
                  <c:v>20.7188352046588</c:v>
                </c:pt>
                <c:pt idx="195">
                  <c:v>20.725</c:v>
                </c:pt>
                <c:pt idx="196">
                  <c:v>20.7724474568162</c:v>
                </c:pt>
                <c:pt idx="197">
                  <c:v>20.2178198528951</c:v>
                </c:pt>
                <c:pt idx="198">
                  <c:v>20.359928865889</c:v>
                </c:pt>
                <c:pt idx="199">
                  <c:v>20.5734673340548</c:v>
                </c:pt>
                <c:pt idx="200">
                  <c:v>20.6146210265925</c:v>
                </c:pt>
                <c:pt idx="201">
                  <c:v>20.6730806474367</c:v>
                </c:pt>
                <c:pt idx="202">
                  <c:v>20.5918729309459</c:v>
                </c:pt>
                <c:pt idx="203">
                  <c:v>20.6224504601227</c:v>
                </c:pt>
                <c:pt idx="204">
                  <c:v>20.3187837708087</c:v>
                </c:pt>
                <c:pt idx="205">
                  <c:v>20.4936873743919</c:v>
                </c:pt>
                <c:pt idx="206">
                  <c:v>20.2124804787842</c:v>
                </c:pt>
                <c:pt idx="207">
                  <c:v>20.0922708191243</c:v>
                </c:pt>
                <c:pt idx="208">
                  <c:v>19.9858607414357</c:v>
                </c:pt>
                <c:pt idx="209">
                  <c:v>19.997795638008</c:v>
                </c:pt>
                <c:pt idx="210">
                  <c:v>20.2285625627813</c:v>
                </c:pt>
                <c:pt idx="211">
                  <c:v>20.3657970571327</c:v>
                </c:pt>
                <c:pt idx="212">
                  <c:v>20.6935</c:v>
                </c:pt>
                <c:pt idx="213">
                  <c:v>20.9273962406803</c:v>
                </c:pt>
                <c:pt idx="214">
                  <c:v>21.2097983615658</c:v>
                </c:pt>
                <c:pt idx="215">
                  <c:v>21.395475798216</c:v>
                </c:pt>
                <c:pt idx="216">
                  <c:v>21.5624562880509</c:v>
                </c:pt>
                <c:pt idx="217">
                  <c:v>21.4395546397588</c:v>
                </c:pt>
                <c:pt idx="218">
                  <c:v>21.3767274453591</c:v>
                </c:pt>
                <c:pt idx="219">
                  <c:v>21.4865687496574</c:v>
                </c:pt>
                <c:pt idx="220">
                  <c:v>21.4637662714646</c:v>
                </c:pt>
                <c:pt idx="221">
                  <c:v>21.1746791675901</c:v>
                </c:pt>
                <c:pt idx="222">
                  <c:v>21.2944118061705</c:v>
                </c:pt>
                <c:pt idx="223">
                  <c:v>21.3352</c:v>
                </c:pt>
                <c:pt idx="224">
                  <c:v>21.5080903387243</c:v>
                </c:pt>
                <c:pt idx="225">
                  <c:v>21.1416349480875</c:v>
                </c:pt>
                <c:pt idx="226">
                  <c:v>21.3273</c:v>
                </c:pt>
                <c:pt idx="227">
                  <c:v>21.2111191690968</c:v>
                </c:pt>
                <c:pt idx="228">
                  <c:v>21.4193692347464</c:v>
                </c:pt>
                <c:pt idx="229">
                  <c:v>21.41</c:v>
                </c:pt>
                <c:pt idx="230">
                  <c:v>21.4426706122869</c:v>
                </c:pt>
                <c:pt idx="231">
                  <c:v>21.5675</c:v>
                </c:pt>
                <c:pt idx="232">
                  <c:v>21.725613896316</c:v>
                </c:pt>
                <c:pt idx="233">
                  <c:v>21.765756145106</c:v>
                </c:pt>
                <c:pt idx="234">
                  <c:v>21.9339319656984</c:v>
                </c:pt>
                <c:pt idx="235">
                  <c:v>21.7998</c:v>
                </c:pt>
                <c:pt idx="236">
                  <c:v>21.8345238461737</c:v>
                </c:pt>
                <c:pt idx="237">
                  <c:v>21.8982331972273</c:v>
                </c:pt>
                <c:pt idx="238">
                  <c:v>21.9026725674031</c:v>
                </c:pt>
                <c:pt idx="239">
                  <c:v>22.0313203982527</c:v>
                </c:pt>
                <c:pt idx="240">
                  <c:v>22.1194219934206</c:v>
                </c:pt>
                <c:pt idx="241">
                  <c:v>22.034660593304</c:v>
                </c:pt>
                <c:pt idx="242">
                  <c:v>21.2508069964929</c:v>
                </c:pt>
                <c:pt idx="243">
                  <c:v>21.3859000252285</c:v>
                </c:pt>
                <c:pt idx="244">
                  <c:v>21.5356870377456</c:v>
                </c:pt>
                <c:pt idx="245">
                  <c:v>21.7582304012896</c:v>
                </c:pt>
                <c:pt idx="246">
                  <c:v>21.9538018000947</c:v>
                </c:pt>
                <c:pt idx="247">
                  <c:v>22.0092421100061</c:v>
                </c:pt>
                <c:pt idx="248">
                  <c:v>22.0726526417805</c:v>
                </c:pt>
                <c:pt idx="249">
                  <c:v>22.0646048114991</c:v>
                </c:pt>
                <c:pt idx="250">
                  <c:v>22.1161523485617</c:v>
                </c:pt>
                <c:pt idx="251">
                  <c:v>22.0439</c:v>
                </c:pt>
                <c:pt idx="252">
                  <c:v>22.1328736998094</c:v>
                </c:pt>
                <c:pt idx="253">
                  <c:v>22.0321</c:v>
                </c:pt>
                <c:pt idx="254">
                  <c:v>21.9434332381422</c:v>
                </c:pt>
                <c:pt idx="255">
                  <c:v>22.0439</c:v>
                </c:pt>
                <c:pt idx="256">
                  <c:v>22.1502</c:v>
                </c:pt>
                <c:pt idx="257">
                  <c:v>22.1147</c:v>
                </c:pt>
                <c:pt idx="258">
                  <c:v>22.0960685382283</c:v>
                </c:pt>
                <c:pt idx="259">
                  <c:v>22.1061732705795</c:v>
                </c:pt>
                <c:pt idx="260">
                  <c:v>21.8313</c:v>
                </c:pt>
                <c:pt idx="261">
                  <c:v>21.4193314229974</c:v>
                </c:pt>
                <c:pt idx="262">
                  <c:v>21.7590412994327</c:v>
                </c:pt>
                <c:pt idx="263">
                  <c:v>21.7827703246644</c:v>
                </c:pt>
                <c:pt idx="264">
                  <c:v>21.6755309214509</c:v>
                </c:pt>
                <c:pt idx="265">
                  <c:v>21.2780319137618</c:v>
                </c:pt>
                <c:pt idx="266">
                  <c:v>20.9698714039892</c:v>
                </c:pt>
                <c:pt idx="267">
                  <c:v>20.5526018395721</c:v>
                </c:pt>
                <c:pt idx="268">
                  <c:v>20.3077177844997</c:v>
                </c:pt>
                <c:pt idx="269">
                  <c:v>19.7625047328094</c:v>
                </c:pt>
                <c:pt idx="270">
                  <c:v>20.4573</c:v>
                </c:pt>
                <c:pt idx="271">
                  <c:v>20.6850795108632</c:v>
                </c:pt>
                <c:pt idx="272">
                  <c:v>20.847</c:v>
                </c:pt>
                <c:pt idx="273">
                  <c:v>20.973</c:v>
                </c:pt>
                <c:pt idx="274">
                  <c:v>20.8593186201388</c:v>
                </c:pt>
                <c:pt idx="275">
                  <c:v>21.1270441327567</c:v>
                </c:pt>
                <c:pt idx="276">
                  <c:v>21.0966007696596</c:v>
                </c:pt>
                <c:pt idx="277">
                  <c:v>21.0872</c:v>
                </c:pt>
                <c:pt idx="278">
                  <c:v>21.1765211995261</c:v>
                </c:pt>
                <c:pt idx="279">
                  <c:v>21.1625647621002</c:v>
                </c:pt>
                <c:pt idx="280">
                  <c:v>21.3668468399321</c:v>
                </c:pt>
                <c:pt idx="281">
                  <c:v>21.3629303669009</c:v>
                </c:pt>
                <c:pt idx="282">
                  <c:v>21.1742856845146</c:v>
                </c:pt>
                <c:pt idx="283">
                  <c:v>21.0116667066492</c:v>
                </c:pt>
                <c:pt idx="284">
                  <c:v>20.8209920452374</c:v>
                </c:pt>
                <c:pt idx="285">
                  <c:v>20.3428841030627</c:v>
                </c:pt>
                <c:pt idx="286">
                  <c:v>20.349812071248</c:v>
                </c:pt>
                <c:pt idx="287">
                  <c:v>20.7183242838075</c:v>
                </c:pt>
                <c:pt idx="288">
                  <c:v>20.8769542733659</c:v>
                </c:pt>
                <c:pt idx="289">
                  <c:v>20.0797759318592</c:v>
                </c:pt>
                <c:pt idx="290">
                  <c:v>20.3633677194437</c:v>
                </c:pt>
                <c:pt idx="291">
                  <c:v>20.5807059111782</c:v>
                </c:pt>
                <c:pt idx="292">
                  <c:v>21.0699340255109</c:v>
                </c:pt>
                <c:pt idx="293">
                  <c:v>20.8037</c:v>
                </c:pt>
                <c:pt idx="294">
                  <c:v>20.5030601558784</c:v>
                </c:pt>
                <c:pt idx="295">
                  <c:v>20.523743058018</c:v>
                </c:pt>
                <c:pt idx="296">
                  <c:v>20.6935</c:v>
                </c:pt>
                <c:pt idx="297">
                  <c:v>20.7982119827266</c:v>
                </c:pt>
                <c:pt idx="298">
                  <c:v>20.6010546697001</c:v>
                </c:pt>
                <c:pt idx="299">
                  <c:v>20.4620097659355</c:v>
                </c:pt>
                <c:pt idx="300">
                  <c:v>20.3864094517932</c:v>
                </c:pt>
                <c:pt idx="301">
                  <c:v>20.0734973833973</c:v>
                </c:pt>
                <c:pt idx="302">
                  <c:v>19.8506221517726</c:v>
                </c:pt>
                <c:pt idx="303">
                  <c:v>20.1588296099205</c:v>
                </c:pt>
                <c:pt idx="304">
                  <c:v>20.0940872640796</c:v>
                </c:pt>
                <c:pt idx="305">
                  <c:v>20.1986036142157</c:v>
                </c:pt>
                <c:pt idx="306">
                  <c:v>19.814281566739</c:v>
                </c:pt>
                <c:pt idx="307">
                  <c:v>19.5085434461476</c:v>
                </c:pt>
                <c:pt idx="308">
                  <c:v>19.7431093623857</c:v>
                </c:pt>
                <c:pt idx="309">
                  <c:v>20.1998489934367</c:v>
                </c:pt>
                <c:pt idx="310">
                  <c:v>19.9897556505433</c:v>
                </c:pt>
                <c:pt idx="311">
                  <c:v>20.2301247504274</c:v>
                </c:pt>
                <c:pt idx="312">
                  <c:v>19.9177741878551</c:v>
                </c:pt>
                <c:pt idx="313">
                  <c:v>19.9325921570812</c:v>
                </c:pt>
                <c:pt idx="314">
                  <c:v>20.1165988902778</c:v>
                </c:pt>
                <c:pt idx="315">
                  <c:v>20.1909210492045</c:v>
                </c:pt>
                <c:pt idx="316">
                  <c:v>20.1380471114841</c:v>
                </c:pt>
                <c:pt idx="317">
                  <c:v>19.402034130393</c:v>
                </c:pt>
                <c:pt idx="318">
                  <c:v>19.6511169132361</c:v>
                </c:pt>
                <c:pt idx="319">
                  <c:v>19.7215495405592</c:v>
                </c:pt>
                <c:pt idx="320">
                  <c:v>19.7707808860891</c:v>
                </c:pt>
                <c:pt idx="321">
                  <c:v>19.4212924332068</c:v>
                </c:pt>
                <c:pt idx="322">
                  <c:v>19.2912425561899</c:v>
                </c:pt>
                <c:pt idx="323">
                  <c:v>19.4179</c:v>
                </c:pt>
                <c:pt idx="324">
                  <c:v>19.2726195364668</c:v>
                </c:pt>
                <c:pt idx="325">
                  <c:v>19.4616065845984</c:v>
                </c:pt>
                <c:pt idx="326">
                  <c:v>19.6873934666516</c:v>
                </c:pt>
                <c:pt idx="327">
                  <c:v>19.9757217229053</c:v>
                </c:pt>
                <c:pt idx="328">
                  <c:v>20.0165075626576</c:v>
                </c:pt>
                <c:pt idx="329">
                  <c:v>19.6579021125245</c:v>
                </c:pt>
                <c:pt idx="330">
                  <c:v>19.662</c:v>
                </c:pt>
                <c:pt idx="331">
                  <c:v>19.4770576357356</c:v>
                </c:pt>
                <c:pt idx="332">
                  <c:v>19.640099814475</c:v>
                </c:pt>
                <c:pt idx="333">
                  <c:v>19.7568082312341</c:v>
                </c:pt>
                <c:pt idx="334">
                  <c:v>19.8645994729979</c:v>
                </c:pt>
                <c:pt idx="335">
                  <c:v>20.0105122765636</c:v>
                </c:pt>
                <c:pt idx="336">
                  <c:v>19.8682249370073</c:v>
                </c:pt>
                <c:pt idx="337">
                  <c:v>19.6618600263777</c:v>
                </c:pt>
                <c:pt idx="338">
                  <c:v>19.6368420436952</c:v>
                </c:pt>
                <c:pt idx="339">
                  <c:v>19.9650860036497</c:v>
                </c:pt>
                <c:pt idx="340">
                  <c:v>20.1873563417531</c:v>
                </c:pt>
                <c:pt idx="341">
                  <c:v>20.0428823357772</c:v>
                </c:pt>
                <c:pt idx="342">
                  <c:v>19.8329508445357</c:v>
                </c:pt>
                <c:pt idx="343">
                  <c:v>20.1886983775467</c:v>
                </c:pt>
                <c:pt idx="344">
                  <c:v>20.1720317034919</c:v>
                </c:pt>
                <c:pt idx="345">
                  <c:v>20.1572033869249</c:v>
                </c:pt>
                <c:pt idx="346">
                  <c:v>20.2804651206968</c:v>
                </c:pt>
                <c:pt idx="347">
                  <c:v>20.2967685748736</c:v>
                </c:pt>
                <c:pt idx="348">
                  <c:v>20.4252137861565</c:v>
                </c:pt>
                <c:pt idx="349">
                  <c:v>20.6156316251717</c:v>
                </c:pt>
                <c:pt idx="350">
                  <c:v>20.5517</c:v>
                </c:pt>
                <c:pt idx="351">
                  <c:v>20.5497195998788</c:v>
                </c:pt>
                <c:pt idx="352">
                  <c:v>20.6921152813006</c:v>
                </c:pt>
                <c:pt idx="353">
                  <c:v>20.6562455581722</c:v>
                </c:pt>
                <c:pt idx="354">
                  <c:v>20.754578956606</c:v>
                </c:pt>
                <c:pt idx="355">
                  <c:v>20.7319952909406</c:v>
                </c:pt>
                <c:pt idx="356">
                  <c:v>20.5831022261612</c:v>
                </c:pt>
                <c:pt idx="357">
                  <c:v>20.7139008454826</c:v>
                </c:pt>
                <c:pt idx="358">
                  <c:v>20.7936558056385</c:v>
                </c:pt>
                <c:pt idx="359">
                  <c:v>20.7923621601547</c:v>
                </c:pt>
                <c:pt idx="360">
                  <c:v>20.8546495333771</c:v>
                </c:pt>
                <c:pt idx="361">
                  <c:v>20.7127788445173</c:v>
                </c:pt>
                <c:pt idx="362">
                  <c:v>20.5951145787643</c:v>
                </c:pt>
                <c:pt idx="363">
                  <c:v>20.564308343426</c:v>
                </c:pt>
                <c:pt idx="364">
                  <c:v>20.6029</c:v>
                </c:pt>
                <c:pt idx="365">
                  <c:v>20.6029</c:v>
                </c:pt>
                <c:pt idx="366">
                  <c:v>20.4869189627739</c:v>
                </c:pt>
                <c:pt idx="367">
                  <c:v>20.6029</c:v>
                </c:pt>
                <c:pt idx="368">
                  <c:v>20.6805612174745</c:v>
                </c:pt>
                <c:pt idx="369">
                  <c:v>20.5982909029037</c:v>
                </c:pt>
                <c:pt idx="370">
                  <c:v>20.4966</c:v>
                </c:pt>
                <c:pt idx="371">
                  <c:v>20.4444897088194</c:v>
                </c:pt>
                <c:pt idx="372">
                  <c:v>20.3531004044677</c:v>
                </c:pt>
                <c:pt idx="373">
                  <c:v>20.3924232062575</c:v>
                </c:pt>
                <c:pt idx="374">
                  <c:v>20.4788491099313</c:v>
                </c:pt>
                <c:pt idx="375">
                  <c:v>20.4401491648599</c:v>
                </c:pt>
                <c:pt idx="376">
                  <c:v>20.4932723799106</c:v>
                </c:pt>
                <c:pt idx="377">
                  <c:v>20.278313034169</c:v>
                </c:pt>
                <c:pt idx="378">
                  <c:v>20.21585152406</c:v>
                </c:pt>
                <c:pt idx="379">
                  <c:v>20.2049200398274</c:v>
                </c:pt>
                <c:pt idx="380">
                  <c:v>20.3591034877436</c:v>
                </c:pt>
                <c:pt idx="381">
                  <c:v>20.3829092630402</c:v>
                </c:pt>
                <c:pt idx="382">
                  <c:v>20.4732274093526</c:v>
                </c:pt>
                <c:pt idx="383">
                  <c:v>20.4721988753021</c:v>
                </c:pt>
                <c:pt idx="384">
                  <c:v>20.226950363312</c:v>
                </c:pt>
                <c:pt idx="385">
                  <c:v>20.0275737392397</c:v>
                </c:pt>
                <c:pt idx="386">
                  <c:v>20.2718719590797</c:v>
                </c:pt>
                <c:pt idx="387">
                  <c:v>20.2887166322526</c:v>
                </c:pt>
                <c:pt idx="388">
                  <c:v>20.2482826373057</c:v>
                </c:pt>
                <c:pt idx="389">
                  <c:v>20.1484772067403</c:v>
                </c:pt>
                <c:pt idx="390">
                  <c:v>20.1010696272218</c:v>
                </c:pt>
                <c:pt idx="391">
                  <c:v>20.1858508014497</c:v>
                </c:pt>
                <c:pt idx="392">
                  <c:v>20.1661491132393</c:v>
                </c:pt>
                <c:pt idx="393">
                  <c:v>20.3223553554784</c:v>
                </c:pt>
                <c:pt idx="394">
                  <c:v>20.6365589025211</c:v>
                </c:pt>
                <c:pt idx="395">
                  <c:v>20.7867369240433</c:v>
                </c:pt>
                <c:pt idx="396">
                  <c:v>20.7934286927721</c:v>
                </c:pt>
                <c:pt idx="397">
                  <c:v>20.7214570347828</c:v>
                </c:pt>
                <c:pt idx="398">
                  <c:v>20.7470427039794</c:v>
                </c:pt>
                <c:pt idx="399">
                  <c:v>20.7440766007112</c:v>
                </c:pt>
                <c:pt idx="400">
                  <c:v>20.7328107357066</c:v>
                </c:pt>
                <c:pt idx="401">
                  <c:v>20.8374154679727</c:v>
                </c:pt>
                <c:pt idx="402">
                  <c:v>21.0342490396419</c:v>
                </c:pt>
                <c:pt idx="403">
                  <c:v>21.0523335423066</c:v>
                </c:pt>
                <c:pt idx="404">
                  <c:v>21.08785565893</c:v>
                </c:pt>
                <c:pt idx="405">
                  <c:v>21.0059046624397</c:v>
                </c:pt>
                <c:pt idx="406">
                  <c:v>20.8558611279277</c:v>
                </c:pt>
                <c:pt idx="407">
                  <c:v>20.880770095253</c:v>
                </c:pt>
                <c:pt idx="408">
                  <c:v>21.0392156170119</c:v>
                </c:pt>
                <c:pt idx="409">
                  <c:v>21.0483588610555</c:v>
                </c:pt>
                <c:pt idx="410">
                  <c:v>21.0507427297509</c:v>
                </c:pt>
                <c:pt idx="411">
                  <c:v>21.1371630200959</c:v>
                </c:pt>
                <c:pt idx="412">
                  <c:v>21.4229320182575</c:v>
                </c:pt>
                <c:pt idx="413">
                  <c:v>21.6774479978023</c:v>
                </c:pt>
                <c:pt idx="414">
                  <c:v>21.5751412439999</c:v>
                </c:pt>
                <c:pt idx="415">
                  <c:v>21.7746414154326</c:v>
                </c:pt>
                <c:pt idx="416">
                  <c:v>21.8876578203385</c:v>
                </c:pt>
                <c:pt idx="417">
                  <c:v>21.9288639156366</c:v>
                </c:pt>
                <c:pt idx="418">
                  <c:v>21.9090522499784</c:v>
                </c:pt>
                <c:pt idx="419">
                  <c:v>21.8910815596174</c:v>
                </c:pt>
                <c:pt idx="420">
                  <c:v>21.9072180410204</c:v>
                </c:pt>
                <c:pt idx="421">
                  <c:v>21.8816465082409</c:v>
                </c:pt>
                <c:pt idx="422">
                  <c:v>21.9117530117881</c:v>
                </c:pt>
                <c:pt idx="423">
                  <c:v>22.0727649147188</c:v>
                </c:pt>
                <c:pt idx="424">
                  <c:v>22.2114169716535</c:v>
                </c:pt>
                <c:pt idx="425">
                  <c:v>22.1555403816939</c:v>
                </c:pt>
                <c:pt idx="426">
                  <c:v>21.909263295366</c:v>
                </c:pt>
                <c:pt idx="427">
                  <c:v>22.1171865098505</c:v>
                </c:pt>
                <c:pt idx="428">
                  <c:v>22.0528357534285</c:v>
                </c:pt>
                <c:pt idx="429">
                  <c:v>22.3837067555334</c:v>
                </c:pt>
                <c:pt idx="430">
                  <c:v>22.4158542156308</c:v>
                </c:pt>
                <c:pt idx="431">
                  <c:v>22.418239789254</c:v>
                </c:pt>
                <c:pt idx="432">
                  <c:v>22.2739038281009</c:v>
                </c:pt>
                <c:pt idx="433">
                  <c:v>22.177828754077</c:v>
                </c:pt>
                <c:pt idx="434">
                  <c:v>22.0375837411709</c:v>
                </c:pt>
                <c:pt idx="435">
                  <c:v>21.9273880774394</c:v>
                </c:pt>
                <c:pt idx="436">
                  <c:v>22.0903892419684</c:v>
                </c:pt>
                <c:pt idx="437">
                  <c:v>22.2215365020924</c:v>
                </c:pt>
                <c:pt idx="438">
                  <c:v>22.0017188082303</c:v>
                </c:pt>
                <c:pt idx="439">
                  <c:v>22.1646842332498</c:v>
                </c:pt>
                <c:pt idx="440">
                  <c:v>22.2722</c:v>
                </c:pt>
                <c:pt idx="441">
                  <c:v>22.3353629794582</c:v>
                </c:pt>
                <c:pt idx="442">
                  <c:v>22.3926141529572</c:v>
                </c:pt>
                <c:pt idx="443">
                  <c:v>22.5911</c:v>
                </c:pt>
                <c:pt idx="444">
                  <c:v>22.8110185915454</c:v>
                </c:pt>
                <c:pt idx="445">
                  <c:v>22.9784779438473</c:v>
                </c:pt>
                <c:pt idx="446">
                  <c:v>22.8825234649579</c:v>
                </c:pt>
                <c:pt idx="447">
                  <c:v>22.6902979660313</c:v>
                </c:pt>
                <c:pt idx="448">
                  <c:v>22.5281295860225</c:v>
                </c:pt>
                <c:pt idx="449">
                  <c:v>22.420591118709</c:v>
                </c:pt>
                <c:pt idx="450">
                  <c:v>22.3780963228861</c:v>
                </c:pt>
                <c:pt idx="451">
                  <c:v>22.5277949307092</c:v>
                </c:pt>
                <c:pt idx="452">
                  <c:v>22.4569500937903</c:v>
                </c:pt>
                <c:pt idx="453">
                  <c:v>21.9980413717851</c:v>
                </c:pt>
                <c:pt idx="454">
                  <c:v>21.7532765108608</c:v>
                </c:pt>
                <c:pt idx="455">
                  <c:v>22.0072560963612</c:v>
                </c:pt>
                <c:pt idx="456">
                  <c:v>21.8923346362011</c:v>
                </c:pt>
                <c:pt idx="457">
                  <c:v>21.8138835046511</c:v>
                </c:pt>
                <c:pt idx="458">
                  <c:v>21.913983204357</c:v>
                </c:pt>
                <c:pt idx="459">
                  <c:v>22.0782030840315</c:v>
                </c:pt>
                <c:pt idx="460">
                  <c:v>22.0478</c:v>
                </c:pt>
                <c:pt idx="461">
                  <c:v>21.985141151891</c:v>
                </c:pt>
                <c:pt idx="462">
                  <c:v>21.839287201186</c:v>
                </c:pt>
                <c:pt idx="463">
                  <c:v>22.1192796292448</c:v>
                </c:pt>
                <c:pt idx="464">
                  <c:v>22.1274661850728</c:v>
                </c:pt>
                <c:pt idx="465">
                  <c:v>21.9651254237288</c:v>
                </c:pt>
                <c:pt idx="466">
                  <c:v>21.8404827985644</c:v>
                </c:pt>
                <c:pt idx="467">
                  <c:v>21.6246223805775</c:v>
                </c:pt>
                <c:pt idx="468">
                  <c:v>21.200706842883</c:v>
                </c:pt>
                <c:pt idx="469">
                  <c:v>21.2834636783857</c:v>
                </c:pt>
                <c:pt idx="470">
                  <c:v>21.1719764069233</c:v>
                </c:pt>
                <c:pt idx="471">
                  <c:v>21.3016752018036</c:v>
                </c:pt>
                <c:pt idx="472">
                  <c:v>20.6373638234043</c:v>
                </c:pt>
                <c:pt idx="473">
                  <c:v>20.6550303384818</c:v>
                </c:pt>
                <c:pt idx="474">
                  <c:v>20.5510463586691</c:v>
                </c:pt>
                <c:pt idx="475">
                  <c:v>20.7474751570414</c:v>
                </c:pt>
                <c:pt idx="476">
                  <c:v>20.9998279684474</c:v>
                </c:pt>
                <c:pt idx="477">
                  <c:v>20.7372943528729</c:v>
                </c:pt>
                <c:pt idx="478">
                  <c:v>20.3942795082414</c:v>
                </c:pt>
                <c:pt idx="479">
                  <c:v>20.7131765926598</c:v>
                </c:pt>
                <c:pt idx="480">
                  <c:v>21.0478157902377</c:v>
                </c:pt>
                <c:pt idx="481">
                  <c:v>21.0407016334809</c:v>
                </c:pt>
                <c:pt idx="482">
                  <c:v>21.0978758509761</c:v>
                </c:pt>
                <c:pt idx="483">
                  <c:v>20.9255270738732</c:v>
                </c:pt>
                <c:pt idx="484">
                  <c:v>20.810137195323</c:v>
                </c:pt>
                <c:pt idx="485">
                  <c:v>20.6638112312337</c:v>
                </c:pt>
                <c:pt idx="486">
                  <c:v>20.6962083013466</c:v>
                </c:pt>
                <c:pt idx="487">
                  <c:v>20.4021</c:v>
                </c:pt>
                <c:pt idx="488">
                  <c:v>19.9352371211378</c:v>
                </c:pt>
                <c:pt idx="489">
                  <c:v>20.1206050409345</c:v>
                </c:pt>
                <c:pt idx="490">
                  <c:v>20.3405117808012</c:v>
                </c:pt>
                <c:pt idx="491">
                  <c:v>20.4826256046568</c:v>
                </c:pt>
                <c:pt idx="492">
                  <c:v>20.4026548493786</c:v>
                </c:pt>
                <c:pt idx="493">
                  <c:v>20.501645896946</c:v>
                </c:pt>
                <c:pt idx="494">
                  <c:v>20.6780299453388</c:v>
                </c:pt>
                <c:pt idx="495">
                  <c:v>20.651788486131</c:v>
                </c:pt>
                <c:pt idx="496">
                  <c:v>20.6386234308919</c:v>
                </c:pt>
                <c:pt idx="497">
                  <c:v>20.8186900654134</c:v>
                </c:pt>
                <c:pt idx="498">
                  <c:v>21.1382497247727</c:v>
                </c:pt>
                <c:pt idx="499">
                  <c:v>21.3152603324968</c:v>
                </c:pt>
                <c:pt idx="500">
                  <c:v>21.4390189427191</c:v>
                </c:pt>
                <c:pt idx="501">
                  <c:v>21.244210462333</c:v>
                </c:pt>
                <c:pt idx="502">
                  <c:v>21.3241789766875</c:v>
                </c:pt>
                <c:pt idx="503">
                  <c:v>21.5523526119565</c:v>
                </c:pt>
                <c:pt idx="504">
                  <c:v>21.6151422613262</c:v>
                </c:pt>
                <c:pt idx="505">
                  <c:v>21.816725531096</c:v>
                </c:pt>
                <c:pt idx="506">
                  <c:v>21.8711704640886</c:v>
                </c:pt>
                <c:pt idx="507">
                  <c:v>21.8687147520394</c:v>
                </c:pt>
                <c:pt idx="508">
                  <c:v>21.9314252524171</c:v>
                </c:pt>
                <c:pt idx="509">
                  <c:v>21.6636321423923</c:v>
                </c:pt>
                <c:pt idx="510">
                  <c:v>21.4885585477444</c:v>
                </c:pt>
                <c:pt idx="511">
                  <c:v>21.2957159354118</c:v>
                </c:pt>
                <c:pt idx="512">
                  <c:v>21.127995832153</c:v>
                </c:pt>
                <c:pt idx="513">
                  <c:v>20.5666701665806</c:v>
                </c:pt>
                <c:pt idx="514">
                  <c:v>20.7342721249098</c:v>
                </c:pt>
                <c:pt idx="515">
                  <c:v>20.5329050146589</c:v>
                </c:pt>
                <c:pt idx="516">
                  <c:v>20.5230646671973</c:v>
                </c:pt>
                <c:pt idx="517">
                  <c:v>20.8145085808891</c:v>
                </c:pt>
                <c:pt idx="518">
                  <c:v>21.099</c:v>
                </c:pt>
                <c:pt idx="519">
                  <c:v>21.3428583619932</c:v>
                </c:pt>
                <c:pt idx="520">
                  <c:v>21.0790135775182</c:v>
                </c:pt>
                <c:pt idx="521">
                  <c:v>21.0263166437672</c:v>
                </c:pt>
                <c:pt idx="522">
                  <c:v>20.6570493981837</c:v>
                </c:pt>
                <c:pt idx="523">
                  <c:v>20.7208316503281</c:v>
                </c:pt>
                <c:pt idx="524">
                  <c:v>20.920031260653</c:v>
                </c:pt>
                <c:pt idx="525">
                  <c:v>21.1277660191367</c:v>
                </c:pt>
                <c:pt idx="526">
                  <c:v>20.6777</c:v>
                </c:pt>
                <c:pt idx="527">
                  <c:v>19.9943360697413</c:v>
                </c:pt>
                <c:pt idx="528">
                  <c:v>20.5711751477458</c:v>
                </c:pt>
                <c:pt idx="529">
                  <c:v>20.5017305213643</c:v>
                </c:pt>
                <c:pt idx="530">
                  <c:v>20.4778994813427</c:v>
                </c:pt>
                <c:pt idx="531">
                  <c:v>20.444409856889</c:v>
                </c:pt>
                <c:pt idx="532">
                  <c:v>20.3619875126063</c:v>
                </c:pt>
                <c:pt idx="533">
                  <c:v>20.2023452298658</c:v>
                </c:pt>
                <c:pt idx="534">
                  <c:v>20.1473288555795</c:v>
                </c:pt>
                <c:pt idx="535">
                  <c:v>19.1701459930032</c:v>
                </c:pt>
                <c:pt idx="536">
                  <c:v>19.6626052384819</c:v>
                </c:pt>
                <c:pt idx="537">
                  <c:v>19.82254154748</c:v>
                </c:pt>
                <c:pt idx="538">
                  <c:v>19.5925323411576</c:v>
                </c:pt>
                <c:pt idx="539">
                  <c:v>19.4195543698457</c:v>
                </c:pt>
                <c:pt idx="540">
                  <c:v>19.1221057993019</c:v>
                </c:pt>
                <c:pt idx="541">
                  <c:v>18.6584105164113</c:v>
                </c:pt>
                <c:pt idx="542">
                  <c:v>18.7967141773218</c:v>
                </c:pt>
                <c:pt idx="543">
                  <c:v>19.1863010205975</c:v>
                </c:pt>
                <c:pt idx="544">
                  <c:v>19.5191028691523</c:v>
                </c:pt>
                <c:pt idx="545">
                  <c:v>19.5630053614528</c:v>
                </c:pt>
                <c:pt idx="546">
                  <c:v>19.8463260076954</c:v>
                </c:pt>
                <c:pt idx="547">
                  <c:v>19.599202833924</c:v>
                </c:pt>
                <c:pt idx="548">
                  <c:v>19.9687238206145</c:v>
                </c:pt>
                <c:pt idx="549">
                  <c:v>20.3482719090584</c:v>
                </c:pt>
                <c:pt idx="550">
                  <c:v>20.1488153982604</c:v>
                </c:pt>
                <c:pt idx="551">
                  <c:v>20.3688546813968</c:v>
                </c:pt>
                <c:pt idx="552">
                  <c:v>20.2866875768087</c:v>
                </c:pt>
                <c:pt idx="553">
                  <c:v>20.259749470938</c:v>
                </c:pt>
                <c:pt idx="554">
                  <c:v>20.1777</c:v>
                </c:pt>
                <c:pt idx="555">
                  <c:v>20.2588672185624</c:v>
                </c:pt>
                <c:pt idx="556">
                  <c:v>20.3803827791057</c:v>
                </c:pt>
                <c:pt idx="557">
                  <c:v>20.583830176937</c:v>
                </c:pt>
                <c:pt idx="558">
                  <c:v>20.5444229041567</c:v>
                </c:pt>
                <c:pt idx="559">
                  <c:v>20.8180952074836</c:v>
                </c:pt>
                <c:pt idx="560">
                  <c:v>21.2692602632521</c:v>
                </c:pt>
                <c:pt idx="561">
                  <c:v>21.1401359153389</c:v>
                </c:pt>
                <c:pt idx="562">
                  <c:v>20.9638445060412</c:v>
                </c:pt>
                <c:pt idx="563">
                  <c:v>20.7816909765833</c:v>
                </c:pt>
                <c:pt idx="564">
                  <c:v>20.952284265721</c:v>
                </c:pt>
                <c:pt idx="565">
                  <c:v>20.8233967945079</c:v>
                </c:pt>
                <c:pt idx="566">
                  <c:v>20.6373375119263</c:v>
                </c:pt>
                <c:pt idx="567">
                  <c:v>20.5370409235209</c:v>
                </c:pt>
                <c:pt idx="568">
                  <c:v>20.1563352176385</c:v>
                </c:pt>
                <c:pt idx="569">
                  <c:v>19.8883126477107</c:v>
                </c:pt>
                <c:pt idx="570">
                  <c:v>20.0960003225068</c:v>
                </c:pt>
                <c:pt idx="571">
                  <c:v>20.3962696814255</c:v>
                </c:pt>
                <c:pt idx="572">
                  <c:v>20.1265</c:v>
                </c:pt>
                <c:pt idx="573">
                  <c:v>19.8435673063677</c:v>
                </c:pt>
                <c:pt idx="574">
                  <c:v>20.0877400387661</c:v>
                </c:pt>
                <c:pt idx="575">
                  <c:v>19.7961150830194</c:v>
                </c:pt>
                <c:pt idx="576">
                  <c:v>19.9809</c:v>
                </c:pt>
                <c:pt idx="577">
                  <c:v>19.7986260087623</c:v>
                </c:pt>
                <c:pt idx="578">
                  <c:v>19.7487611994532</c:v>
                </c:pt>
                <c:pt idx="579">
                  <c:v>19.1050149754386</c:v>
                </c:pt>
                <c:pt idx="580">
                  <c:v>19.0942752755486</c:v>
                </c:pt>
                <c:pt idx="581">
                  <c:v>18.7801</c:v>
                </c:pt>
                <c:pt idx="582">
                  <c:v>18.6400847349443</c:v>
                </c:pt>
                <c:pt idx="583">
                  <c:v>18.5515457246954</c:v>
                </c:pt>
                <c:pt idx="584">
                  <c:v>18.4379212140914</c:v>
                </c:pt>
                <c:pt idx="585">
                  <c:v>17.9176040916041</c:v>
                </c:pt>
                <c:pt idx="586">
                  <c:v>17.8742514526576</c:v>
                </c:pt>
                <c:pt idx="587">
                  <c:v>17.8439271348751</c:v>
                </c:pt>
                <c:pt idx="588">
                  <c:v>18.2978635324399</c:v>
                </c:pt>
                <c:pt idx="589">
                  <c:v>18.2679266561861</c:v>
                </c:pt>
                <c:pt idx="590">
                  <c:v>17.747020884538</c:v>
                </c:pt>
                <c:pt idx="591">
                  <c:v>18.2557333781135</c:v>
                </c:pt>
                <c:pt idx="592">
                  <c:v>18.1561994810448</c:v>
                </c:pt>
                <c:pt idx="593">
                  <c:v>18.0531233020128</c:v>
                </c:pt>
                <c:pt idx="594">
                  <c:v>17.9418947056863</c:v>
                </c:pt>
                <c:pt idx="595">
                  <c:v>18.1000221016262</c:v>
                </c:pt>
                <c:pt idx="596">
                  <c:v>18.2952083389426</c:v>
                </c:pt>
                <c:pt idx="597">
                  <c:v>18.6258683231882</c:v>
                </c:pt>
                <c:pt idx="598">
                  <c:v>18.5228717747173</c:v>
                </c:pt>
                <c:pt idx="599">
                  <c:v>18.4538488904258</c:v>
                </c:pt>
                <c:pt idx="600">
                  <c:v>18.5885302842482</c:v>
                </c:pt>
                <c:pt idx="601">
                  <c:v>18.5396778201262</c:v>
                </c:pt>
                <c:pt idx="602">
                  <c:v>18.5381009776838</c:v>
                </c:pt>
                <c:pt idx="603">
                  <c:v>18.3667</c:v>
                </c:pt>
                <c:pt idx="604">
                  <c:v>18.2994597992246</c:v>
                </c:pt>
                <c:pt idx="605">
                  <c:v>18.4039804149627</c:v>
                </c:pt>
                <c:pt idx="606">
                  <c:v>18.088967704279</c:v>
                </c:pt>
                <c:pt idx="607">
                  <c:v>17.5988924860635</c:v>
                </c:pt>
                <c:pt idx="608">
                  <c:v>17.5517</c:v>
                </c:pt>
                <c:pt idx="609">
                  <c:v>17.4888</c:v>
                </c:pt>
                <c:pt idx="610">
                  <c:v>17.1181531836393</c:v>
                </c:pt>
                <c:pt idx="611">
                  <c:v>17.0321791207365</c:v>
                </c:pt>
                <c:pt idx="612">
                  <c:v>17.0902960512398</c:v>
                </c:pt>
                <c:pt idx="613">
                  <c:v>17.4116684127601</c:v>
                </c:pt>
                <c:pt idx="614">
                  <c:v>17.1286961138806</c:v>
                </c:pt>
                <c:pt idx="615">
                  <c:v>17.2838224141762</c:v>
                </c:pt>
                <c:pt idx="616">
                  <c:v>17.442254536533</c:v>
                </c:pt>
                <c:pt idx="617">
                  <c:v>17.5578541470187</c:v>
                </c:pt>
                <c:pt idx="618">
                  <c:v>17.5660753019448</c:v>
                </c:pt>
                <c:pt idx="619">
                  <c:v>17.509443433077</c:v>
                </c:pt>
                <c:pt idx="620">
                  <c:v>17.4885528121737</c:v>
                </c:pt>
                <c:pt idx="621">
                  <c:v>17.447074695935</c:v>
                </c:pt>
                <c:pt idx="622">
                  <c:v>17.5332448973428</c:v>
                </c:pt>
                <c:pt idx="623">
                  <c:v>17.495059585241</c:v>
                </c:pt>
                <c:pt idx="624">
                  <c:v>17.6930717675575</c:v>
                </c:pt>
                <c:pt idx="625">
                  <c:v>17.8301164927116</c:v>
                </c:pt>
                <c:pt idx="626">
                  <c:v>17.9169448376693</c:v>
                </c:pt>
                <c:pt idx="627">
                  <c:v>17.9219587951212</c:v>
                </c:pt>
                <c:pt idx="628">
                  <c:v>17.7688685515122</c:v>
                </c:pt>
                <c:pt idx="629">
                  <c:v>17.6786231210651</c:v>
                </c:pt>
                <c:pt idx="630">
                  <c:v>17.6476209103703</c:v>
                </c:pt>
                <c:pt idx="631">
                  <c:v>17.7700242815242</c:v>
                </c:pt>
                <c:pt idx="632">
                  <c:v>17.9809</c:v>
                </c:pt>
                <c:pt idx="633">
                  <c:v>18.036</c:v>
                </c:pt>
                <c:pt idx="634">
                  <c:v>18.1633191974165</c:v>
                </c:pt>
                <c:pt idx="635">
                  <c:v>18.2218986319865</c:v>
                </c:pt>
                <c:pt idx="636">
                  <c:v>18.3361309077454</c:v>
                </c:pt>
                <c:pt idx="637">
                  <c:v>18.2256189699041</c:v>
                </c:pt>
                <c:pt idx="638">
                  <c:v>18.0545743188153</c:v>
                </c:pt>
                <c:pt idx="639">
                  <c:v>18.2027705856633</c:v>
                </c:pt>
                <c:pt idx="640">
                  <c:v>18.5163455530967</c:v>
                </c:pt>
                <c:pt idx="641">
                  <c:v>18.7663798598313</c:v>
                </c:pt>
                <c:pt idx="642">
                  <c:v>18.9414192791457</c:v>
                </c:pt>
                <c:pt idx="643">
                  <c:v>18.9196117432093</c:v>
                </c:pt>
                <c:pt idx="644">
                  <c:v>18.9573</c:v>
                </c:pt>
                <c:pt idx="645">
                  <c:v>18.9419301430635</c:v>
                </c:pt>
                <c:pt idx="646">
                  <c:v>18.9528861940998</c:v>
                </c:pt>
                <c:pt idx="647">
                  <c:v>19.0911</c:v>
                </c:pt>
                <c:pt idx="648">
                  <c:v>19.0271747833966</c:v>
                </c:pt>
                <c:pt idx="649">
                  <c:v>19.1470509912053</c:v>
                </c:pt>
                <c:pt idx="650">
                  <c:v>19.1895</c:v>
                </c:pt>
                <c:pt idx="651">
                  <c:v>19.3158256001761</c:v>
                </c:pt>
                <c:pt idx="652">
                  <c:v>19.4447765684049</c:v>
                </c:pt>
                <c:pt idx="653">
                  <c:v>19.3704852863214</c:v>
                </c:pt>
                <c:pt idx="654">
                  <c:v>19.106220923119</c:v>
                </c:pt>
                <c:pt idx="655">
                  <c:v>18.8166199402645</c:v>
                </c:pt>
                <c:pt idx="656">
                  <c:v>18.8810309176758</c:v>
                </c:pt>
                <c:pt idx="657">
                  <c:v>18.8970225145253</c:v>
                </c:pt>
                <c:pt idx="658">
                  <c:v>18.7897781665413</c:v>
                </c:pt>
                <c:pt idx="659">
                  <c:v>18.8270825826297</c:v>
                </c:pt>
                <c:pt idx="660">
                  <c:v>18.5485881271159</c:v>
                </c:pt>
                <c:pt idx="661">
                  <c:v>19.0131213059879</c:v>
                </c:pt>
                <c:pt idx="662">
                  <c:v>18.7667766887447</c:v>
                </c:pt>
                <c:pt idx="663">
                  <c:v>18.7631929562786</c:v>
                </c:pt>
                <c:pt idx="664">
                  <c:v>18.8983585076514</c:v>
                </c:pt>
                <c:pt idx="665">
                  <c:v>18.8675998030092</c:v>
                </c:pt>
                <c:pt idx="666">
                  <c:v>18.8283786912204</c:v>
                </c:pt>
                <c:pt idx="667">
                  <c:v>18.9911819638486</c:v>
                </c:pt>
                <c:pt idx="668">
                  <c:v>18.978321456563</c:v>
                </c:pt>
                <c:pt idx="669">
                  <c:v>19.0366592355438</c:v>
                </c:pt>
                <c:pt idx="670">
                  <c:v>19.1779573103436</c:v>
                </c:pt>
                <c:pt idx="671">
                  <c:v>19.1075923379348</c:v>
                </c:pt>
                <c:pt idx="672">
                  <c:v>18.9740929351574</c:v>
                </c:pt>
                <c:pt idx="673">
                  <c:v>18.605697987224</c:v>
                </c:pt>
                <c:pt idx="674">
                  <c:v>18.7027018858389</c:v>
                </c:pt>
                <c:pt idx="675">
                  <c:v>18.9061300816115</c:v>
                </c:pt>
                <c:pt idx="676">
                  <c:v>18.7954418831307</c:v>
                </c:pt>
                <c:pt idx="677">
                  <c:v>18.6636797767013</c:v>
                </c:pt>
                <c:pt idx="678">
                  <c:v>18.3434929368924</c:v>
                </c:pt>
                <c:pt idx="679">
                  <c:v>18.0142017597637</c:v>
                </c:pt>
                <c:pt idx="680">
                  <c:v>18.0402140943101</c:v>
                </c:pt>
                <c:pt idx="681">
                  <c:v>17.8834280015322</c:v>
                </c:pt>
                <c:pt idx="682">
                  <c:v>17.8469198807578</c:v>
                </c:pt>
                <c:pt idx="683">
                  <c:v>18.142435386071</c:v>
                </c:pt>
                <c:pt idx="684">
                  <c:v>17.9204061367405</c:v>
                </c:pt>
                <c:pt idx="685">
                  <c:v>18.3310271728777</c:v>
                </c:pt>
                <c:pt idx="686">
                  <c:v>18.3944438732274</c:v>
                </c:pt>
                <c:pt idx="687">
                  <c:v>18.3768209157777</c:v>
                </c:pt>
                <c:pt idx="688">
                  <c:v>18.3862734308175</c:v>
                </c:pt>
                <c:pt idx="689">
                  <c:v>18.1344593543414</c:v>
                </c:pt>
                <c:pt idx="690">
                  <c:v>18.2852610837105</c:v>
                </c:pt>
                <c:pt idx="691">
                  <c:v>18.1787928586282</c:v>
                </c:pt>
                <c:pt idx="692">
                  <c:v>18.3618698587091</c:v>
                </c:pt>
                <c:pt idx="693">
                  <c:v>18.4966</c:v>
                </c:pt>
                <c:pt idx="694">
                  <c:v>18.7019024322969</c:v>
                </c:pt>
                <c:pt idx="695">
                  <c:v>18.72896021719</c:v>
                </c:pt>
                <c:pt idx="696">
                  <c:v>18.8021027305619</c:v>
                </c:pt>
                <c:pt idx="697">
                  <c:v>18.8153233312083</c:v>
                </c:pt>
                <c:pt idx="698">
                  <c:v>18.9806611263361</c:v>
                </c:pt>
                <c:pt idx="699">
                  <c:v>18.9010163742642</c:v>
                </c:pt>
                <c:pt idx="700">
                  <c:v>18.969271848237</c:v>
                </c:pt>
                <c:pt idx="701">
                  <c:v>19.0225853097755</c:v>
                </c:pt>
                <c:pt idx="702">
                  <c:v>19.2511994131416</c:v>
                </c:pt>
                <c:pt idx="703">
                  <c:v>19.3935617987375</c:v>
                </c:pt>
                <c:pt idx="704">
                  <c:v>19.3267091919881</c:v>
                </c:pt>
                <c:pt idx="705">
                  <c:v>19.2944852736269</c:v>
                </c:pt>
                <c:pt idx="706">
                  <c:v>19.3633685750657</c:v>
                </c:pt>
                <c:pt idx="707">
                  <c:v>19.4376737633772</c:v>
                </c:pt>
                <c:pt idx="708">
                  <c:v>19.2848667534878</c:v>
                </c:pt>
                <c:pt idx="709">
                  <c:v>19.1378266782693</c:v>
                </c:pt>
                <c:pt idx="710">
                  <c:v>19.4608689789062</c:v>
                </c:pt>
                <c:pt idx="711">
                  <c:v>19.3865664858124</c:v>
                </c:pt>
                <c:pt idx="712">
                  <c:v>19.4602422939893</c:v>
                </c:pt>
                <c:pt idx="713">
                  <c:v>19.4651</c:v>
                </c:pt>
                <c:pt idx="714">
                  <c:v>19.3846989793209</c:v>
                </c:pt>
                <c:pt idx="715">
                  <c:v>19.3431</c:v>
                </c:pt>
                <c:pt idx="716">
                  <c:v>19.1679714846068</c:v>
                </c:pt>
                <c:pt idx="717">
                  <c:v>19.2497051652048</c:v>
                </c:pt>
                <c:pt idx="718">
                  <c:v>19.2637796474122</c:v>
                </c:pt>
                <c:pt idx="719">
                  <c:v>19.4423061018743</c:v>
                </c:pt>
                <c:pt idx="720">
                  <c:v>19.4593874559257</c:v>
                </c:pt>
                <c:pt idx="721">
                  <c:v>19.4592100625264</c:v>
                </c:pt>
                <c:pt idx="722">
                  <c:v>19.4977887465805</c:v>
                </c:pt>
                <c:pt idx="723">
                  <c:v>19.6407570140891</c:v>
                </c:pt>
                <c:pt idx="724">
                  <c:v>19.6922678289287</c:v>
                </c:pt>
                <c:pt idx="725">
                  <c:v>19.5704243750928</c:v>
                </c:pt>
                <c:pt idx="726">
                  <c:v>19.5581936834901</c:v>
                </c:pt>
                <c:pt idx="727">
                  <c:v>19.4820953855217</c:v>
                </c:pt>
                <c:pt idx="728">
                  <c:v>19.3729735431634</c:v>
                </c:pt>
                <c:pt idx="729">
                  <c:v>19.4218</c:v>
                </c:pt>
                <c:pt idx="730">
                  <c:v>19.3041275423376</c:v>
                </c:pt>
                <c:pt idx="731">
                  <c:v>19.2935312982259</c:v>
                </c:pt>
                <c:pt idx="732">
                  <c:v>19.3898080106312</c:v>
                </c:pt>
                <c:pt idx="733">
                  <c:v>19.4423421914812</c:v>
                </c:pt>
                <c:pt idx="734">
                  <c:v>19.1865036386687</c:v>
                </c:pt>
                <c:pt idx="735">
                  <c:v>18.9379945485576</c:v>
                </c:pt>
                <c:pt idx="736">
                  <c:v>19.0783451256203</c:v>
                </c:pt>
                <c:pt idx="737">
                  <c:v>19.0353706410479</c:v>
                </c:pt>
                <c:pt idx="738">
                  <c:v>18.8199130015175</c:v>
                </c:pt>
                <c:pt idx="739">
                  <c:v>18.7457154446131</c:v>
                </c:pt>
                <c:pt idx="740">
                  <c:v>18.4142307496206</c:v>
                </c:pt>
                <c:pt idx="741">
                  <c:v>18.6233478761823</c:v>
                </c:pt>
                <c:pt idx="742">
                  <c:v>18.7450251848667</c:v>
                </c:pt>
                <c:pt idx="743">
                  <c:v>18.7407</c:v>
                </c:pt>
                <c:pt idx="744">
                  <c:v>18.8144381452651</c:v>
                </c:pt>
                <c:pt idx="745">
                  <c:v>18.7229132685888</c:v>
                </c:pt>
                <c:pt idx="746">
                  <c:v>18.81740911631</c:v>
                </c:pt>
                <c:pt idx="747">
                  <c:v>18.8537049192924</c:v>
                </c:pt>
                <c:pt idx="748">
                  <c:v>18.6576455390797</c:v>
                </c:pt>
                <c:pt idx="749">
                  <c:v>18.605114861259</c:v>
                </c:pt>
                <c:pt idx="750">
                  <c:v>18.4370651930532</c:v>
                </c:pt>
                <c:pt idx="751">
                  <c:v>18.6716699005002</c:v>
                </c:pt>
                <c:pt idx="752">
                  <c:v>18.4607547461658</c:v>
                </c:pt>
                <c:pt idx="753">
                  <c:v>18.4417417913191</c:v>
                </c:pt>
                <c:pt idx="754">
                  <c:v>18.403097574151</c:v>
                </c:pt>
                <c:pt idx="755">
                  <c:v>18.4225328158332</c:v>
                </c:pt>
                <c:pt idx="756">
                  <c:v>18.3454596108062</c:v>
                </c:pt>
                <c:pt idx="757">
                  <c:v>18.5217419602866</c:v>
                </c:pt>
                <c:pt idx="758">
                  <c:v>18.6712406075623</c:v>
                </c:pt>
                <c:pt idx="759">
                  <c:v>18.5777074083727</c:v>
                </c:pt>
                <c:pt idx="760">
                  <c:v>18.4816036431012</c:v>
                </c:pt>
                <c:pt idx="761">
                  <c:v>18.5747925929176</c:v>
                </c:pt>
                <c:pt idx="762">
                  <c:v>18.5745362976761</c:v>
                </c:pt>
                <c:pt idx="763">
                  <c:v>18.3417882394544</c:v>
                </c:pt>
                <c:pt idx="764">
                  <c:v>18.032822987764</c:v>
                </c:pt>
                <c:pt idx="765">
                  <c:v>18.0785085089707</c:v>
                </c:pt>
                <c:pt idx="766">
                  <c:v>18.061135667845</c:v>
                </c:pt>
                <c:pt idx="767">
                  <c:v>18.010088222357</c:v>
                </c:pt>
                <c:pt idx="768">
                  <c:v>17.9808847278943</c:v>
                </c:pt>
                <c:pt idx="769">
                  <c:v>18.2296605969234</c:v>
                </c:pt>
                <c:pt idx="770">
                  <c:v>18.103745529079</c:v>
                </c:pt>
                <c:pt idx="771">
                  <c:v>18.0326913526884</c:v>
                </c:pt>
                <c:pt idx="772">
                  <c:v>18.2128901845266</c:v>
                </c:pt>
                <c:pt idx="773">
                  <c:v>18.2934335304425</c:v>
                </c:pt>
                <c:pt idx="774">
                  <c:v>18.1974</c:v>
                </c:pt>
                <c:pt idx="775">
                  <c:v>18.1101658029289</c:v>
                </c:pt>
                <c:pt idx="776">
                  <c:v>18.2721503312519</c:v>
                </c:pt>
                <c:pt idx="777">
                  <c:v>18.3393959139643</c:v>
                </c:pt>
                <c:pt idx="778">
                  <c:v>18.3597550931471</c:v>
                </c:pt>
                <c:pt idx="779">
                  <c:v>18.2593019874678</c:v>
                </c:pt>
                <c:pt idx="780">
                  <c:v>18.15795300128</c:v>
                </c:pt>
                <c:pt idx="781">
                  <c:v>18.1359194363155</c:v>
                </c:pt>
                <c:pt idx="782">
                  <c:v>17.846472990072</c:v>
                </c:pt>
                <c:pt idx="783">
                  <c:v>17.8027064677828</c:v>
                </c:pt>
                <c:pt idx="784">
                  <c:v>17.7725012345335</c:v>
                </c:pt>
                <c:pt idx="785">
                  <c:v>17.6981175910563</c:v>
                </c:pt>
                <c:pt idx="786">
                  <c:v>17.6078091319782</c:v>
                </c:pt>
                <c:pt idx="787">
                  <c:v>17.7643</c:v>
                </c:pt>
                <c:pt idx="788">
                  <c:v>17.6329832942714</c:v>
                </c:pt>
                <c:pt idx="789">
                  <c:v>17.9103262126882</c:v>
                </c:pt>
                <c:pt idx="790">
                  <c:v>18.0295292068031</c:v>
                </c:pt>
                <c:pt idx="791">
                  <c:v>18.073250544098</c:v>
                </c:pt>
                <c:pt idx="792">
                  <c:v>17.9054909076323</c:v>
                </c:pt>
                <c:pt idx="793">
                  <c:v>17.7256175595528</c:v>
                </c:pt>
                <c:pt idx="794">
                  <c:v>17.46237337272</c:v>
                </c:pt>
                <c:pt idx="795">
                  <c:v>17.3525326422761</c:v>
                </c:pt>
                <c:pt idx="796">
                  <c:v>17.2769521483133</c:v>
                </c:pt>
                <c:pt idx="797">
                  <c:v>17.2733525652798</c:v>
                </c:pt>
                <c:pt idx="798">
                  <c:v>17.3627472618218</c:v>
                </c:pt>
                <c:pt idx="799">
                  <c:v>17.2247208018483</c:v>
                </c:pt>
                <c:pt idx="800">
                  <c:v>17.3321348513195</c:v>
                </c:pt>
                <c:pt idx="801">
                  <c:v>17.4034260995628</c:v>
                </c:pt>
                <c:pt idx="802">
                  <c:v>17.3273262530463</c:v>
                </c:pt>
                <c:pt idx="803">
                  <c:v>17.1935427228702</c:v>
                </c:pt>
                <c:pt idx="804">
                  <c:v>17.2087355220844</c:v>
                </c:pt>
                <c:pt idx="805">
                  <c:v>17.1535832520958</c:v>
                </c:pt>
                <c:pt idx="806">
                  <c:v>17.2841195546212</c:v>
                </c:pt>
                <c:pt idx="807">
                  <c:v>17.5664928508981</c:v>
                </c:pt>
                <c:pt idx="808">
                  <c:v>17.5866458116424</c:v>
                </c:pt>
                <c:pt idx="809">
                  <c:v>17.7457094566344</c:v>
                </c:pt>
                <c:pt idx="810">
                  <c:v>17.7882618426061</c:v>
                </c:pt>
                <c:pt idx="811">
                  <c:v>17.8150956639782</c:v>
                </c:pt>
                <c:pt idx="812">
                  <c:v>17.9360992119191</c:v>
                </c:pt>
                <c:pt idx="813">
                  <c:v>18.0272861650231</c:v>
                </c:pt>
                <c:pt idx="814">
                  <c:v>18.0227988423141</c:v>
                </c:pt>
                <c:pt idx="815">
                  <c:v>17.8987932204977</c:v>
                </c:pt>
                <c:pt idx="816">
                  <c:v>17.8515869899486</c:v>
                </c:pt>
                <c:pt idx="817">
                  <c:v>17.8062435989458</c:v>
                </c:pt>
                <c:pt idx="818">
                  <c:v>17.8155</c:v>
                </c:pt>
                <c:pt idx="819">
                  <c:v>17.8116</c:v>
                </c:pt>
                <c:pt idx="820">
                  <c:v>17.9322200878913</c:v>
                </c:pt>
                <c:pt idx="821">
                  <c:v>17.958345176052</c:v>
                </c:pt>
                <c:pt idx="822">
                  <c:v>17.9943262759348</c:v>
                </c:pt>
                <c:pt idx="823">
                  <c:v>18.0963461420625</c:v>
                </c:pt>
                <c:pt idx="824">
                  <c:v>18.2478136012101</c:v>
                </c:pt>
                <c:pt idx="825">
                  <c:v>18.3313</c:v>
                </c:pt>
                <c:pt idx="826">
                  <c:v>18.2729150774343</c:v>
                </c:pt>
                <c:pt idx="827">
                  <c:v>18.4307560947493</c:v>
                </c:pt>
                <c:pt idx="828">
                  <c:v>18.1940695697609</c:v>
                </c:pt>
                <c:pt idx="829">
                  <c:v>18.3733056151282</c:v>
                </c:pt>
                <c:pt idx="830">
                  <c:v>18.3706</c:v>
                </c:pt>
                <c:pt idx="831">
                  <c:v>18.4200315921154</c:v>
                </c:pt>
                <c:pt idx="832">
                  <c:v>18.4018278928827</c:v>
                </c:pt>
                <c:pt idx="833">
                  <c:v>18.419637676478</c:v>
                </c:pt>
                <c:pt idx="834">
                  <c:v>18.4935686853031</c:v>
                </c:pt>
                <c:pt idx="835">
                  <c:v>18.373665104178</c:v>
                </c:pt>
                <c:pt idx="836">
                  <c:v>18.2684157989713</c:v>
                </c:pt>
                <c:pt idx="837">
                  <c:v>18.2163688871841</c:v>
                </c:pt>
                <c:pt idx="838">
                  <c:v>18.3076</c:v>
                </c:pt>
                <c:pt idx="839">
                  <c:v>18.4192353867959</c:v>
                </c:pt>
                <c:pt idx="840">
                  <c:v>18.4531200840909</c:v>
                </c:pt>
                <c:pt idx="841">
                  <c:v>18.3900693848402</c:v>
                </c:pt>
                <c:pt idx="842">
                  <c:v>18.4260240251821</c:v>
                </c:pt>
                <c:pt idx="843">
                  <c:v>18.6052440785787</c:v>
                </c:pt>
                <c:pt idx="844">
                  <c:v>18.7142322885251</c:v>
                </c:pt>
                <c:pt idx="845">
                  <c:v>18.7496510407763</c:v>
                </c:pt>
                <c:pt idx="846">
                  <c:v>18.6495830035212</c:v>
                </c:pt>
                <c:pt idx="847">
                  <c:v>18.5935776777965</c:v>
                </c:pt>
                <c:pt idx="848">
                  <c:v>18.6240624270508</c:v>
                </c:pt>
                <c:pt idx="849">
                  <c:v>18.6781283299143</c:v>
                </c:pt>
                <c:pt idx="850">
                  <c:v>18.6833016727615</c:v>
                </c:pt>
                <c:pt idx="851">
                  <c:v>18.8112791249422</c:v>
                </c:pt>
                <c:pt idx="852">
                  <c:v>18.7177603070653</c:v>
                </c:pt>
                <c:pt idx="853">
                  <c:v>18.6149543459886</c:v>
                </c:pt>
                <c:pt idx="854">
                  <c:v>18.6531601574554</c:v>
                </c:pt>
                <c:pt idx="855">
                  <c:v>18.7570112389703</c:v>
                </c:pt>
                <c:pt idx="856">
                  <c:v>18.7919738694383</c:v>
                </c:pt>
                <c:pt idx="857">
                  <c:v>18.6929427312775</c:v>
                </c:pt>
                <c:pt idx="858">
                  <c:v>18.8285132967362</c:v>
                </c:pt>
                <c:pt idx="859">
                  <c:v>18.7535562551149</c:v>
                </c:pt>
                <c:pt idx="860">
                  <c:v>18.7856998331192</c:v>
                </c:pt>
                <c:pt idx="861">
                  <c:v>18.8182926634658</c:v>
                </c:pt>
                <c:pt idx="862">
                  <c:v>18.7014</c:v>
                </c:pt>
                <c:pt idx="863">
                  <c:v>18.5960435080242</c:v>
                </c:pt>
                <c:pt idx="864">
                  <c:v>18.6216478753413</c:v>
                </c:pt>
                <c:pt idx="865">
                  <c:v>18.7473782704934</c:v>
                </c:pt>
                <c:pt idx="866">
                  <c:v>18.9015026138377</c:v>
                </c:pt>
                <c:pt idx="867">
                  <c:v>19.1176453177066</c:v>
                </c:pt>
                <c:pt idx="868">
                  <c:v>19.2506485487115</c:v>
                </c:pt>
                <c:pt idx="869">
                  <c:v>19.3493545556092</c:v>
                </c:pt>
                <c:pt idx="870">
                  <c:v>19.3965413261131</c:v>
                </c:pt>
                <c:pt idx="871">
                  <c:v>19.5347998296322</c:v>
                </c:pt>
                <c:pt idx="872">
                  <c:v>19.4359512722565</c:v>
                </c:pt>
                <c:pt idx="873">
                  <c:v>19.5146887219198</c:v>
                </c:pt>
                <c:pt idx="874">
                  <c:v>19.6226</c:v>
                </c:pt>
                <c:pt idx="875">
                  <c:v>19.6277566891749</c:v>
                </c:pt>
                <c:pt idx="876">
                  <c:v>19.662</c:v>
                </c:pt>
                <c:pt idx="877">
                  <c:v>19.8248984152123</c:v>
                </c:pt>
                <c:pt idx="878">
                  <c:v>19.9738042815578</c:v>
                </c:pt>
                <c:pt idx="879">
                  <c:v>20.0121073897432</c:v>
                </c:pt>
                <c:pt idx="880">
                  <c:v>20.0971240769592</c:v>
                </c:pt>
                <c:pt idx="881">
                  <c:v>20.2712868459372</c:v>
                </c:pt>
                <c:pt idx="882">
                  <c:v>20.0337130845422</c:v>
                </c:pt>
                <c:pt idx="883">
                  <c:v>19.9600007900072</c:v>
                </c:pt>
                <c:pt idx="884">
                  <c:v>19.9683714222153</c:v>
                </c:pt>
                <c:pt idx="885">
                  <c:v>20.0675</c:v>
                </c:pt>
                <c:pt idx="886">
                  <c:v>19.9473687450388</c:v>
                </c:pt>
                <c:pt idx="887">
                  <c:v>19.9333162291501</c:v>
                </c:pt>
                <c:pt idx="888">
                  <c:v>20.0426417588974</c:v>
                </c:pt>
                <c:pt idx="889">
                  <c:v>19.9698790323944</c:v>
                </c:pt>
                <c:pt idx="890">
                  <c:v>19.6637170853615</c:v>
                </c:pt>
                <c:pt idx="891">
                  <c:v>19.4273698936583</c:v>
                </c:pt>
                <c:pt idx="892">
                  <c:v>19.5507900252103</c:v>
                </c:pt>
                <c:pt idx="893">
                  <c:v>19.5868095340303</c:v>
                </c:pt>
                <c:pt idx="894">
                  <c:v>19.5214168089482</c:v>
                </c:pt>
                <c:pt idx="895">
                  <c:v>19.526567119853</c:v>
                </c:pt>
                <c:pt idx="896">
                  <c:v>19.4297110053983</c:v>
                </c:pt>
                <c:pt idx="897">
                  <c:v>19.2673713389073</c:v>
                </c:pt>
                <c:pt idx="898">
                  <c:v>19.2532471212349</c:v>
                </c:pt>
                <c:pt idx="899">
                  <c:v>19.2805045377674</c:v>
                </c:pt>
                <c:pt idx="900">
                  <c:v>19.176076969881</c:v>
                </c:pt>
                <c:pt idx="901">
                  <c:v>19.0525159925507</c:v>
                </c:pt>
                <c:pt idx="902">
                  <c:v>19.0235615193763</c:v>
                </c:pt>
                <c:pt idx="903">
                  <c:v>19.0111933926656</c:v>
                </c:pt>
                <c:pt idx="904">
                  <c:v>19.0173263044178</c:v>
                </c:pt>
                <c:pt idx="905">
                  <c:v>18.9555668264038</c:v>
                </c:pt>
                <c:pt idx="906">
                  <c:v>18.7920728128047</c:v>
                </c:pt>
                <c:pt idx="907">
                  <c:v>18.8234</c:v>
                </c:pt>
                <c:pt idx="908">
                  <c:v>18.8467227103048</c:v>
                </c:pt>
                <c:pt idx="909">
                  <c:v>18.8357037782864</c:v>
                </c:pt>
                <c:pt idx="910">
                  <c:v>18.7369351624519</c:v>
                </c:pt>
                <c:pt idx="911">
                  <c:v>18.9127881808714</c:v>
                </c:pt>
                <c:pt idx="912">
                  <c:v>19.0029413504028</c:v>
                </c:pt>
                <c:pt idx="913">
                  <c:v>19.0454651430396</c:v>
                </c:pt>
                <c:pt idx="914">
                  <c:v>19.0806374077726</c:v>
                </c:pt>
                <c:pt idx="915">
                  <c:v>19.1935</c:v>
                </c:pt>
                <c:pt idx="916">
                  <c:v>19.2785941716532</c:v>
                </c:pt>
                <c:pt idx="917">
                  <c:v>19.4094117944694</c:v>
                </c:pt>
                <c:pt idx="918">
                  <c:v>19.3943</c:v>
                </c:pt>
                <c:pt idx="919">
                  <c:v>19.4644986096672</c:v>
                </c:pt>
                <c:pt idx="920">
                  <c:v>19.4955933339892</c:v>
                </c:pt>
                <c:pt idx="921">
                  <c:v>19.5811343508976</c:v>
                </c:pt>
                <c:pt idx="922">
                  <c:v>19.5127523892791</c:v>
                </c:pt>
                <c:pt idx="923">
                  <c:v>19.2799511082769</c:v>
                </c:pt>
                <c:pt idx="924">
                  <c:v>19.1245484755968</c:v>
                </c:pt>
                <c:pt idx="925">
                  <c:v>19.0040490148497</c:v>
                </c:pt>
                <c:pt idx="926">
                  <c:v>18.9957034854848</c:v>
                </c:pt>
                <c:pt idx="927">
                  <c:v>18.9771068038341</c:v>
                </c:pt>
                <c:pt idx="928">
                  <c:v>18.9739220322701</c:v>
                </c:pt>
                <c:pt idx="929">
                  <c:v>18.7859824146821</c:v>
                </c:pt>
                <c:pt idx="930">
                  <c:v>18.8785</c:v>
                </c:pt>
                <c:pt idx="931">
                  <c:v>18.7565</c:v>
                </c:pt>
                <c:pt idx="932">
                  <c:v>18.6551557469015</c:v>
                </c:pt>
                <c:pt idx="933">
                  <c:v>18.7604</c:v>
                </c:pt>
                <c:pt idx="934">
                  <c:v>18.8613871310505</c:v>
                </c:pt>
                <c:pt idx="935">
                  <c:v>18.6810620624332</c:v>
                </c:pt>
                <c:pt idx="936">
                  <c:v>18.8069199974559</c:v>
                </c:pt>
                <c:pt idx="937">
                  <c:v>18.9229717083471</c:v>
                </c:pt>
                <c:pt idx="938">
                  <c:v>18.8879840818589</c:v>
                </c:pt>
                <c:pt idx="939">
                  <c:v>18.817879243205</c:v>
                </c:pt>
                <c:pt idx="940">
                  <c:v>18.7752585891421</c:v>
                </c:pt>
                <c:pt idx="941">
                  <c:v>18.8511427287893</c:v>
                </c:pt>
                <c:pt idx="942">
                  <c:v>18.7175485819997</c:v>
                </c:pt>
                <c:pt idx="943">
                  <c:v>18.6311695698557</c:v>
                </c:pt>
                <c:pt idx="944">
                  <c:v>18.5532734765036</c:v>
                </c:pt>
                <c:pt idx="945">
                  <c:v>18.3055819377399</c:v>
                </c:pt>
                <c:pt idx="946">
                  <c:v>18.1540619316584</c:v>
                </c:pt>
                <c:pt idx="947">
                  <c:v>17.9025728990079</c:v>
                </c:pt>
                <c:pt idx="948">
                  <c:v>18.0829538586289</c:v>
                </c:pt>
                <c:pt idx="949">
                  <c:v>18.1718626842525</c:v>
                </c:pt>
                <c:pt idx="950">
                  <c:v>18.1108</c:v>
                </c:pt>
                <c:pt idx="951">
                  <c:v>18.0116786998326</c:v>
                </c:pt>
                <c:pt idx="952">
                  <c:v>18.1483611158778</c:v>
                </c:pt>
                <c:pt idx="953">
                  <c:v>18.2536417741444</c:v>
                </c:pt>
                <c:pt idx="954">
                  <c:v>18.4255889420636</c:v>
                </c:pt>
                <c:pt idx="955">
                  <c:v>18.4207954935513</c:v>
                </c:pt>
                <c:pt idx="956">
                  <c:v>18.4557259698385</c:v>
                </c:pt>
                <c:pt idx="957">
                  <c:v>18.4099746394841</c:v>
                </c:pt>
                <c:pt idx="958">
                  <c:v>18.4384980311262</c:v>
                </c:pt>
                <c:pt idx="959">
                  <c:v>18.4557734297248</c:v>
                </c:pt>
                <c:pt idx="960">
                  <c:v>18.6758923821976</c:v>
                </c:pt>
                <c:pt idx="961">
                  <c:v>18.7610828780339</c:v>
                </c:pt>
                <c:pt idx="962">
                  <c:v>18.7161006032053</c:v>
                </c:pt>
                <c:pt idx="963">
                  <c:v>18.6498041942448</c:v>
                </c:pt>
                <c:pt idx="964">
                  <c:v>18.7327168476452</c:v>
                </c:pt>
                <c:pt idx="965">
                  <c:v>18.7515947601344</c:v>
                </c:pt>
                <c:pt idx="966">
                  <c:v>18.7319055100608</c:v>
                </c:pt>
                <c:pt idx="967">
                  <c:v>18.725</c:v>
                </c:pt>
                <c:pt idx="968">
                  <c:v>18.8148662268183</c:v>
                </c:pt>
                <c:pt idx="969">
                  <c:v>19.0105854092257</c:v>
                </c:pt>
                <c:pt idx="970">
                  <c:v>19.0279506459961</c:v>
                </c:pt>
                <c:pt idx="971">
                  <c:v>19.1534827936572</c:v>
                </c:pt>
                <c:pt idx="972">
                  <c:v>19.5493498515302</c:v>
                </c:pt>
                <c:pt idx="973">
                  <c:v>19.6861760582682</c:v>
                </c:pt>
                <c:pt idx="974">
                  <c:v>19.7641463457476</c:v>
                </c:pt>
                <c:pt idx="975">
                  <c:v>19.6974</c:v>
                </c:pt>
                <c:pt idx="976">
                  <c:v>19.7435781634704</c:v>
                </c:pt>
                <c:pt idx="977">
                  <c:v>19.7512127906263</c:v>
                </c:pt>
                <c:pt idx="978">
                  <c:v>19.6627717825603</c:v>
                </c:pt>
                <c:pt idx="979">
                  <c:v>19.6727289679247</c:v>
                </c:pt>
                <c:pt idx="980">
                  <c:v>19.9089006908946</c:v>
                </c:pt>
                <c:pt idx="981">
                  <c:v>20.1405284546184</c:v>
                </c:pt>
                <c:pt idx="982">
                  <c:v>20.0536366886189</c:v>
                </c:pt>
                <c:pt idx="983">
                  <c:v>20.042873494645</c:v>
                </c:pt>
                <c:pt idx="984">
                  <c:v>19.7598380114187</c:v>
                </c:pt>
                <c:pt idx="985">
                  <c:v>19.8578423758037</c:v>
                </c:pt>
                <c:pt idx="986">
                  <c:v>19.9304732059685</c:v>
                </c:pt>
                <c:pt idx="987">
                  <c:v>20.0163120122717</c:v>
                </c:pt>
                <c:pt idx="988">
                  <c:v>20.205094522764</c:v>
                </c:pt>
                <c:pt idx="989">
                  <c:v>20.2892731645482</c:v>
                </c:pt>
                <c:pt idx="990">
                  <c:v>20.240101908815</c:v>
                </c:pt>
                <c:pt idx="991">
                  <c:v>20.2372740701337</c:v>
                </c:pt>
                <c:pt idx="992">
                  <c:v>20.1664404927216</c:v>
                </c:pt>
                <c:pt idx="993">
                  <c:v>20.0282638229866</c:v>
                </c:pt>
                <c:pt idx="994">
                  <c:v>20.1597387613501</c:v>
                </c:pt>
                <c:pt idx="995">
                  <c:v>20.201478567205</c:v>
                </c:pt>
                <c:pt idx="996">
                  <c:v>19.9827352494547</c:v>
                </c:pt>
                <c:pt idx="997">
                  <c:v>20.0063867337001</c:v>
                </c:pt>
                <c:pt idx="998">
                  <c:v>20.0580803177491</c:v>
                </c:pt>
                <c:pt idx="999">
                  <c:v>20.0601585889975</c:v>
                </c:pt>
                <c:pt idx="1000">
                  <c:v>20.2893743872064</c:v>
                </c:pt>
                <c:pt idx="1001">
                  <c:v>20.4516692363593</c:v>
                </c:pt>
                <c:pt idx="1002">
                  <c:v>20.3846572470844</c:v>
                </c:pt>
                <c:pt idx="1003">
                  <c:v>19.8959637135726</c:v>
                </c:pt>
                <c:pt idx="1004">
                  <c:v>19.7546916958802</c:v>
                </c:pt>
                <c:pt idx="1005">
                  <c:v>19.8123487376451</c:v>
                </c:pt>
                <c:pt idx="1006">
                  <c:v>19.4436187930275</c:v>
                </c:pt>
                <c:pt idx="1007">
                  <c:v>19.5866871849512</c:v>
                </c:pt>
                <c:pt idx="1008">
                  <c:v>19.4443172746177</c:v>
                </c:pt>
                <c:pt idx="1009">
                  <c:v>19.5606180586467</c:v>
                </c:pt>
                <c:pt idx="1010">
                  <c:v>19.2590289396074</c:v>
                </c:pt>
                <c:pt idx="1011">
                  <c:v>19.3914785427094</c:v>
                </c:pt>
                <c:pt idx="1012">
                  <c:v>19.351</c:v>
                </c:pt>
                <c:pt idx="1013">
                  <c:v>19.4831941465297</c:v>
                </c:pt>
                <c:pt idx="1014">
                  <c:v>19.3881352953215</c:v>
                </c:pt>
                <c:pt idx="1015">
                  <c:v>19.5244607602977</c:v>
                </c:pt>
                <c:pt idx="1016">
                  <c:v>19.52544012621</c:v>
                </c:pt>
                <c:pt idx="1017">
                  <c:v>19.3234</c:v>
                </c:pt>
                <c:pt idx="1018">
                  <c:v>19.359018860605</c:v>
                </c:pt>
                <c:pt idx="1019">
                  <c:v>19.2098206753869</c:v>
                </c:pt>
                <c:pt idx="1020">
                  <c:v>19.3096198691363</c:v>
                </c:pt>
                <c:pt idx="1021">
                  <c:v>19.3955854540112</c:v>
                </c:pt>
                <c:pt idx="1022">
                  <c:v>19.458372301642</c:v>
                </c:pt>
                <c:pt idx="1023">
                  <c:v>19.5645077039659</c:v>
                </c:pt>
                <c:pt idx="1024">
                  <c:v>19.6368958587549</c:v>
                </c:pt>
                <c:pt idx="1025">
                  <c:v>19.7032035860724</c:v>
                </c:pt>
                <c:pt idx="1026">
                  <c:v>19.5772455337785</c:v>
                </c:pt>
                <c:pt idx="1027">
                  <c:v>19.7214004858047</c:v>
                </c:pt>
                <c:pt idx="1028">
                  <c:v>19.6930002212786</c:v>
                </c:pt>
                <c:pt idx="1029">
                  <c:v>19.6069</c:v>
                </c:pt>
                <c:pt idx="1030">
                  <c:v>19.6745251283222</c:v>
                </c:pt>
                <c:pt idx="1031">
                  <c:v>19.4367060005088</c:v>
                </c:pt>
                <c:pt idx="1032">
                  <c:v>19.4606203356767</c:v>
                </c:pt>
                <c:pt idx="1033">
                  <c:v>19.7744834751232</c:v>
                </c:pt>
                <c:pt idx="1034">
                  <c:v>19.8336597593965</c:v>
                </c:pt>
                <c:pt idx="1035">
                  <c:v>19.7810224514746</c:v>
                </c:pt>
                <c:pt idx="1036">
                  <c:v>19.8773530957515</c:v>
                </c:pt>
                <c:pt idx="1037">
                  <c:v>19.8903466423915</c:v>
                </c:pt>
                <c:pt idx="1038">
                  <c:v>19.7221286127779</c:v>
                </c:pt>
                <c:pt idx="1039">
                  <c:v>19.718598780854</c:v>
                </c:pt>
                <c:pt idx="1040">
                  <c:v>19.407724169382</c:v>
                </c:pt>
                <c:pt idx="1041">
                  <c:v>19.5254577487769</c:v>
                </c:pt>
                <c:pt idx="1042">
                  <c:v>19.4038147924571</c:v>
                </c:pt>
                <c:pt idx="1043">
                  <c:v>19.410970867284</c:v>
                </c:pt>
                <c:pt idx="1044">
                  <c:v>19.196882411626</c:v>
                </c:pt>
                <c:pt idx="1045">
                  <c:v>19.1978592584965</c:v>
                </c:pt>
                <c:pt idx="1046">
                  <c:v>19.3313</c:v>
                </c:pt>
                <c:pt idx="1047">
                  <c:v>19.4021802980069</c:v>
                </c:pt>
                <c:pt idx="1048">
                  <c:v>19.2800540468803</c:v>
                </c:pt>
                <c:pt idx="1049">
                  <c:v>19.3842755281492</c:v>
                </c:pt>
                <c:pt idx="1050">
                  <c:v>19.5623588914774</c:v>
                </c:pt>
                <c:pt idx="1051">
                  <c:v>19.6807306621325</c:v>
                </c:pt>
                <c:pt idx="1052">
                  <c:v>19.673107905621</c:v>
                </c:pt>
                <c:pt idx="1053">
                  <c:v>19.6567671689614</c:v>
                </c:pt>
                <c:pt idx="1054">
                  <c:v>19.7316165366845</c:v>
                </c:pt>
                <c:pt idx="1055">
                  <c:v>19.7305887754828</c:v>
                </c:pt>
                <c:pt idx="1056">
                  <c:v>19.8643245828863</c:v>
                </c:pt>
                <c:pt idx="1057">
                  <c:v>19.8391</c:v>
                </c:pt>
                <c:pt idx="1058">
                  <c:v>19.941007958691</c:v>
                </c:pt>
                <c:pt idx="1059">
                  <c:v>19.73102333153</c:v>
                </c:pt>
                <c:pt idx="1060">
                  <c:v>19.478992005753</c:v>
                </c:pt>
                <c:pt idx="1061">
                  <c:v>19.3700198470858</c:v>
                </c:pt>
                <c:pt idx="1062">
                  <c:v>19.237040579627</c:v>
                </c:pt>
                <c:pt idx="1063">
                  <c:v>19.3692327287647</c:v>
                </c:pt>
                <c:pt idx="1064">
                  <c:v>19.5348774065463</c:v>
                </c:pt>
                <c:pt idx="1065">
                  <c:v>19.5625140053736</c:v>
                </c:pt>
                <c:pt idx="1066">
                  <c:v>19.5925994167553</c:v>
                </c:pt>
                <c:pt idx="1067">
                  <c:v>19.6869857540279</c:v>
                </c:pt>
                <c:pt idx="1068">
                  <c:v>19.5348541207824</c:v>
                </c:pt>
                <c:pt idx="1069">
                  <c:v>19.703444776674</c:v>
                </c:pt>
                <c:pt idx="1070">
                  <c:v>19.6417950406467</c:v>
                </c:pt>
                <c:pt idx="1071">
                  <c:v>19.6779704973635</c:v>
                </c:pt>
                <c:pt idx="1072">
                  <c:v>19.5242</c:v>
                </c:pt>
                <c:pt idx="1073">
                  <c:v>19.480746342611</c:v>
                </c:pt>
                <c:pt idx="1074">
                  <c:v>19.3117988808645</c:v>
                </c:pt>
                <c:pt idx="1075">
                  <c:v>19.2998427027313</c:v>
                </c:pt>
                <c:pt idx="1076">
                  <c:v>18.9869176203344</c:v>
                </c:pt>
                <c:pt idx="1077">
                  <c:v>19.0443920749711</c:v>
                </c:pt>
                <c:pt idx="1078">
                  <c:v>19.0793</c:v>
                </c:pt>
                <c:pt idx="1079">
                  <c:v>19.1441607548481</c:v>
                </c:pt>
                <c:pt idx="1080">
                  <c:v>19.1292540928147</c:v>
                </c:pt>
                <c:pt idx="1081">
                  <c:v>19.2787550098232</c:v>
                </c:pt>
                <c:pt idx="1082">
                  <c:v>19.3112063770937</c:v>
                </c:pt>
                <c:pt idx="1083">
                  <c:v>19.3653163668756</c:v>
                </c:pt>
                <c:pt idx="1084">
                  <c:v>19.4244118680273</c:v>
                </c:pt>
                <c:pt idx="1085">
                  <c:v>19.7182311563777</c:v>
                </c:pt>
                <c:pt idx="1086">
                  <c:v>19.7091737500388</c:v>
                </c:pt>
                <c:pt idx="1087">
                  <c:v>19.6584329026038</c:v>
                </c:pt>
                <c:pt idx="1088">
                  <c:v>19.6182541907585</c:v>
                </c:pt>
                <c:pt idx="1089">
                  <c:v>19.42681894231</c:v>
                </c:pt>
                <c:pt idx="1090">
                  <c:v>19.2238161082496</c:v>
                </c:pt>
                <c:pt idx="1091">
                  <c:v>19.2546853125615</c:v>
                </c:pt>
                <c:pt idx="1092">
                  <c:v>19.8595910465872</c:v>
                </c:pt>
                <c:pt idx="1093">
                  <c:v>18.6757660135644</c:v>
                </c:pt>
                <c:pt idx="1094">
                  <c:v>19.2870771768117</c:v>
                </c:pt>
                <c:pt idx="1095">
                  <c:v>19.4585009994492</c:v>
                </c:pt>
                <c:pt idx="1096">
                  <c:v>19.8753177738042</c:v>
                </c:pt>
                <c:pt idx="1097">
                  <c:v>19.8555788182884</c:v>
                </c:pt>
                <c:pt idx="1098">
                  <c:v>19.8604020289029</c:v>
                </c:pt>
                <c:pt idx="1099">
                  <c:v>19.91</c:v>
                </c:pt>
                <c:pt idx="1100">
                  <c:v>19.9323483879061</c:v>
                </c:pt>
                <c:pt idx="1101">
                  <c:v>19.9813240085629</c:v>
                </c:pt>
                <c:pt idx="1102">
                  <c:v>20.0542216271449</c:v>
                </c:pt>
                <c:pt idx="1103">
                  <c:v>20.018553257461</c:v>
                </c:pt>
                <c:pt idx="1104">
                  <c:v>20.0609921534773</c:v>
                </c:pt>
                <c:pt idx="1105">
                  <c:v>19.9986988352996</c:v>
                </c:pt>
                <c:pt idx="1106">
                  <c:v>20.0361787312651</c:v>
                </c:pt>
                <c:pt idx="1107">
                  <c:v>20.1933197561749</c:v>
                </c:pt>
                <c:pt idx="1108">
                  <c:v>20.3188826327473</c:v>
                </c:pt>
                <c:pt idx="1109">
                  <c:v>20.4684514287728</c:v>
                </c:pt>
                <c:pt idx="1110">
                  <c:v>20.4395932490046</c:v>
                </c:pt>
                <c:pt idx="1111">
                  <c:v>20.5572465715143</c:v>
                </c:pt>
                <c:pt idx="1112">
                  <c:v>20.5498969035976</c:v>
                </c:pt>
                <c:pt idx="1113">
                  <c:v>20.6884502742813</c:v>
                </c:pt>
                <c:pt idx="1114">
                  <c:v>20.7354529343343</c:v>
                </c:pt>
                <c:pt idx="1115">
                  <c:v>20.7694292102549</c:v>
                </c:pt>
                <c:pt idx="1116">
                  <c:v>20.7666114360788</c:v>
                </c:pt>
                <c:pt idx="1117">
                  <c:v>20.8628</c:v>
                </c:pt>
                <c:pt idx="1118">
                  <c:v>20.7699415328324</c:v>
                </c:pt>
                <c:pt idx="1119">
                  <c:v>20.7626836296515</c:v>
                </c:pt>
                <c:pt idx="1120">
                  <c:v>20.9216744028617</c:v>
                </c:pt>
                <c:pt idx="1121">
                  <c:v>20.9938691927378</c:v>
                </c:pt>
                <c:pt idx="1122">
                  <c:v>21.0163259990505</c:v>
                </c:pt>
                <c:pt idx="1123">
                  <c:v>21.1767256593488</c:v>
                </c:pt>
                <c:pt idx="1124">
                  <c:v>20.9462231930324</c:v>
                </c:pt>
                <c:pt idx="1125">
                  <c:v>20.9277368866952</c:v>
                </c:pt>
                <c:pt idx="1126">
                  <c:v>20.9019499836288</c:v>
                </c:pt>
                <c:pt idx="1127">
                  <c:v>20.8304606881437</c:v>
                </c:pt>
                <c:pt idx="1128">
                  <c:v>20.7670095053194</c:v>
                </c:pt>
                <c:pt idx="1129">
                  <c:v>21.1305652969359</c:v>
                </c:pt>
                <c:pt idx="1130">
                  <c:v>21.0842611700896</c:v>
                </c:pt>
                <c:pt idx="1131">
                  <c:v>21.0983665204776</c:v>
                </c:pt>
                <c:pt idx="1132">
                  <c:v>21.1413831271818</c:v>
                </c:pt>
                <c:pt idx="1133">
                  <c:v>21.1303684044526</c:v>
                </c:pt>
                <c:pt idx="1134">
                  <c:v>20.7823708603676</c:v>
                </c:pt>
                <c:pt idx="1135">
                  <c:v>20.2217916914537</c:v>
                </c:pt>
                <c:pt idx="1136">
                  <c:v>20.1362527173778</c:v>
                </c:pt>
                <c:pt idx="1137">
                  <c:v>20.3238489408304</c:v>
                </c:pt>
                <c:pt idx="1138">
                  <c:v>20.170610369659</c:v>
                </c:pt>
                <c:pt idx="1139">
                  <c:v>20.3020698319915</c:v>
                </c:pt>
                <c:pt idx="1140">
                  <c:v>20.2819352978702</c:v>
                </c:pt>
                <c:pt idx="1141">
                  <c:v>20.0980779880297</c:v>
                </c:pt>
                <c:pt idx="1142">
                  <c:v>20.1014386297338</c:v>
                </c:pt>
                <c:pt idx="1143">
                  <c:v>20.4205934461944</c:v>
                </c:pt>
                <c:pt idx="1144">
                  <c:v>20.4468044710875</c:v>
                </c:pt>
                <c:pt idx="1145">
                  <c:v>20.5372657245246</c:v>
                </c:pt>
                <c:pt idx="1146">
                  <c:v>20.5823032686792</c:v>
                </c:pt>
                <c:pt idx="1147">
                  <c:v>20.6115200130926</c:v>
                </c:pt>
                <c:pt idx="1148">
                  <c:v>20.6193829888334</c:v>
                </c:pt>
                <c:pt idx="1149">
                  <c:v>20.7748866900585</c:v>
                </c:pt>
                <c:pt idx="1150">
                  <c:v>20.7545315846081</c:v>
                </c:pt>
                <c:pt idx="1151">
                  <c:v>20.7708345146825</c:v>
                </c:pt>
                <c:pt idx="1152">
                  <c:v>20.8435457473498</c:v>
                </c:pt>
                <c:pt idx="1153">
                  <c:v>20.8929025407573</c:v>
                </c:pt>
                <c:pt idx="1154">
                  <c:v>20.9127300008628</c:v>
                </c:pt>
                <c:pt idx="1155">
                  <c:v>20.8787571074814</c:v>
                </c:pt>
                <c:pt idx="1156">
                  <c:v>20.8005927789379</c:v>
                </c:pt>
                <c:pt idx="1157">
                  <c:v>20.6884673912089</c:v>
                </c:pt>
                <c:pt idx="1158">
                  <c:v>20.4462453536689</c:v>
                </c:pt>
                <c:pt idx="1159">
                  <c:v>20.4962612595315</c:v>
                </c:pt>
                <c:pt idx="1160">
                  <c:v>20.5530001152701</c:v>
                </c:pt>
                <c:pt idx="1161">
                  <c:v>20.4455225758605</c:v>
                </c:pt>
                <c:pt idx="1162">
                  <c:v>20.8264888924681</c:v>
                </c:pt>
                <c:pt idx="1163">
                  <c:v>20.7676423625028</c:v>
                </c:pt>
                <c:pt idx="1164">
                  <c:v>20.759713543418</c:v>
                </c:pt>
                <c:pt idx="1165">
                  <c:v>20.786448353148</c:v>
                </c:pt>
                <c:pt idx="1166">
                  <c:v>20.784882867767</c:v>
                </c:pt>
                <c:pt idx="1167">
                  <c:v>20.8485549351564</c:v>
                </c:pt>
                <c:pt idx="1168">
                  <c:v>21.1614065272074</c:v>
                </c:pt>
                <c:pt idx="1169">
                  <c:v>21.2829221870291</c:v>
                </c:pt>
                <c:pt idx="1170">
                  <c:v>21.2840298584725</c:v>
                </c:pt>
                <c:pt idx="1171">
                  <c:v>21.3363365655193</c:v>
                </c:pt>
                <c:pt idx="1172">
                  <c:v>21.5101999572561</c:v>
                </c:pt>
                <c:pt idx="1173">
                  <c:v>21.4869140080768</c:v>
                </c:pt>
                <c:pt idx="1174">
                  <c:v>21.2150079775179</c:v>
                </c:pt>
                <c:pt idx="1175">
                  <c:v>21.2235056831727</c:v>
                </c:pt>
                <c:pt idx="1176">
                  <c:v>20.8378448628022</c:v>
                </c:pt>
                <c:pt idx="1177">
                  <c:v>20.6771886470031</c:v>
                </c:pt>
                <c:pt idx="1178">
                  <c:v>20.5015316072342</c:v>
                </c:pt>
                <c:pt idx="1179">
                  <c:v>20.697763886961</c:v>
                </c:pt>
                <c:pt idx="1180">
                  <c:v>20.6746199071066</c:v>
                </c:pt>
                <c:pt idx="1181">
                  <c:v>20.7273633041802</c:v>
                </c:pt>
                <c:pt idx="1182">
                  <c:v>20.7368</c:v>
                </c:pt>
                <c:pt idx="1183">
                  <c:v>20.8872644844971</c:v>
                </c:pt>
                <c:pt idx="1184">
                  <c:v>20.8380686704664</c:v>
                </c:pt>
                <c:pt idx="1185">
                  <c:v>20.7801</c:v>
                </c:pt>
                <c:pt idx="1186">
                  <c:v>20.6027597745639</c:v>
                </c:pt>
                <c:pt idx="1187">
                  <c:v>20.690834369398</c:v>
                </c:pt>
                <c:pt idx="1188">
                  <c:v>20.6301039706401</c:v>
                </c:pt>
                <c:pt idx="1189">
                  <c:v>20.4041653461212</c:v>
                </c:pt>
                <c:pt idx="1190">
                  <c:v>20.3736492706038</c:v>
                </c:pt>
                <c:pt idx="1191">
                  <c:v>20.343550081364</c:v>
                </c:pt>
                <c:pt idx="1192">
                  <c:v>20.1612874008151</c:v>
                </c:pt>
                <c:pt idx="1193">
                  <c:v>20.2933152849181</c:v>
                </c:pt>
                <c:pt idx="1194">
                  <c:v>20.3997880402068</c:v>
                </c:pt>
                <c:pt idx="1195">
                  <c:v>20.2981743383034</c:v>
                </c:pt>
                <c:pt idx="1196">
                  <c:v>20.1851789982541</c:v>
                </c:pt>
                <c:pt idx="1197">
                  <c:v>20.2643</c:v>
                </c:pt>
                <c:pt idx="1198">
                  <c:v>20.0066642804683</c:v>
                </c:pt>
                <c:pt idx="1199">
                  <c:v>20.1918086141462</c:v>
                </c:pt>
                <c:pt idx="1200">
                  <c:v>20.4141289281548</c:v>
                </c:pt>
                <c:pt idx="1201">
                  <c:v>20.1738</c:v>
                </c:pt>
                <c:pt idx="1202">
                  <c:v>20.1187</c:v>
                </c:pt>
                <c:pt idx="1203">
                  <c:v>20.0856576206725</c:v>
                </c:pt>
                <c:pt idx="1204">
                  <c:v>19.8657742446853</c:v>
                </c:pt>
                <c:pt idx="1205">
                  <c:v>19.595944837084</c:v>
                </c:pt>
                <c:pt idx="1206">
                  <c:v>19.5522832474805</c:v>
                </c:pt>
                <c:pt idx="1207">
                  <c:v>19.4804389300895</c:v>
                </c:pt>
                <c:pt idx="1208">
                  <c:v>19.5084</c:v>
                </c:pt>
                <c:pt idx="1209">
                  <c:v>19.3237458394724</c:v>
                </c:pt>
                <c:pt idx="1210">
                  <c:v>19.7798955279701</c:v>
                </c:pt>
                <c:pt idx="1211">
                  <c:v>20.0453894598742</c:v>
                </c:pt>
                <c:pt idx="1212">
                  <c:v>20.0227139607928</c:v>
                </c:pt>
                <c:pt idx="1213">
                  <c:v>20.0892508267106</c:v>
                </c:pt>
                <c:pt idx="1214">
                  <c:v>19.7958596583853</c:v>
                </c:pt>
                <c:pt idx="1215">
                  <c:v>19.9754483852641</c:v>
                </c:pt>
                <c:pt idx="1216">
                  <c:v>20.0902025356136</c:v>
                </c:pt>
                <c:pt idx="1217">
                  <c:v>20.2348606348239</c:v>
                </c:pt>
                <c:pt idx="1218">
                  <c:v>20.204796611732</c:v>
                </c:pt>
                <c:pt idx="1219">
                  <c:v>20.4037689502306</c:v>
                </c:pt>
                <c:pt idx="1220">
                  <c:v>20.3785</c:v>
                </c:pt>
                <c:pt idx="1221">
                  <c:v>20.3299439779883</c:v>
                </c:pt>
                <c:pt idx="1222">
                  <c:v>20.3225532229372</c:v>
                </c:pt>
                <c:pt idx="1223">
                  <c:v>20.3487718232581</c:v>
                </c:pt>
                <c:pt idx="1224">
                  <c:v>20.271891455073</c:v>
                </c:pt>
                <c:pt idx="1225">
                  <c:v>20.4344057631408</c:v>
                </c:pt>
                <c:pt idx="1226">
                  <c:v>20.3374987231063</c:v>
                </c:pt>
                <c:pt idx="1227">
                  <c:v>20.058509135201</c:v>
                </c:pt>
                <c:pt idx="1228">
                  <c:v>19.9453813668064</c:v>
                </c:pt>
                <c:pt idx="1229">
                  <c:v>19.7363182991152</c:v>
                </c:pt>
                <c:pt idx="1230">
                  <c:v>19.4339045037264</c:v>
                </c:pt>
                <c:pt idx="1231">
                  <c:v>19.5465744058997</c:v>
                </c:pt>
                <c:pt idx="1232">
                  <c:v>19.5226722364541</c:v>
                </c:pt>
                <c:pt idx="1233">
                  <c:v>19.5114490277778</c:v>
                </c:pt>
                <c:pt idx="1234">
                  <c:v>19.5625557587723</c:v>
                </c:pt>
                <c:pt idx="1235">
                  <c:v>19.4083590092196</c:v>
                </c:pt>
                <c:pt idx="1236">
                  <c:v>19.3960293806406</c:v>
                </c:pt>
                <c:pt idx="1237">
                  <c:v>19.4765016401751</c:v>
                </c:pt>
                <c:pt idx="1238">
                  <c:v>19.8241832095122</c:v>
                </c:pt>
                <c:pt idx="1239">
                  <c:v>19.6175783676417</c:v>
                </c:pt>
                <c:pt idx="1240">
                  <c:v>19.2770585278768</c:v>
                </c:pt>
                <c:pt idx="1241">
                  <c:v>19.3520328705711</c:v>
                </c:pt>
                <c:pt idx="1242">
                  <c:v>19.3197451499289</c:v>
                </c:pt>
                <c:pt idx="1243">
                  <c:v>19.1810976836887</c:v>
                </c:pt>
                <c:pt idx="1244">
                  <c:v>19.0880807884257</c:v>
                </c:pt>
                <c:pt idx="1245">
                  <c:v>18.8065842424752</c:v>
                </c:pt>
                <c:pt idx="1246">
                  <c:v>18.8799827051872</c:v>
                </c:pt>
                <c:pt idx="1247">
                  <c:v>18.9102463332644</c:v>
                </c:pt>
                <c:pt idx="1248">
                  <c:v>18.9905691792511</c:v>
                </c:pt>
                <c:pt idx="1249">
                  <c:v>18.9092794745708</c:v>
                </c:pt>
                <c:pt idx="1250">
                  <c:v>19.0329173549525</c:v>
                </c:pt>
                <c:pt idx="1251">
                  <c:v>18.7719406109171</c:v>
                </c:pt>
                <c:pt idx="1252">
                  <c:v>18.8702844642766</c:v>
                </c:pt>
                <c:pt idx="1253">
                  <c:v>18.9110316014701</c:v>
                </c:pt>
                <c:pt idx="1254">
                  <c:v>18.8270139600568</c:v>
                </c:pt>
                <c:pt idx="1255">
                  <c:v>18.6222117750919</c:v>
                </c:pt>
                <c:pt idx="1256">
                  <c:v>18.7267056054969</c:v>
                </c:pt>
                <c:pt idx="1257">
                  <c:v>18.8946217256285</c:v>
                </c:pt>
                <c:pt idx="1258">
                  <c:v>18.9955181787017</c:v>
                </c:pt>
                <c:pt idx="1259">
                  <c:v>19.2181781281047</c:v>
                </c:pt>
                <c:pt idx="1260">
                  <c:v>19.1984476965518</c:v>
                </c:pt>
                <c:pt idx="1261">
                  <c:v>19.1134646724632</c:v>
                </c:pt>
                <c:pt idx="1262">
                  <c:v>19.4228990659997</c:v>
                </c:pt>
                <c:pt idx="1263">
                  <c:v>19.4079483123482</c:v>
                </c:pt>
                <c:pt idx="1264">
                  <c:v>19.3318196004551</c:v>
                </c:pt>
                <c:pt idx="1265">
                  <c:v>19.3420913462754</c:v>
                </c:pt>
                <c:pt idx="1266">
                  <c:v>19.195670747267</c:v>
                </c:pt>
                <c:pt idx="1267">
                  <c:v>18.9145875556324</c:v>
                </c:pt>
                <c:pt idx="1268">
                  <c:v>18.8928214905832</c:v>
                </c:pt>
                <c:pt idx="1269">
                  <c:v>18.9081658760994</c:v>
                </c:pt>
                <c:pt idx="1270">
                  <c:v>18.8423819371027</c:v>
                </c:pt>
                <c:pt idx="1271">
                  <c:v>18.8704710158507</c:v>
                </c:pt>
                <c:pt idx="1272">
                  <c:v>18.8588</c:v>
                </c:pt>
                <c:pt idx="1273">
                  <c:v>18.8486084086937</c:v>
                </c:pt>
                <c:pt idx="1274">
                  <c:v>18.8323758338309</c:v>
                </c:pt>
                <c:pt idx="1275">
                  <c:v>18.7360077628098</c:v>
                </c:pt>
                <c:pt idx="1276">
                  <c:v>18.5366553054438</c:v>
                </c:pt>
                <c:pt idx="1277">
                  <c:v>18.5318882708006</c:v>
                </c:pt>
                <c:pt idx="1278">
                  <c:v>18.5298335144888</c:v>
                </c:pt>
                <c:pt idx="1279">
                  <c:v>18.1843467882311</c:v>
                </c:pt>
                <c:pt idx="1280">
                  <c:v>18.1770749228639</c:v>
                </c:pt>
                <c:pt idx="1281">
                  <c:v>18.1466783904123</c:v>
                </c:pt>
                <c:pt idx="1282">
                  <c:v>18.3432726553633</c:v>
                </c:pt>
                <c:pt idx="1283">
                  <c:v>18.5085981410986</c:v>
                </c:pt>
                <c:pt idx="1284">
                  <c:v>18.5133700945507</c:v>
                </c:pt>
                <c:pt idx="1285">
                  <c:v>18.4376830211568</c:v>
                </c:pt>
                <c:pt idx="1286">
                  <c:v>18.4685488992437</c:v>
                </c:pt>
                <c:pt idx="1287">
                  <c:v>18.4460562114889</c:v>
                </c:pt>
                <c:pt idx="1288">
                  <c:v>18.3924622186523</c:v>
                </c:pt>
                <c:pt idx="1289">
                  <c:v>18.4850352662667</c:v>
                </c:pt>
                <c:pt idx="1290">
                  <c:v>18.7523892166608</c:v>
                </c:pt>
                <c:pt idx="1291">
                  <c:v>18.8116</c:v>
                </c:pt>
                <c:pt idx="1292">
                  <c:v>19.0440391634217</c:v>
                </c:pt>
                <c:pt idx="1293">
                  <c:v>19.1752250187711</c:v>
                </c:pt>
                <c:pt idx="1294">
                  <c:v>19.4291301867798</c:v>
                </c:pt>
                <c:pt idx="1295">
                  <c:v>19.4502911201097</c:v>
                </c:pt>
                <c:pt idx="1296">
                  <c:v>19.3383297472762</c:v>
                </c:pt>
                <c:pt idx="1297">
                  <c:v>19.4335596561177</c:v>
                </c:pt>
                <c:pt idx="1298">
                  <c:v>19.3785</c:v>
                </c:pt>
                <c:pt idx="1299">
                  <c:v>19.0871141188001</c:v>
                </c:pt>
                <c:pt idx="1300">
                  <c:v>19.22442348428</c:v>
                </c:pt>
                <c:pt idx="1301">
                  <c:v>19.1650015227785</c:v>
                </c:pt>
                <c:pt idx="1302">
                  <c:v>18.8800830589289</c:v>
                </c:pt>
                <c:pt idx="1303">
                  <c:v>18.2702503094285</c:v>
                </c:pt>
                <c:pt idx="1304">
                  <c:v>18.602724182106</c:v>
                </c:pt>
                <c:pt idx="1305">
                  <c:v>18.5050667262676</c:v>
                </c:pt>
                <c:pt idx="1306">
                  <c:v>18.871453280682</c:v>
                </c:pt>
                <c:pt idx="1307">
                  <c:v>19.2864934134144</c:v>
                </c:pt>
                <c:pt idx="1308">
                  <c:v>19.3870613064212</c:v>
                </c:pt>
                <c:pt idx="1309">
                  <c:v>19.7298909771347</c:v>
                </c:pt>
                <c:pt idx="1310">
                  <c:v>19.9564588304545</c:v>
                </c:pt>
                <c:pt idx="1311">
                  <c:v>20.001744129098</c:v>
                </c:pt>
                <c:pt idx="1312">
                  <c:v>20.1502268312963</c:v>
                </c:pt>
                <c:pt idx="1313">
                  <c:v>20.0931134885921</c:v>
                </c:pt>
                <c:pt idx="1314">
                  <c:v>19.9103683215643</c:v>
                </c:pt>
                <c:pt idx="1315">
                  <c:v>20.1498541229766</c:v>
                </c:pt>
                <c:pt idx="1316">
                  <c:v>20.1560245162691</c:v>
                </c:pt>
                <c:pt idx="1317">
                  <c:v>20.1399183600242</c:v>
                </c:pt>
                <c:pt idx="1318">
                  <c:v>20.1502638400277</c:v>
                </c:pt>
                <c:pt idx="1319">
                  <c:v>20.2467984388364</c:v>
                </c:pt>
                <c:pt idx="1320">
                  <c:v>20.1921772232781</c:v>
                </c:pt>
                <c:pt idx="1321">
                  <c:v>20.2375037884664</c:v>
                </c:pt>
                <c:pt idx="1322">
                  <c:v>20.133247050813</c:v>
                </c:pt>
                <c:pt idx="1323">
                  <c:v>19.9188597118459</c:v>
                </c:pt>
                <c:pt idx="1324">
                  <c:v>20.7047934599008</c:v>
                </c:pt>
                <c:pt idx="1325">
                  <c:v>20.4170826663973</c:v>
                </c:pt>
                <c:pt idx="1326">
                  <c:v>20.5068992031774</c:v>
                </c:pt>
                <c:pt idx="1327">
                  <c:v>20.8521160927131</c:v>
                </c:pt>
                <c:pt idx="1328">
                  <c:v>20.8388316718315</c:v>
                </c:pt>
                <c:pt idx="1329">
                  <c:v>20.7901249918018</c:v>
                </c:pt>
                <c:pt idx="1330">
                  <c:v>20.57760133476</c:v>
                </c:pt>
                <c:pt idx="1331">
                  <c:v>20.7086078512187</c:v>
                </c:pt>
                <c:pt idx="1332">
                  <c:v>20.5530214637127</c:v>
                </c:pt>
                <c:pt idx="1333">
                  <c:v>20.7417403552313</c:v>
                </c:pt>
                <c:pt idx="1334">
                  <c:v>20.8420751020112</c:v>
                </c:pt>
                <c:pt idx="1335">
                  <c:v>20.6962289693694</c:v>
                </c:pt>
                <c:pt idx="1336">
                  <c:v>20.6292742505477</c:v>
                </c:pt>
                <c:pt idx="1337">
                  <c:v>20.6969065699921</c:v>
                </c:pt>
                <c:pt idx="1338">
                  <c:v>20.6332887978093</c:v>
                </c:pt>
                <c:pt idx="1339">
                  <c:v>20.6048615150251</c:v>
                </c:pt>
                <c:pt idx="1340">
                  <c:v>20.4851971863005</c:v>
                </c:pt>
                <c:pt idx="1341">
                  <c:v>20.5500520226609</c:v>
                </c:pt>
                <c:pt idx="1342">
                  <c:v>20.6709459662737</c:v>
                </c:pt>
                <c:pt idx="1343">
                  <c:v>20.8696102478936</c:v>
                </c:pt>
                <c:pt idx="1344">
                  <c:v>20.9651726111197</c:v>
                </c:pt>
                <c:pt idx="1345">
                  <c:v>20.9763246096544</c:v>
                </c:pt>
                <c:pt idx="1346">
                  <c:v>20.997075698923</c:v>
                </c:pt>
                <c:pt idx="1347">
                  <c:v>20.7737469537367</c:v>
                </c:pt>
                <c:pt idx="1348">
                  <c:v>20.6321847883992</c:v>
                </c:pt>
                <c:pt idx="1349">
                  <c:v>20.8224089480715</c:v>
                </c:pt>
                <c:pt idx="1350">
                  <c:v>20.6711058117034</c:v>
                </c:pt>
                <c:pt idx="1351">
                  <c:v>20.6328957422885</c:v>
                </c:pt>
                <c:pt idx="1352">
                  <c:v>20.551097016164</c:v>
                </c:pt>
                <c:pt idx="1353">
                  <c:v>20.8152257178368</c:v>
                </c:pt>
                <c:pt idx="1354">
                  <c:v>20.6940225670952</c:v>
                </c:pt>
                <c:pt idx="1355">
                  <c:v>20.7195093005958</c:v>
                </c:pt>
                <c:pt idx="1356">
                  <c:v>20.8816758234976</c:v>
                </c:pt>
                <c:pt idx="1357">
                  <c:v>21.0995742659996</c:v>
                </c:pt>
                <c:pt idx="1358">
                  <c:v>21.1592567667501</c:v>
                </c:pt>
                <c:pt idx="1359">
                  <c:v>21.0451953583804</c:v>
                </c:pt>
                <c:pt idx="1360">
                  <c:v>21.0639352226753</c:v>
                </c:pt>
                <c:pt idx="1361">
                  <c:v>20.9593080417198</c:v>
                </c:pt>
                <c:pt idx="1362">
                  <c:v>20.909827740029</c:v>
                </c:pt>
                <c:pt idx="1363">
                  <c:v>20.9556716153274</c:v>
                </c:pt>
                <c:pt idx="1364">
                  <c:v>20.9559185302752</c:v>
                </c:pt>
                <c:pt idx="1365">
                  <c:v>21.0062891796156</c:v>
                </c:pt>
                <c:pt idx="1366">
                  <c:v>20.9304348121982</c:v>
                </c:pt>
                <c:pt idx="1367">
                  <c:v>20.83114791008</c:v>
                </c:pt>
                <c:pt idx="1368">
                  <c:v>20.6623971471914</c:v>
                </c:pt>
                <c:pt idx="1369">
                  <c:v>20.6537300358628</c:v>
                </c:pt>
                <c:pt idx="1370">
                  <c:v>20.7061317814279</c:v>
                </c:pt>
                <c:pt idx="1371">
                  <c:v>20.7134988874625</c:v>
                </c:pt>
                <c:pt idx="1372">
                  <c:v>20.6308488059309</c:v>
                </c:pt>
                <c:pt idx="1373">
                  <c:v>20.5133230190214</c:v>
                </c:pt>
                <c:pt idx="1374">
                  <c:v>20.6138011996508</c:v>
                </c:pt>
                <c:pt idx="1375">
                  <c:v>20.5893183723183</c:v>
                </c:pt>
                <c:pt idx="1376">
                  <c:v>20.7259373750559</c:v>
                </c:pt>
                <c:pt idx="1377">
                  <c:v>20.59625593628</c:v>
                </c:pt>
                <c:pt idx="1378">
                  <c:v>20.4213783602315</c:v>
                </c:pt>
                <c:pt idx="1379">
                  <c:v>20.2930304453451</c:v>
                </c:pt>
                <c:pt idx="1380">
                  <c:v>20.429817611589</c:v>
                </c:pt>
                <c:pt idx="1381">
                  <c:v>20.4749187056768</c:v>
                </c:pt>
                <c:pt idx="1382">
                  <c:v>20.4144160280595</c:v>
                </c:pt>
                <c:pt idx="1383">
                  <c:v>20.2486658042621</c:v>
                </c:pt>
                <c:pt idx="1384">
                  <c:v>20.4016622180504</c:v>
                </c:pt>
                <c:pt idx="1385">
                  <c:v>20.3538365711128</c:v>
                </c:pt>
                <c:pt idx="1386">
                  <c:v>20.3155537174466</c:v>
                </c:pt>
                <c:pt idx="1387">
                  <c:v>20.3475074770455</c:v>
                </c:pt>
                <c:pt idx="1388">
                  <c:v>20.1548790731681</c:v>
                </c:pt>
                <c:pt idx="1389">
                  <c:v>20.3364471816381</c:v>
                </c:pt>
                <c:pt idx="1390">
                  <c:v>20.253134367309</c:v>
                </c:pt>
                <c:pt idx="1391">
                  <c:v>20.3648197144713</c:v>
                </c:pt>
                <c:pt idx="1392">
                  <c:v>20.3747046056479</c:v>
                </c:pt>
                <c:pt idx="1393">
                  <c:v>20.5779032263612</c:v>
                </c:pt>
                <c:pt idx="1394">
                  <c:v>20.6610935024836</c:v>
                </c:pt>
                <c:pt idx="1395">
                  <c:v>20.7189066673061</c:v>
                </c:pt>
                <c:pt idx="1396">
                  <c:v>20.746365852887</c:v>
                </c:pt>
                <c:pt idx="1397">
                  <c:v>20.5696593770025</c:v>
                </c:pt>
                <c:pt idx="1398">
                  <c:v>20.6504241201344</c:v>
                </c:pt>
                <c:pt idx="1399">
                  <c:v>20.4295146634774</c:v>
                </c:pt>
                <c:pt idx="1400">
                  <c:v>20.2549564207904</c:v>
                </c:pt>
                <c:pt idx="1401">
                  <c:v>20.1246917933327</c:v>
                </c:pt>
                <c:pt idx="1402">
                  <c:v>20.2494701958978</c:v>
                </c:pt>
                <c:pt idx="1403">
                  <c:v>20.2092</c:v>
                </c:pt>
                <c:pt idx="1404">
                  <c:v>20.295706557265</c:v>
                </c:pt>
                <c:pt idx="1405">
                  <c:v>20.3021005893052</c:v>
                </c:pt>
                <c:pt idx="1406">
                  <c:v>20.3004390772811</c:v>
                </c:pt>
                <c:pt idx="1407">
                  <c:v>20.2938858685705</c:v>
                </c:pt>
                <c:pt idx="1408">
                  <c:v>20.3664868583303</c:v>
                </c:pt>
                <c:pt idx="1409">
                  <c:v>20.4520332821499</c:v>
                </c:pt>
                <c:pt idx="1410">
                  <c:v>20.4769</c:v>
                </c:pt>
                <c:pt idx="1411">
                  <c:v>20.5657501989562</c:v>
                </c:pt>
                <c:pt idx="1412">
                  <c:v>20.5290636651937</c:v>
                </c:pt>
                <c:pt idx="1413">
                  <c:v>20.6681940689048</c:v>
                </c:pt>
                <c:pt idx="1414">
                  <c:v>20.7218730724259</c:v>
                </c:pt>
                <c:pt idx="1415">
                  <c:v>20.7982397427632</c:v>
                </c:pt>
                <c:pt idx="1416">
                  <c:v>20.7023905378956</c:v>
                </c:pt>
                <c:pt idx="1417">
                  <c:v>20.588475483993</c:v>
                </c:pt>
                <c:pt idx="1418">
                  <c:v>20.561639438162</c:v>
                </c:pt>
                <c:pt idx="1419">
                  <c:v>20.4442697892346</c:v>
                </c:pt>
                <c:pt idx="1420">
                  <c:v>20.2995601599869</c:v>
                </c:pt>
                <c:pt idx="1421">
                  <c:v>20.1069696646129</c:v>
                </c:pt>
                <c:pt idx="1422">
                  <c:v>20.0908219118777</c:v>
                </c:pt>
                <c:pt idx="1423">
                  <c:v>20.061551778088</c:v>
                </c:pt>
                <c:pt idx="1424">
                  <c:v>20.2320209520238</c:v>
                </c:pt>
                <c:pt idx="1425">
                  <c:v>20.2742153738017</c:v>
                </c:pt>
                <c:pt idx="1426">
                  <c:v>20.4235788251833</c:v>
                </c:pt>
                <c:pt idx="1427">
                  <c:v>20.4485406015456</c:v>
                </c:pt>
                <c:pt idx="1428">
                  <c:v>20.3979247972742</c:v>
                </c:pt>
                <c:pt idx="1429">
                  <c:v>20.5267535610134</c:v>
                </c:pt>
                <c:pt idx="1430">
                  <c:v>20.6212919000888</c:v>
                </c:pt>
                <c:pt idx="1431">
                  <c:v>20.5793</c:v>
                </c:pt>
                <c:pt idx="1432">
                  <c:v>20.5072382021085</c:v>
                </c:pt>
                <c:pt idx="1433">
                  <c:v>20.6524456452647</c:v>
                </c:pt>
                <c:pt idx="1434">
                  <c:v>20.865914043165</c:v>
                </c:pt>
                <c:pt idx="1435">
                  <c:v>20.9729010817625</c:v>
                </c:pt>
                <c:pt idx="1436">
                  <c:v>21.0816410282887</c:v>
                </c:pt>
                <c:pt idx="1437">
                  <c:v>21.1024019558138</c:v>
                </c:pt>
                <c:pt idx="1438">
                  <c:v>21.1246933530514</c:v>
                </c:pt>
                <c:pt idx="1439">
                  <c:v>21.0461633494505</c:v>
                </c:pt>
                <c:pt idx="1440">
                  <c:v>21.1872474938118</c:v>
                </c:pt>
                <c:pt idx="1441">
                  <c:v>21.1628911000711</c:v>
                </c:pt>
                <c:pt idx="1442">
                  <c:v>21.2896773486478</c:v>
                </c:pt>
                <c:pt idx="1443">
                  <c:v>21.1458198955514</c:v>
                </c:pt>
                <c:pt idx="1444">
                  <c:v>21.033768580173</c:v>
                </c:pt>
                <c:pt idx="1445">
                  <c:v>21.0722454258522</c:v>
                </c:pt>
                <c:pt idx="1446">
                  <c:v>20.9534786069498</c:v>
                </c:pt>
                <c:pt idx="1447">
                  <c:v>20.8814853402444</c:v>
                </c:pt>
                <c:pt idx="1448">
                  <c:v>20.8805343305325</c:v>
                </c:pt>
                <c:pt idx="1449">
                  <c:v>20.9634667754565</c:v>
                </c:pt>
                <c:pt idx="1450">
                  <c:v>21.0905745440599</c:v>
                </c:pt>
                <c:pt idx="1451">
                  <c:v>21.239017347268</c:v>
                </c:pt>
                <c:pt idx="1452">
                  <c:v>21.2417670480739</c:v>
                </c:pt>
                <c:pt idx="1453">
                  <c:v>21.2671299599851</c:v>
                </c:pt>
                <c:pt idx="1454">
                  <c:v>21.3234</c:v>
                </c:pt>
                <c:pt idx="1455">
                  <c:v>21.2386423242592</c:v>
                </c:pt>
                <c:pt idx="1456">
                  <c:v>21.3893744114945</c:v>
                </c:pt>
                <c:pt idx="1457">
                  <c:v>21.4848319598598</c:v>
                </c:pt>
                <c:pt idx="1458">
                  <c:v>21.3682379580563</c:v>
                </c:pt>
                <c:pt idx="1459">
                  <c:v>21.2632140275086</c:v>
                </c:pt>
                <c:pt idx="1460">
                  <c:v>21.2020278687669</c:v>
                </c:pt>
                <c:pt idx="1461">
                  <c:v>21.4806607358886</c:v>
                </c:pt>
                <c:pt idx="1462">
                  <c:v>21.4890627298571</c:v>
                </c:pt>
                <c:pt idx="1463">
                  <c:v>21.4787344250763</c:v>
                </c:pt>
                <c:pt idx="1464">
                  <c:v>21.4564384020574</c:v>
                </c:pt>
                <c:pt idx="1465">
                  <c:v>21.299323417262</c:v>
                </c:pt>
                <c:pt idx="1466">
                  <c:v>21.2615229723561</c:v>
                </c:pt>
                <c:pt idx="1467">
                  <c:v>21.3005916140066</c:v>
                </c:pt>
                <c:pt idx="1468">
                  <c:v>21.4255294481434</c:v>
                </c:pt>
                <c:pt idx="1469">
                  <c:v>21.2244243550876</c:v>
                </c:pt>
                <c:pt idx="1470">
                  <c:v>21.121754172917</c:v>
                </c:pt>
                <c:pt idx="1471">
                  <c:v>21.0528592074726</c:v>
                </c:pt>
                <c:pt idx="1472">
                  <c:v>21.1677353376694</c:v>
                </c:pt>
                <c:pt idx="1473">
                  <c:v>21.2890275306343</c:v>
                </c:pt>
                <c:pt idx="1474">
                  <c:v>21.2729669403933</c:v>
                </c:pt>
                <c:pt idx="1475">
                  <c:v>21.0871197154785</c:v>
                </c:pt>
                <c:pt idx="1476">
                  <c:v>21.0442455877959</c:v>
                </c:pt>
                <c:pt idx="1477">
                  <c:v>21.0274218076023</c:v>
                </c:pt>
                <c:pt idx="1478">
                  <c:v>21.1129798869263</c:v>
                </c:pt>
                <c:pt idx="1479">
                  <c:v>21.2681105792764</c:v>
                </c:pt>
                <c:pt idx="1480">
                  <c:v>21.271701261952</c:v>
                </c:pt>
                <c:pt idx="1481">
                  <c:v>21.2272370343633</c:v>
                </c:pt>
                <c:pt idx="1482">
                  <c:v>21.1462</c:v>
                </c:pt>
                <c:pt idx="1483">
                  <c:v>21.0390995646868</c:v>
                </c:pt>
                <c:pt idx="1484">
                  <c:v>21.0277687309914</c:v>
                </c:pt>
                <c:pt idx="1485">
                  <c:v>21.178559780572</c:v>
                </c:pt>
                <c:pt idx="1486">
                  <c:v>21.1836075644833</c:v>
                </c:pt>
                <c:pt idx="1487">
                  <c:v>21.3112369959739</c:v>
                </c:pt>
                <c:pt idx="1488">
                  <c:v>21.2478987454841</c:v>
                </c:pt>
                <c:pt idx="1489">
                  <c:v>21.1899432344927</c:v>
                </c:pt>
                <c:pt idx="1490">
                  <c:v>21.1533065930304</c:v>
                </c:pt>
                <c:pt idx="1491">
                  <c:v>20.9397565759154</c:v>
                </c:pt>
                <c:pt idx="1492">
                  <c:v>20.7831343485087</c:v>
                </c:pt>
                <c:pt idx="1493">
                  <c:v>20.8696791546112</c:v>
                </c:pt>
                <c:pt idx="1494">
                  <c:v>20.8143523206159</c:v>
                </c:pt>
                <c:pt idx="1495">
                  <c:v>20.7604</c:v>
                </c:pt>
                <c:pt idx="1496">
                  <c:v>20.7836553106103</c:v>
                </c:pt>
                <c:pt idx="1497">
                  <c:v>20.6764840825784</c:v>
                </c:pt>
                <c:pt idx="1498">
                  <c:v>20.3912131720568</c:v>
                </c:pt>
                <c:pt idx="1499">
                  <c:v>20.3494078844835</c:v>
                </c:pt>
                <c:pt idx="1500">
                  <c:v>20.4892821730081</c:v>
                </c:pt>
                <c:pt idx="1501">
                  <c:v>20.2938270970988</c:v>
                </c:pt>
                <c:pt idx="1502">
                  <c:v>20.3638868430896</c:v>
                </c:pt>
                <c:pt idx="1503">
                  <c:v>20.4803098232891</c:v>
                </c:pt>
                <c:pt idx="1504">
                  <c:v>20.5418491429385</c:v>
                </c:pt>
                <c:pt idx="1505">
                  <c:v>20.4813767166947</c:v>
                </c:pt>
                <c:pt idx="1506">
                  <c:v>20.2747612224643</c:v>
                </c:pt>
                <c:pt idx="1507">
                  <c:v>20.7912793597444</c:v>
                </c:pt>
                <c:pt idx="1508">
                  <c:v>20.8304333983132</c:v>
                </c:pt>
                <c:pt idx="1509">
                  <c:v>20.7227900972325</c:v>
                </c:pt>
                <c:pt idx="1510">
                  <c:v>20.7460841161498</c:v>
                </c:pt>
                <c:pt idx="1511">
                  <c:v>20.7890010969807</c:v>
                </c:pt>
                <c:pt idx="1512">
                  <c:v>20.8109443573547</c:v>
                </c:pt>
                <c:pt idx="1513">
                  <c:v>20.8164373421849</c:v>
                </c:pt>
                <c:pt idx="1514">
                  <c:v>20.6976342759936</c:v>
                </c:pt>
                <c:pt idx="1515">
                  <c:v>20.3881806081893</c:v>
                </c:pt>
                <c:pt idx="1516">
                  <c:v>20.5569621278969</c:v>
                </c:pt>
                <c:pt idx="1517">
                  <c:v>20.5911</c:v>
                </c:pt>
                <c:pt idx="1518">
                  <c:v>20.6662993689117</c:v>
                </c:pt>
                <c:pt idx="1519">
                  <c:v>20.3741464189089</c:v>
                </c:pt>
                <c:pt idx="1520">
                  <c:v>20.4613185435596</c:v>
                </c:pt>
                <c:pt idx="1521">
                  <c:v>20.5560543734359</c:v>
                </c:pt>
                <c:pt idx="1522">
                  <c:v>20.3192014698961</c:v>
                </c:pt>
                <c:pt idx="1523">
                  <c:v>20.3549326540929</c:v>
                </c:pt>
                <c:pt idx="1524">
                  <c:v>20.3661555248391</c:v>
                </c:pt>
                <c:pt idx="1525">
                  <c:v>20.0888722356519</c:v>
                </c:pt>
                <c:pt idx="1526">
                  <c:v>19.8268019543482</c:v>
                </c:pt>
                <c:pt idx="1527">
                  <c:v>19.5124717884475</c:v>
                </c:pt>
                <c:pt idx="1528">
                  <c:v>19.7399532307556</c:v>
                </c:pt>
                <c:pt idx="1529">
                  <c:v>19.4651</c:v>
                </c:pt>
                <c:pt idx="1530">
                  <c:v>19.1288256884843</c:v>
                </c:pt>
                <c:pt idx="1531">
                  <c:v>19.2905672024054</c:v>
                </c:pt>
                <c:pt idx="1532">
                  <c:v>18.9766987269896</c:v>
                </c:pt>
                <c:pt idx="1533">
                  <c:v>18.7956528704925</c:v>
                </c:pt>
                <c:pt idx="1534">
                  <c:v>18.4076009150101</c:v>
                </c:pt>
                <c:pt idx="1535">
                  <c:v>18.6124999805317</c:v>
                </c:pt>
                <c:pt idx="1536">
                  <c:v>18.7447932639095</c:v>
                </c:pt>
                <c:pt idx="1537">
                  <c:v>18.901111492467</c:v>
                </c:pt>
                <c:pt idx="1538">
                  <c:v>18.2845427969135</c:v>
                </c:pt>
                <c:pt idx="1539">
                  <c:v>18.3738504652503</c:v>
                </c:pt>
                <c:pt idx="1540">
                  <c:v>17.8869817055979</c:v>
                </c:pt>
                <c:pt idx="1541">
                  <c:v>18.2045951778818</c:v>
                </c:pt>
                <c:pt idx="1542">
                  <c:v>18.5176798276716</c:v>
                </c:pt>
                <c:pt idx="1543">
                  <c:v>18.1308627695567</c:v>
                </c:pt>
                <c:pt idx="1544">
                  <c:v>17.6671943731087</c:v>
                </c:pt>
                <c:pt idx="1545">
                  <c:v>17.9415</c:v>
                </c:pt>
                <c:pt idx="1546">
                  <c:v>17.9533</c:v>
                </c:pt>
                <c:pt idx="1547">
                  <c:v>18.1549802856061</c:v>
                </c:pt>
                <c:pt idx="1548">
                  <c:v>18.2778143690205</c:v>
                </c:pt>
                <c:pt idx="1549">
                  <c:v>18.803825128604</c:v>
                </c:pt>
                <c:pt idx="1550">
                  <c:v>18.6296746438699</c:v>
                </c:pt>
                <c:pt idx="1551">
                  <c:v>18.8304025564561</c:v>
                </c:pt>
                <c:pt idx="1552">
                  <c:v>18.6675882311746</c:v>
                </c:pt>
                <c:pt idx="1553">
                  <c:v>18.9796223735557</c:v>
                </c:pt>
                <c:pt idx="1554">
                  <c:v>18.9525604349472</c:v>
                </c:pt>
                <c:pt idx="1555">
                  <c:v>19.075376989906</c:v>
                </c:pt>
                <c:pt idx="1556">
                  <c:v>19.084227927859</c:v>
                </c:pt>
                <c:pt idx="1557">
                  <c:v>19.2422339346627</c:v>
                </c:pt>
                <c:pt idx="1558">
                  <c:v>19.0702599003018</c:v>
                </c:pt>
                <c:pt idx="1559">
                  <c:v>18.8967650506865</c:v>
                </c:pt>
                <c:pt idx="1560">
                  <c:v>18.6946528886343</c:v>
                </c:pt>
                <c:pt idx="1561">
                  <c:v>18.847</c:v>
                </c:pt>
                <c:pt idx="1562">
                  <c:v>18.7950842335794</c:v>
                </c:pt>
                <c:pt idx="1563">
                  <c:v>18.9376</c:v>
                </c:pt>
                <c:pt idx="1564">
                  <c:v>18.8039818444507</c:v>
                </c:pt>
                <c:pt idx="1565">
                  <c:v>18.915682186863</c:v>
                </c:pt>
                <c:pt idx="1566">
                  <c:v>18.8923924962853</c:v>
                </c:pt>
                <c:pt idx="1567">
                  <c:v>19.1383018153253</c:v>
                </c:pt>
                <c:pt idx="1568">
                  <c:v>19.1688054993973</c:v>
                </c:pt>
                <c:pt idx="1569">
                  <c:v>19.0690406782121</c:v>
                </c:pt>
                <c:pt idx="1570">
                  <c:v>18.7848525276438</c:v>
                </c:pt>
                <c:pt idx="1571">
                  <c:v>18.4225138526445</c:v>
                </c:pt>
                <c:pt idx="1572">
                  <c:v>18.4485564446888</c:v>
                </c:pt>
                <c:pt idx="1573">
                  <c:v>18.685272305581</c:v>
                </c:pt>
                <c:pt idx="1574">
                  <c:v>18.6658873468333</c:v>
                </c:pt>
                <c:pt idx="1575">
                  <c:v>18.6539982001965</c:v>
                </c:pt>
                <c:pt idx="1576">
                  <c:v>18.6104066233849</c:v>
                </c:pt>
                <c:pt idx="1577">
                  <c:v>18.6345900801633</c:v>
                </c:pt>
                <c:pt idx="1578">
                  <c:v>18.6312032617286</c:v>
                </c:pt>
                <c:pt idx="1579">
                  <c:v>18.6828852121265</c:v>
                </c:pt>
                <c:pt idx="1580">
                  <c:v>18.9289520581239</c:v>
                </c:pt>
                <c:pt idx="1581">
                  <c:v>18.8360074748086</c:v>
                </c:pt>
                <c:pt idx="1582">
                  <c:v>18.8308482627687</c:v>
                </c:pt>
                <c:pt idx="1583">
                  <c:v>18.5469659985699</c:v>
                </c:pt>
                <c:pt idx="1584">
                  <c:v>18.4168885417146</c:v>
                </c:pt>
                <c:pt idx="1585">
                  <c:v>18.4937075692837</c:v>
                </c:pt>
                <c:pt idx="1586">
                  <c:v>18.4179</c:v>
                </c:pt>
                <c:pt idx="1587">
                  <c:v>18.3991033185512</c:v>
                </c:pt>
                <c:pt idx="1588">
                  <c:v>18.3418776598938</c:v>
                </c:pt>
                <c:pt idx="1589">
                  <c:v>18.1442559130188</c:v>
                </c:pt>
                <c:pt idx="1590">
                  <c:v>18.2289</c:v>
                </c:pt>
                <c:pt idx="1591">
                  <c:v>18.2076061136902</c:v>
                </c:pt>
                <c:pt idx="1592">
                  <c:v>18.0664388211937</c:v>
                </c:pt>
                <c:pt idx="1593">
                  <c:v>18.4248247506066</c:v>
                </c:pt>
                <c:pt idx="1594">
                  <c:v>18.604994607711</c:v>
                </c:pt>
                <c:pt idx="1595">
                  <c:v>18.6609095642641</c:v>
                </c:pt>
                <c:pt idx="1596">
                  <c:v>18.7152565153208</c:v>
                </c:pt>
                <c:pt idx="1597">
                  <c:v>18.7523146233106</c:v>
                </c:pt>
                <c:pt idx="1598">
                  <c:v>18.6265</c:v>
                </c:pt>
                <c:pt idx="1599">
                  <c:v>18.6957180473185</c:v>
                </c:pt>
                <c:pt idx="1600">
                  <c:v>18.4794633148343</c:v>
                </c:pt>
                <c:pt idx="1601">
                  <c:v>18.6326954611839</c:v>
                </c:pt>
                <c:pt idx="1602">
                  <c:v>18.6429073810452</c:v>
                </c:pt>
                <c:pt idx="1603">
                  <c:v>18.5277692114396</c:v>
                </c:pt>
                <c:pt idx="1604">
                  <c:v>18.4654844937272</c:v>
                </c:pt>
                <c:pt idx="1605">
                  <c:v>18.5738831142428</c:v>
                </c:pt>
                <c:pt idx="1606">
                  <c:v>18.7053</c:v>
                </c:pt>
                <c:pt idx="1607">
                  <c:v>18.7789197626129</c:v>
                </c:pt>
                <c:pt idx="1608">
                  <c:v>18.9023286132356</c:v>
                </c:pt>
                <c:pt idx="1609">
                  <c:v>18.8669642584918</c:v>
                </c:pt>
                <c:pt idx="1610">
                  <c:v>18.4674504694723</c:v>
                </c:pt>
                <c:pt idx="1611">
                  <c:v>18.5253517964273</c:v>
                </c:pt>
                <c:pt idx="1612">
                  <c:v>18.687895853841</c:v>
                </c:pt>
                <c:pt idx="1613">
                  <c:v>18.6748354919585</c:v>
                </c:pt>
                <c:pt idx="1614">
                  <c:v>18.5277577510223</c:v>
                </c:pt>
                <c:pt idx="1615">
                  <c:v>18.540231771631</c:v>
                </c:pt>
                <c:pt idx="1616">
                  <c:v>18.5272533399568</c:v>
                </c:pt>
                <c:pt idx="1617">
                  <c:v>18.6755756454237</c:v>
                </c:pt>
                <c:pt idx="1618">
                  <c:v>18.5821242287246</c:v>
                </c:pt>
                <c:pt idx="1619">
                  <c:v>18.5431790831578</c:v>
                </c:pt>
                <c:pt idx="1620">
                  <c:v>18.3911130277016</c:v>
                </c:pt>
                <c:pt idx="1621">
                  <c:v>18.276635063276</c:v>
                </c:pt>
                <c:pt idx="1622">
                  <c:v>18.1835186193453</c:v>
                </c:pt>
                <c:pt idx="1623">
                  <c:v>18.209443861774</c:v>
                </c:pt>
                <c:pt idx="1624">
                  <c:v>18.1984352683771</c:v>
                </c:pt>
                <c:pt idx="1625">
                  <c:v>18.3902112431473</c:v>
                </c:pt>
                <c:pt idx="1626">
                  <c:v>18.3822491732877</c:v>
                </c:pt>
                <c:pt idx="1627">
                  <c:v>18.4320556589708</c:v>
                </c:pt>
                <c:pt idx="1628">
                  <c:v>18.7174615030534</c:v>
                </c:pt>
                <c:pt idx="1629">
                  <c:v>18.5712806169833</c:v>
                </c:pt>
                <c:pt idx="1630">
                  <c:v>18.5786367299886</c:v>
                </c:pt>
                <c:pt idx="1631">
                  <c:v>18.583912829281</c:v>
                </c:pt>
                <c:pt idx="1632">
                  <c:v>18.5343220737216</c:v>
                </c:pt>
                <c:pt idx="1633">
                  <c:v>18.54120911444</c:v>
                </c:pt>
                <c:pt idx="1634">
                  <c:v>18.4454</c:v>
                </c:pt>
                <c:pt idx="1635">
                  <c:v>18.412715723166</c:v>
                </c:pt>
                <c:pt idx="1636">
                  <c:v>18.3825</c:v>
                </c:pt>
                <c:pt idx="1637">
                  <c:v>18.3534540790383</c:v>
                </c:pt>
                <c:pt idx="1638">
                  <c:v>18.2605928004186</c:v>
                </c:pt>
                <c:pt idx="1639">
                  <c:v>18.1607851329722</c:v>
                </c:pt>
                <c:pt idx="1640">
                  <c:v>18.1031936653534</c:v>
                </c:pt>
                <c:pt idx="1641">
                  <c:v>18.2186397469835</c:v>
                </c:pt>
                <c:pt idx="1642">
                  <c:v>18.2120348522198</c:v>
                </c:pt>
                <c:pt idx="1643">
                  <c:v>18.1838896400811</c:v>
                </c:pt>
                <c:pt idx="1644">
                  <c:v>18.2680079480724</c:v>
                </c:pt>
                <c:pt idx="1645">
                  <c:v>18.172818868849</c:v>
                </c:pt>
                <c:pt idx="1646">
                  <c:v>18.0737202910519</c:v>
                </c:pt>
                <c:pt idx="1647">
                  <c:v>18.1362233331272</c:v>
                </c:pt>
                <c:pt idx="1648">
                  <c:v>18.0636220030442</c:v>
                </c:pt>
                <c:pt idx="1649">
                  <c:v>18.0440237692475</c:v>
                </c:pt>
                <c:pt idx="1650">
                  <c:v>17.9363057735913</c:v>
                </c:pt>
                <c:pt idx="1651">
                  <c:v>17.9038654689739</c:v>
                </c:pt>
                <c:pt idx="1652">
                  <c:v>17.8940286260689</c:v>
                </c:pt>
                <c:pt idx="1653">
                  <c:v>17.8009895692953</c:v>
                </c:pt>
                <c:pt idx="1654">
                  <c:v>17.6869665379313</c:v>
                </c:pt>
                <c:pt idx="1655">
                  <c:v>17.5346055837943</c:v>
                </c:pt>
                <c:pt idx="1656">
                  <c:v>17.5603809501243</c:v>
                </c:pt>
                <c:pt idx="1657">
                  <c:v>17.4848</c:v>
                </c:pt>
                <c:pt idx="1658">
                  <c:v>17.2751032313634</c:v>
                </c:pt>
                <c:pt idx="1659">
                  <c:v>17.348242746205</c:v>
                </c:pt>
                <c:pt idx="1660">
                  <c:v>17.3775091817462</c:v>
                </c:pt>
                <c:pt idx="1661">
                  <c:v>17.4237568167648</c:v>
                </c:pt>
                <c:pt idx="1662">
                  <c:v>17.4598344475081</c:v>
                </c:pt>
                <c:pt idx="1663">
                  <c:v>17.3817073318432</c:v>
                </c:pt>
                <c:pt idx="1664">
                  <c:v>17.4914846475926</c:v>
                </c:pt>
                <c:pt idx="1665">
                  <c:v>17.1777712716059</c:v>
                </c:pt>
                <c:pt idx="1666">
                  <c:v>17.2203468533265</c:v>
                </c:pt>
                <c:pt idx="1667">
                  <c:v>16.9374488591431</c:v>
                </c:pt>
              </c:numCache>
            </c:numRef>
          </c:val>
          <c:smooth val="0"/>
        </c:ser>
        <c:ser>
          <c:idx val="1"/>
          <c:order val="1"/>
          <c:tx>
            <c:strRef>
              <c:f>"Latest level (16.9x)"</c:f>
              <c:strCache>
                <c:ptCount val="1"/>
                <c:pt idx="0">
                  <c:v>Latest level (16.9x)</c:v>
                </c:pt>
              </c:strCache>
            </c:strRef>
          </c:tx>
          <c:spPr>
            <a:solidFill>
              <a:srgbClr val="8e8c81"/>
            </a:solidFill>
            <a:ln w="12600">
              <a:solidFill>
                <a:srgbClr val="8e8c81"/>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Data!$A$44:$A$1711</c:f>
              <c:numCache>
                <c:formatCode>yyyy</c:formatCode>
                <c:ptCount val="1668"/>
                <c:pt idx="0">
                  <c:v>01-Jan-2020</c:v>
                </c:pt>
                <c:pt idx="1">
                  <c:v>02-Jan-2020</c:v>
                </c:pt>
                <c:pt idx="2">
                  <c:v>03-Jan-2020</c:v>
                </c:pt>
                <c:pt idx="3">
                  <c:v>06-Jan-2020</c:v>
                </c:pt>
                <c:pt idx="4">
                  <c:v>07-Jan-2020</c:v>
                </c:pt>
                <c:pt idx="5">
                  <c:v>08-Jan-2020</c:v>
                </c:pt>
                <c:pt idx="6">
                  <c:v>09-Jan-2020</c:v>
                </c:pt>
                <c:pt idx="7">
                  <c:v>10-Jan-2020</c:v>
                </c:pt>
                <c:pt idx="8">
                  <c:v>13-Jan-2020</c:v>
                </c:pt>
                <c:pt idx="9">
                  <c:v>14-Jan-2020</c:v>
                </c:pt>
                <c:pt idx="10">
                  <c:v>15-Jan-2020</c:v>
                </c:pt>
                <c:pt idx="11">
                  <c:v>16-Jan-2020</c:v>
                </c:pt>
                <c:pt idx="12">
                  <c:v>17-Jan-2020</c:v>
                </c:pt>
                <c:pt idx="13">
                  <c:v>20-Jan-2020</c:v>
                </c:pt>
                <c:pt idx="14">
                  <c:v>21-Jan-2020</c:v>
                </c:pt>
                <c:pt idx="15">
                  <c:v>22-Jan-2020</c:v>
                </c:pt>
                <c:pt idx="16">
                  <c:v>23-Jan-2020</c:v>
                </c:pt>
                <c:pt idx="17">
                  <c:v>24-Jan-2020</c:v>
                </c:pt>
                <c:pt idx="18">
                  <c:v>27-Jan-2020</c:v>
                </c:pt>
                <c:pt idx="19">
                  <c:v>28-Jan-2020</c:v>
                </c:pt>
                <c:pt idx="20">
                  <c:v>29-Jan-2020</c:v>
                </c:pt>
                <c:pt idx="21">
                  <c:v>30-Jan-2020</c:v>
                </c:pt>
                <c:pt idx="22">
                  <c:v>31-Jan-2020</c:v>
                </c:pt>
                <c:pt idx="23">
                  <c:v>03-Feb-2020</c:v>
                </c:pt>
                <c:pt idx="24">
                  <c:v>04-Feb-2020</c:v>
                </c:pt>
                <c:pt idx="25">
                  <c:v>05-Feb-2020</c:v>
                </c:pt>
                <c:pt idx="26">
                  <c:v>06-Feb-2020</c:v>
                </c:pt>
                <c:pt idx="27">
                  <c:v>07-Feb-2020</c:v>
                </c:pt>
                <c:pt idx="28">
                  <c:v>10-Feb-2020</c:v>
                </c:pt>
                <c:pt idx="29">
                  <c:v>11-Feb-2020</c:v>
                </c:pt>
                <c:pt idx="30">
                  <c:v>12-Feb-2020</c:v>
                </c:pt>
                <c:pt idx="31">
                  <c:v>13-Feb-2020</c:v>
                </c:pt>
                <c:pt idx="32">
                  <c:v>14-Feb-2020</c:v>
                </c:pt>
                <c:pt idx="33">
                  <c:v>17-Feb-2020</c:v>
                </c:pt>
                <c:pt idx="34">
                  <c:v>18-Feb-2020</c:v>
                </c:pt>
                <c:pt idx="35">
                  <c:v>19-Feb-2020</c:v>
                </c:pt>
                <c:pt idx="36">
                  <c:v>20-Feb-2020</c:v>
                </c:pt>
                <c:pt idx="37">
                  <c:v>24-Feb-2020</c:v>
                </c:pt>
                <c:pt idx="38">
                  <c:v>25-Feb-2020</c:v>
                </c:pt>
                <c:pt idx="39">
                  <c:v>26-Feb-2020</c:v>
                </c:pt>
                <c:pt idx="40">
                  <c:v>27-Feb-2020</c:v>
                </c:pt>
                <c:pt idx="41">
                  <c:v>28-Feb-2020</c:v>
                </c:pt>
                <c:pt idx="42">
                  <c:v>02-Mar-2020</c:v>
                </c:pt>
                <c:pt idx="43">
                  <c:v>03-Mar-2020</c:v>
                </c:pt>
                <c:pt idx="44">
                  <c:v>04-Mar-2020</c:v>
                </c:pt>
                <c:pt idx="45">
                  <c:v>05-Mar-2020</c:v>
                </c:pt>
                <c:pt idx="46">
                  <c:v>06-Mar-2020</c:v>
                </c:pt>
                <c:pt idx="47">
                  <c:v>09-Mar-2020</c:v>
                </c:pt>
                <c:pt idx="48">
                  <c:v>11-Mar-2020</c:v>
                </c:pt>
                <c:pt idx="49">
                  <c:v>12-Mar-2020</c:v>
                </c:pt>
                <c:pt idx="50">
                  <c:v>13-Mar-2020</c:v>
                </c:pt>
                <c:pt idx="51">
                  <c:v>16-Mar-2020</c:v>
                </c:pt>
                <c:pt idx="52">
                  <c:v>17-Mar-2020</c:v>
                </c:pt>
                <c:pt idx="53">
                  <c:v>18-Mar-2020</c:v>
                </c:pt>
                <c:pt idx="54">
                  <c:v>19-Mar-2020</c:v>
                </c:pt>
                <c:pt idx="55">
                  <c:v>20-Mar-2020</c:v>
                </c:pt>
                <c:pt idx="56">
                  <c:v>23-Mar-2020</c:v>
                </c:pt>
                <c:pt idx="57">
                  <c:v>24-Mar-2020</c:v>
                </c:pt>
                <c:pt idx="58">
                  <c:v>25-Mar-2020</c:v>
                </c:pt>
                <c:pt idx="59">
                  <c:v>26-Mar-2020</c:v>
                </c:pt>
                <c:pt idx="60">
                  <c:v>27-Mar-2020</c:v>
                </c:pt>
                <c:pt idx="61">
                  <c:v>30-Mar-2020</c:v>
                </c:pt>
                <c:pt idx="62">
                  <c:v>31-Mar-2020</c:v>
                </c:pt>
                <c:pt idx="63">
                  <c:v>01-Apr-2020</c:v>
                </c:pt>
                <c:pt idx="64">
                  <c:v>03-Apr-2020</c:v>
                </c:pt>
                <c:pt idx="65">
                  <c:v>07-Apr-2020</c:v>
                </c:pt>
                <c:pt idx="66">
                  <c:v>08-Apr-2020</c:v>
                </c:pt>
                <c:pt idx="67">
                  <c:v>09-Apr-2020</c:v>
                </c:pt>
                <c:pt idx="68">
                  <c:v>13-Apr-2020</c:v>
                </c:pt>
                <c:pt idx="69">
                  <c:v>15-Apr-2020</c:v>
                </c:pt>
                <c:pt idx="70">
                  <c:v>16-Apr-2020</c:v>
                </c:pt>
                <c:pt idx="71">
                  <c:v>17-Apr-2020</c:v>
                </c:pt>
                <c:pt idx="72">
                  <c:v>20-Apr-2020</c:v>
                </c:pt>
                <c:pt idx="73">
                  <c:v>21-Apr-2020</c:v>
                </c:pt>
                <c:pt idx="74">
                  <c:v>22-Apr-2020</c:v>
                </c:pt>
                <c:pt idx="75">
                  <c:v>23-Apr-2020</c:v>
                </c:pt>
                <c:pt idx="76">
                  <c:v>24-Apr-2020</c:v>
                </c:pt>
                <c:pt idx="77">
                  <c:v>27-Apr-2020</c:v>
                </c:pt>
                <c:pt idx="78">
                  <c:v>28-Apr-2020</c:v>
                </c:pt>
                <c:pt idx="79">
                  <c:v>29-Apr-2020</c:v>
                </c:pt>
                <c:pt idx="80">
                  <c:v>30-Apr-2020</c:v>
                </c:pt>
                <c:pt idx="81">
                  <c:v>04-May-2020</c:v>
                </c:pt>
                <c:pt idx="82">
                  <c:v>05-May-2020</c:v>
                </c:pt>
                <c:pt idx="83">
                  <c:v>06-May-2020</c:v>
                </c:pt>
                <c:pt idx="84">
                  <c:v>07-May-2020</c:v>
                </c:pt>
                <c:pt idx="85">
                  <c:v>08-May-2020</c:v>
                </c:pt>
                <c:pt idx="86">
                  <c:v>11-May-2020</c:v>
                </c:pt>
                <c:pt idx="87">
                  <c:v>12-May-2020</c:v>
                </c:pt>
                <c:pt idx="88">
                  <c:v>13-May-2020</c:v>
                </c:pt>
                <c:pt idx="89">
                  <c:v>14-May-2020</c:v>
                </c:pt>
                <c:pt idx="90">
                  <c:v>15-May-2020</c:v>
                </c:pt>
                <c:pt idx="91">
                  <c:v>18-May-2020</c:v>
                </c:pt>
                <c:pt idx="92">
                  <c:v>19-May-2020</c:v>
                </c:pt>
                <c:pt idx="93">
                  <c:v>20-May-2020</c:v>
                </c:pt>
                <c:pt idx="94">
                  <c:v>21-May-2020</c:v>
                </c:pt>
                <c:pt idx="95">
                  <c:v>22-May-2020</c:v>
                </c:pt>
                <c:pt idx="96">
                  <c:v>26-May-2020</c:v>
                </c:pt>
                <c:pt idx="97">
                  <c:v>27-May-2020</c:v>
                </c:pt>
                <c:pt idx="98">
                  <c:v>28-May-2020</c:v>
                </c:pt>
                <c:pt idx="99">
                  <c:v>29-May-2020</c:v>
                </c:pt>
                <c:pt idx="100">
                  <c:v>01-Jun-2020</c:v>
                </c:pt>
                <c:pt idx="101">
                  <c:v>02-Jun-2020</c:v>
                </c:pt>
                <c:pt idx="102">
                  <c:v>03-Jun-2020</c:v>
                </c:pt>
                <c:pt idx="103">
                  <c:v>04-Jun-2020</c:v>
                </c:pt>
                <c:pt idx="104">
                  <c:v>05-Jun-2020</c:v>
                </c:pt>
                <c:pt idx="105">
                  <c:v>08-Jun-2020</c:v>
                </c:pt>
                <c:pt idx="106">
                  <c:v>09-Jun-2020</c:v>
                </c:pt>
                <c:pt idx="107">
                  <c:v>10-Jun-2020</c:v>
                </c:pt>
                <c:pt idx="108">
                  <c:v>11-Jun-2020</c:v>
                </c:pt>
                <c:pt idx="109">
                  <c:v>12-Jun-2020</c:v>
                </c:pt>
                <c:pt idx="110">
                  <c:v>15-Jun-2020</c:v>
                </c:pt>
                <c:pt idx="111">
                  <c:v>16-Jun-2020</c:v>
                </c:pt>
                <c:pt idx="112">
                  <c:v>17-Jun-2020</c:v>
                </c:pt>
                <c:pt idx="113">
                  <c:v>18-Jun-2020</c:v>
                </c:pt>
                <c:pt idx="114">
                  <c:v>19-Jun-2020</c:v>
                </c:pt>
                <c:pt idx="115">
                  <c:v>22-Jun-2020</c:v>
                </c:pt>
                <c:pt idx="116">
                  <c:v>23-Jun-2020</c:v>
                </c:pt>
                <c:pt idx="117">
                  <c:v>24-Jun-2020</c:v>
                </c:pt>
                <c:pt idx="118">
                  <c:v>25-Jun-2020</c:v>
                </c:pt>
                <c:pt idx="119">
                  <c:v>26-Jun-2020</c:v>
                </c:pt>
                <c:pt idx="120">
                  <c:v>29-Jun-2020</c:v>
                </c:pt>
                <c:pt idx="121">
                  <c:v>30-Jun-2020</c:v>
                </c:pt>
                <c:pt idx="122">
                  <c:v>01-Jul-2020</c:v>
                </c:pt>
                <c:pt idx="123">
                  <c:v>02-Jul-2020</c:v>
                </c:pt>
                <c:pt idx="124">
                  <c:v>03-Jul-2020</c:v>
                </c:pt>
                <c:pt idx="125">
                  <c:v>06-Jul-2020</c:v>
                </c:pt>
                <c:pt idx="126">
                  <c:v>07-Jul-2020</c:v>
                </c:pt>
                <c:pt idx="127">
                  <c:v>08-Jul-2020</c:v>
                </c:pt>
                <c:pt idx="128">
                  <c:v>09-Jul-2020</c:v>
                </c:pt>
                <c:pt idx="129">
                  <c:v>10-Jul-2020</c:v>
                </c:pt>
                <c:pt idx="130">
                  <c:v>13-Jul-2020</c:v>
                </c:pt>
                <c:pt idx="131">
                  <c:v>14-Jul-2020</c:v>
                </c:pt>
                <c:pt idx="132">
                  <c:v>15-Jul-2020</c:v>
                </c:pt>
                <c:pt idx="133">
                  <c:v>16-Jul-2020</c:v>
                </c:pt>
                <c:pt idx="134">
                  <c:v>17-Jul-2020</c:v>
                </c:pt>
                <c:pt idx="135">
                  <c:v>20-Jul-2020</c:v>
                </c:pt>
                <c:pt idx="136">
                  <c:v>21-Jul-2020</c:v>
                </c:pt>
                <c:pt idx="137">
                  <c:v>22-Jul-2020</c:v>
                </c:pt>
                <c:pt idx="138">
                  <c:v>23-Jul-2020</c:v>
                </c:pt>
                <c:pt idx="139">
                  <c:v>24-Jul-2020</c:v>
                </c:pt>
                <c:pt idx="140">
                  <c:v>27-Jul-2020</c:v>
                </c:pt>
                <c:pt idx="141">
                  <c:v>28-Jul-2020</c:v>
                </c:pt>
                <c:pt idx="142">
                  <c:v>29-Jul-2020</c:v>
                </c:pt>
                <c:pt idx="143">
                  <c:v>30-Jul-2020</c:v>
                </c:pt>
                <c:pt idx="144">
                  <c:v>31-Jul-2020</c:v>
                </c:pt>
                <c:pt idx="145">
                  <c:v>03-Aug-2020</c:v>
                </c:pt>
                <c:pt idx="146">
                  <c:v>04-Aug-2020</c:v>
                </c:pt>
                <c:pt idx="147">
                  <c:v>05-Aug-2020</c:v>
                </c:pt>
                <c:pt idx="148">
                  <c:v>06-Aug-2020</c:v>
                </c:pt>
                <c:pt idx="149">
                  <c:v>07-Aug-2020</c:v>
                </c:pt>
                <c:pt idx="150">
                  <c:v>10-Aug-2020</c:v>
                </c:pt>
                <c:pt idx="151">
                  <c:v>11-Aug-2020</c:v>
                </c:pt>
                <c:pt idx="152">
                  <c:v>12-Aug-2020</c:v>
                </c:pt>
                <c:pt idx="153">
                  <c:v>13-Aug-2020</c:v>
                </c:pt>
                <c:pt idx="154">
                  <c:v>14-Aug-2020</c:v>
                </c:pt>
                <c:pt idx="155">
                  <c:v>17-Aug-2020</c:v>
                </c:pt>
                <c:pt idx="156">
                  <c:v>18-Aug-2020</c:v>
                </c:pt>
                <c:pt idx="157">
                  <c:v>19-Aug-2020</c:v>
                </c:pt>
                <c:pt idx="158">
                  <c:v>20-Aug-2020</c:v>
                </c:pt>
                <c:pt idx="159">
                  <c:v>21-Aug-2020</c:v>
                </c:pt>
                <c:pt idx="160">
                  <c:v>24-Aug-2020</c:v>
                </c:pt>
                <c:pt idx="161">
                  <c:v>25-Aug-2020</c:v>
                </c:pt>
                <c:pt idx="162">
                  <c:v>26-Aug-2020</c:v>
                </c:pt>
                <c:pt idx="163">
                  <c:v>27-Aug-2020</c:v>
                </c:pt>
                <c:pt idx="164">
                  <c:v>28-Aug-2020</c:v>
                </c:pt>
                <c:pt idx="165">
                  <c:v>31-Aug-2020</c:v>
                </c:pt>
                <c:pt idx="166">
                  <c:v>01-Sep-2020</c:v>
                </c:pt>
                <c:pt idx="167">
                  <c:v>02-Sep-2020</c:v>
                </c:pt>
                <c:pt idx="168">
                  <c:v>03-Sep-2020</c:v>
                </c:pt>
                <c:pt idx="169">
                  <c:v>04-Sep-2020</c:v>
                </c:pt>
                <c:pt idx="170">
                  <c:v>07-Sep-2020</c:v>
                </c:pt>
                <c:pt idx="171">
                  <c:v>08-Sep-2020</c:v>
                </c:pt>
                <c:pt idx="172">
                  <c:v>09-Sep-2020</c:v>
                </c:pt>
                <c:pt idx="173">
                  <c:v>10-Sep-2020</c:v>
                </c:pt>
                <c:pt idx="174">
                  <c:v>11-Sep-2020</c:v>
                </c:pt>
                <c:pt idx="175">
                  <c:v>14-Sep-2020</c:v>
                </c:pt>
                <c:pt idx="176">
                  <c:v>15-Sep-2020</c:v>
                </c:pt>
                <c:pt idx="177">
                  <c:v>16-Sep-2020</c:v>
                </c:pt>
                <c:pt idx="178">
                  <c:v>17-Sep-2020</c:v>
                </c:pt>
                <c:pt idx="179">
                  <c:v>18-Sep-2020</c:v>
                </c:pt>
                <c:pt idx="180">
                  <c:v>21-Sep-2020</c:v>
                </c:pt>
                <c:pt idx="181">
                  <c:v>22-Sep-2020</c:v>
                </c:pt>
                <c:pt idx="182">
                  <c:v>23-Sep-2020</c:v>
                </c:pt>
                <c:pt idx="183">
                  <c:v>24-Sep-2020</c:v>
                </c:pt>
                <c:pt idx="184">
                  <c:v>25-Sep-2020</c:v>
                </c:pt>
                <c:pt idx="185">
                  <c:v>28-Sep-2020</c:v>
                </c:pt>
                <c:pt idx="186">
                  <c:v>29-Sep-2020</c:v>
                </c:pt>
                <c:pt idx="187">
                  <c:v>30-Sep-2020</c:v>
                </c:pt>
                <c:pt idx="188">
                  <c:v>01-Oct-2020</c:v>
                </c:pt>
                <c:pt idx="189">
                  <c:v>05-Oct-2020</c:v>
                </c:pt>
                <c:pt idx="190">
                  <c:v>06-Oct-2020</c:v>
                </c:pt>
                <c:pt idx="191">
                  <c:v>07-Oct-2020</c:v>
                </c:pt>
                <c:pt idx="192">
                  <c:v>08-Oct-2020</c:v>
                </c:pt>
                <c:pt idx="193">
                  <c:v>09-Oct-2020</c:v>
                </c:pt>
                <c:pt idx="194">
                  <c:v>12-Oct-2020</c:v>
                </c:pt>
                <c:pt idx="195">
                  <c:v>13-Oct-2020</c:v>
                </c:pt>
                <c:pt idx="196">
                  <c:v>14-Oct-2020</c:v>
                </c:pt>
                <c:pt idx="197">
                  <c:v>15-Oct-2020</c:v>
                </c:pt>
                <c:pt idx="198">
                  <c:v>16-Oct-2020</c:v>
                </c:pt>
                <c:pt idx="199">
                  <c:v>19-Oct-2020</c:v>
                </c:pt>
                <c:pt idx="200">
                  <c:v>20-Oct-2020</c:v>
                </c:pt>
                <c:pt idx="201">
                  <c:v>21-Oct-2020</c:v>
                </c:pt>
                <c:pt idx="202">
                  <c:v>22-Oct-2020</c:v>
                </c:pt>
                <c:pt idx="203">
                  <c:v>23-Oct-2020</c:v>
                </c:pt>
                <c:pt idx="204">
                  <c:v>26-Oct-2020</c:v>
                </c:pt>
                <c:pt idx="205">
                  <c:v>27-Oct-2020</c:v>
                </c:pt>
                <c:pt idx="206">
                  <c:v>28-Oct-2020</c:v>
                </c:pt>
                <c:pt idx="207">
                  <c:v>29-Oct-2020</c:v>
                </c:pt>
                <c:pt idx="208">
                  <c:v>30-Oct-2020</c:v>
                </c:pt>
                <c:pt idx="209">
                  <c:v>02-Nov-2020</c:v>
                </c:pt>
                <c:pt idx="210">
                  <c:v>03-Nov-2020</c:v>
                </c:pt>
                <c:pt idx="211">
                  <c:v>04-Nov-2020</c:v>
                </c:pt>
                <c:pt idx="212">
                  <c:v>05-Nov-2020</c:v>
                </c:pt>
                <c:pt idx="213">
                  <c:v>06-Nov-2020</c:v>
                </c:pt>
                <c:pt idx="214">
                  <c:v>09-Nov-2020</c:v>
                </c:pt>
                <c:pt idx="215">
                  <c:v>10-Nov-2020</c:v>
                </c:pt>
                <c:pt idx="216">
                  <c:v>11-Nov-2020</c:v>
                </c:pt>
                <c:pt idx="217">
                  <c:v>12-Nov-2020</c:v>
                </c:pt>
                <c:pt idx="218">
                  <c:v>13-Nov-2020</c:v>
                </c:pt>
                <c:pt idx="219">
                  <c:v>17-Nov-2020</c:v>
                </c:pt>
                <c:pt idx="220">
                  <c:v>18-Nov-2020</c:v>
                </c:pt>
                <c:pt idx="221">
                  <c:v>19-Nov-2020</c:v>
                </c:pt>
                <c:pt idx="222">
                  <c:v>20-Nov-2020</c:v>
                </c:pt>
                <c:pt idx="223">
                  <c:v>23-Nov-2020</c:v>
                </c:pt>
                <c:pt idx="224">
                  <c:v>24-Nov-2020</c:v>
                </c:pt>
                <c:pt idx="225">
                  <c:v>25-Nov-2020</c:v>
                </c:pt>
                <c:pt idx="226">
                  <c:v>26-Nov-2020</c:v>
                </c:pt>
                <c:pt idx="227">
                  <c:v>27-Nov-2020</c:v>
                </c:pt>
                <c:pt idx="228">
                  <c:v>01-Dec-2020</c:v>
                </c:pt>
                <c:pt idx="229">
                  <c:v>02-Dec-2020</c:v>
                </c:pt>
                <c:pt idx="230">
                  <c:v>03-Dec-2020</c:v>
                </c:pt>
                <c:pt idx="231">
                  <c:v>04-Dec-2020</c:v>
                </c:pt>
                <c:pt idx="232">
                  <c:v>07-Dec-2020</c:v>
                </c:pt>
                <c:pt idx="233">
                  <c:v>08-Dec-2020</c:v>
                </c:pt>
                <c:pt idx="234">
                  <c:v>09-Dec-2020</c:v>
                </c:pt>
                <c:pt idx="235">
                  <c:v>10-Dec-2020</c:v>
                </c:pt>
                <c:pt idx="236">
                  <c:v>11-Dec-2020</c:v>
                </c:pt>
                <c:pt idx="237">
                  <c:v>14-Dec-2020</c:v>
                </c:pt>
                <c:pt idx="238">
                  <c:v>15-Dec-2020</c:v>
                </c:pt>
                <c:pt idx="239">
                  <c:v>16-Dec-2020</c:v>
                </c:pt>
                <c:pt idx="240">
                  <c:v>17-Dec-2020</c:v>
                </c:pt>
                <c:pt idx="241">
                  <c:v>18-Dec-2020</c:v>
                </c:pt>
                <c:pt idx="242">
                  <c:v>21-Dec-2020</c:v>
                </c:pt>
                <c:pt idx="243">
                  <c:v>22-Dec-2020</c:v>
                </c:pt>
                <c:pt idx="244">
                  <c:v>23-Dec-2020</c:v>
                </c:pt>
                <c:pt idx="245">
                  <c:v>24-Dec-2020</c:v>
                </c:pt>
                <c:pt idx="246">
                  <c:v>28-Dec-2020</c:v>
                </c:pt>
                <c:pt idx="247">
                  <c:v>29-Dec-2020</c:v>
                </c:pt>
                <c:pt idx="248">
                  <c:v>30-Dec-2020</c:v>
                </c:pt>
                <c:pt idx="249">
                  <c:v>31-Dec-2020</c:v>
                </c:pt>
                <c:pt idx="250">
                  <c:v>01-Jan-2021</c:v>
                </c:pt>
                <c:pt idx="251">
                  <c:v>04-Jan-2021</c:v>
                </c:pt>
                <c:pt idx="252">
                  <c:v>05-Jan-2021</c:v>
                </c:pt>
                <c:pt idx="253">
                  <c:v>06-Jan-2021</c:v>
                </c:pt>
                <c:pt idx="254">
                  <c:v>07-Jan-2021</c:v>
                </c:pt>
                <c:pt idx="255">
                  <c:v>08-Jan-2021</c:v>
                </c:pt>
                <c:pt idx="256">
                  <c:v>11-Jan-2021</c:v>
                </c:pt>
                <c:pt idx="257">
                  <c:v>12-Jan-2021</c:v>
                </c:pt>
                <c:pt idx="258">
                  <c:v>13-Jan-2021</c:v>
                </c:pt>
                <c:pt idx="259">
                  <c:v>14-Jan-2021</c:v>
                </c:pt>
                <c:pt idx="260">
                  <c:v>15-Jan-2021</c:v>
                </c:pt>
                <c:pt idx="261">
                  <c:v>18-Jan-2021</c:v>
                </c:pt>
                <c:pt idx="262">
                  <c:v>19-Jan-2021</c:v>
                </c:pt>
                <c:pt idx="263">
                  <c:v>20-Jan-2021</c:v>
                </c:pt>
                <c:pt idx="264">
                  <c:v>21-Jan-2021</c:v>
                </c:pt>
                <c:pt idx="265">
                  <c:v>22-Jan-2021</c:v>
                </c:pt>
                <c:pt idx="266">
                  <c:v>25-Jan-2021</c:v>
                </c:pt>
                <c:pt idx="267">
                  <c:v>27-Jan-2021</c:v>
                </c:pt>
                <c:pt idx="268">
                  <c:v>28-Jan-2021</c:v>
                </c:pt>
                <c:pt idx="269">
                  <c:v>29-Jan-2021</c:v>
                </c:pt>
                <c:pt idx="270">
                  <c:v>01-Feb-2021</c:v>
                </c:pt>
                <c:pt idx="271">
                  <c:v>02-Feb-2021</c:v>
                </c:pt>
                <c:pt idx="272">
                  <c:v>03-Feb-2021</c:v>
                </c:pt>
                <c:pt idx="273">
                  <c:v>04-Feb-2021</c:v>
                </c:pt>
                <c:pt idx="274">
                  <c:v>05-Feb-2021</c:v>
                </c:pt>
                <c:pt idx="275">
                  <c:v>08-Feb-2021</c:v>
                </c:pt>
                <c:pt idx="276">
                  <c:v>09-Feb-2021</c:v>
                </c:pt>
                <c:pt idx="277">
                  <c:v>10-Feb-2021</c:v>
                </c:pt>
                <c:pt idx="278">
                  <c:v>11-Feb-2021</c:v>
                </c:pt>
                <c:pt idx="279">
                  <c:v>12-Feb-2021</c:v>
                </c:pt>
                <c:pt idx="280">
                  <c:v>15-Feb-2021</c:v>
                </c:pt>
                <c:pt idx="281">
                  <c:v>16-Feb-2021</c:v>
                </c:pt>
                <c:pt idx="282">
                  <c:v>17-Feb-2021</c:v>
                </c:pt>
                <c:pt idx="283">
                  <c:v>18-Feb-2021</c:v>
                </c:pt>
                <c:pt idx="284">
                  <c:v>19-Feb-2021</c:v>
                </c:pt>
                <c:pt idx="285">
                  <c:v>22-Feb-2021</c:v>
                </c:pt>
                <c:pt idx="286">
                  <c:v>23-Feb-2021</c:v>
                </c:pt>
                <c:pt idx="287">
                  <c:v>24-Feb-2021</c:v>
                </c:pt>
                <c:pt idx="288">
                  <c:v>25-Feb-2021</c:v>
                </c:pt>
                <c:pt idx="289">
                  <c:v>26-Feb-2021</c:v>
                </c:pt>
                <c:pt idx="290">
                  <c:v>01-Mar-2021</c:v>
                </c:pt>
                <c:pt idx="291">
                  <c:v>02-Mar-2021</c:v>
                </c:pt>
                <c:pt idx="292">
                  <c:v>03-Mar-2021</c:v>
                </c:pt>
                <c:pt idx="293">
                  <c:v>04-Mar-2021</c:v>
                </c:pt>
                <c:pt idx="294">
                  <c:v>05-Mar-2021</c:v>
                </c:pt>
                <c:pt idx="295">
                  <c:v>08-Mar-2021</c:v>
                </c:pt>
                <c:pt idx="296">
                  <c:v>09-Mar-2021</c:v>
                </c:pt>
                <c:pt idx="297">
                  <c:v>10-Mar-2021</c:v>
                </c:pt>
                <c:pt idx="298">
                  <c:v>12-Mar-2021</c:v>
                </c:pt>
                <c:pt idx="299">
                  <c:v>15-Mar-2021</c:v>
                </c:pt>
                <c:pt idx="300">
                  <c:v>16-Mar-2021</c:v>
                </c:pt>
                <c:pt idx="301">
                  <c:v>17-Mar-2021</c:v>
                </c:pt>
                <c:pt idx="302">
                  <c:v>18-Mar-2021</c:v>
                </c:pt>
                <c:pt idx="303">
                  <c:v>19-Mar-2021</c:v>
                </c:pt>
                <c:pt idx="304">
                  <c:v>22-Mar-2021</c:v>
                </c:pt>
                <c:pt idx="305">
                  <c:v>23-Mar-2021</c:v>
                </c:pt>
                <c:pt idx="306">
                  <c:v>24-Mar-2021</c:v>
                </c:pt>
                <c:pt idx="307">
                  <c:v>25-Mar-2021</c:v>
                </c:pt>
                <c:pt idx="308">
                  <c:v>26-Mar-2021</c:v>
                </c:pt>
                <c:pt idx="309">
                  <c:v>30-Mar-2021</c:v>
                </c:pt>
                <c:pt idx="310">
                  <c:v>31-Mar-2021</c:v>
                </c:pt>
                <c:pt idx="311">
                  <c:v>01-Apr-2021</c:v>
                </c:pt>
                <c:pt idx="312">
                  <c:v>05-Apr-2021</c:v>
                </c:pt>
                <c:pt idx="313">
                  <c:v>06-Apr-2021</c:v>
                </c:pt>
                <c:pt idx="314">
                  <c:v>07-Apr-2021</c:v>
                </c:pt>
                <c:pt idx="315">
                  <c:v>08-Apr-2021</c:v>
                </c:pt>
                <c:pt idx="316">
                  <c:v>09-Apr-2021</c:v>
                </c:pt>
                <c:pt idx="317">
                  <c:v>12-Apr-2021</c:v>
                </c:pt>
                <c:pt idx="318">
                  <c:v>13-Apr-2021</c:v>
                </c:pt>
                <c:pt idx="319">
                  <c:v>15-Apr-2021</c:v>
                </c:pt>
                <c:pt idx="320">
                  <c:v>16-Apr-2021</c:v>
                </c:pt>
                <c:pt idx="321">
                  <c:v>19-Apr-2021</c:v>
                </c:pt>
                <c:pt idx="322">
                  <c:v>20-Apr-2021</c:v>
                </c:pt>
                <c:pt idx="323">
                  <c:v>22-Apr-2021</c:v>
                </c:pt>
                <c:pt idx="324">
                  <c:v>23-Apr-2021</c:v>
                </c:pt>
                <c:pt idx="325">
                  <c:v>26-Apr-2021</c:v>
                </c:pt>
                <c:pt idx="326">
                  <c:v>27-Apr-2021</c:v>
                </c:pt>
                <c:pt idx="327">
                  <c:v>28-Apr-2021</c:v>
                </c:pt>
                <c:pt idx="328">
                  <c:v>29-Apr-2021</c:v>
                </c:pt>
                <c:pt idx="329">
                  <c:v>30-Apr-2021</c:v>
                </c:pt>
                <c:pt idx="330">
                  <c:v>03-May-2021</c:v>
                </c:pt>
                <c:pt idx="331">
                  <c:v>04-May-2021</c:v>
                </c:pt>
                <c:pt idx="332">
                  <c:v>05-May-2021</c:v>
                </c:pt>
                <c:pt idx="333">
                  <c:v>06-May-2021</c:v>
                </c:pt>
                <c:pt idx="334">
                  <c:v>07-May-2021</c:v>
                </c:pt>
                <c:pt idx="335">
                  <c:v>10-May-2021</c:v>
                </c:pt>
                <c:pt idx="336">
                  <c:v>11-May-2021</c:v>
                </c:pt>
                <c:pt idx="337">
                  <c:v>12-May-2021</c:v>
                </c:pt>
                <c:pt idx="338">
                  <c:v>14-May-2021</c:v>
                </c:pt>
                <c:pt idx="339">
                  <c:v>17-May-2021</c:v>
                </c:pt>
                <c:pt idx="340">
                  <c:v>18-May-2021</c:v>
                </c:pt>
                <c:pt idx="341">
                  <c:v>19-May-2021</c:v>
                </c:pt>
                <c:pt idx="342">
                  <c:v>20-May-2021</c:v>
                </c:pt>
                <c:pt idx="343">
                  <c:v>21-May-2021</c:v>
                </c:pt>
                <c:pt idx="344">
                  <c:v>24-May-2021</c:v>
                </c:pt>
                <c:pt idx="345">
                  <c:v>25-May-2021</c:v>
                </c:pt>
                <c:pt idx="346">
                  <c:v>26-May-2021</c:v>
                </c:pt>
                <c:pt idx="347">
                  <c:v>27-May-2021</c:v>
                </c:pt>
                <c:pt idx="348">
                  <c:v>28-May-2021</c:v>
                </c:pt>
                <c:pt idx="349">
                  <c:v>31-May-2021</c:v>
                </c:pt>
                <c:pt idx="350">
                  <c:v>01-Jun-2021</c:v>
                </c:pt>
                <c:pt idx="351">
                  <c:v>02-Jun-2021</c:v>
                </c:pt>
                <c:pt idx="352">
                  <c:v>03-Jun-2021</c:v>
                </c:pt>
                <c:pt idx="353">
                  <c:v>04-Jun-2021</c:v>
                </c:pt>
                <c:pt idx="354">
                  <c:v>07-Jun-2021</c:v>
                </c:pt>
                <c:pt idx="355">
                  <c:v>08-Jun-2021</c:v>
                </c:pt>
                <c:pt idx="356">
                  <c:v>09-Jun-2021</c:v>
                </c:pt>
                <c:pt idx="357">
                  <c:v>10-Jun-2021</c:v>
                </c:pt>
                <c:pt idx="358">
                  <c:v>11-Jun-2021</c:v>
                </c:pt>
                <c:pt idx="359">
                  <c:v>14-Jun-2021</c:v>
                </c:pt>
                <c:pt idx="360">
                  <c:v>15-Jun-2021</c:v>
                </c:pt>
                <c:pt idx="361">
                  <c:v>16-Jun-2021</c:v>
                </c:pt>
                <c:pt idx="362">
                  <c:v>17-Jun-2021</c:v>
                </c:pt>
                <c:pt idx="363">
                  <c:v>18-Jun-2021</c:v>
                </c:pt>
                <c:pt idx="364">
                  <c:v>21-Jun-2021</c:v>
                </c:pt>
                <c:pt idx="365">
                  <c:v>22-Jun-2021</c:v>
                </c:pt>
                <c:pt idx="366">
                  <c:v>23-Jun-2021</c:v>
                </c:pt>
                <c:pt idx="367">
                  <c:v>24-Jun-2021</c:v>
                </c:pt>
                <c:pt idx="368">
                  <c:v>25-Jun-2021</c:v>
                </c:pt>
                <c:pt idx="369">
                  <c:v>28-Jun-2021</c:v>
                </c:pt>
                <c:pt idx="370">
                  <c:v>29-Jun-2021</c:v>
                </c:pt>
                <c:pt idx="371">
                  <c:v>30-Jun-2021</c:v>
                </c:pt>
                <c:pt idx="372">
                  <c:v>01-Jul-2021</c:v>
                </c:pt>
                <c:pt idx="373">
                  <c:v>02-Jul-2021</c:v>
                </c:pt>
                <c:pt idx="374">
                  <c:v>05-Jul-2021</c:v>
                </c:pt>
                <c:pt idx="375">
                  <c:v>06-Jul-2021</c:v>
                </c:pt>
                <c:pt idx="376">
                  <c:v>07-Jul-2021</c:v>
                </c:pt>
                <c:pt idx="377">
                  <c:v>08-Jul-2021</c:v>
                </c:pt>
                <c:pt idx="378">
                  <c:v>09-Jul-2021</c:v>
                </c:pt>
                <c:pt idx="379">
                  <c:v>12-Jul-2021</c:v>
                </c:pt>
                <c:pt idx="380">
                  <c:v>13-Jul-2021</c:v>
                </c:pt>
                <c:pt idx="381">
                  <c:v>14-Jul-2021</c:v>
                </c:pt>
                <c:pt idx="382">
                  <c:v>15-Jul-2021</c:v>
                </c:pt>
                <c:pt idx="383">
                  <c:v>16-Jul-2021</c:v>
                </c:pt>
                <c:pt idx="384">
                  <c:v>19-Jul-2021</c:v>
                </c:pt>
                <c:pt idx="385">
                  <c:v>20-Jul-2021</c:v>
                </c:pt>
                <c:pt idx="386">
                  <c:v>22-Jul-2021</c:v>
                </c:pt>
                <c:pt idx="387">
                  <c:v>23-Jul-2021</c:v>
                </c:pt>
                <c:pt idx="388">
                  <c:v>26-Jul-2021</c:v>
                </c:pt>
                <c:pt idx="389">
                  <c:v>27-Jul-2021</c:v>
                </c:pt>
                <c:pt idx="390">
                  <c:v>28-Jul-2021</c:v>
                </c:pt>
                <c:pt idx="391">
                  <c:v>29-Jul-2021</c:v>
                </c:pt>
                <c:pt idx="392">
                  <c:v>30-Jul-2021</c:v>
                </c:pt>
                <c:pt idx="393">
                  <c:v>02-Aug-2021</c:v>
                </c:pt>
                <c:pt idx="394">
                  <c:v>03-Aug-2021</c:v>
                </c:pt>
                <c:pt idx="395">
                  <c:v>04-Aug-2021</c:v>
                </c:pt>
                <c:pt idx="396">
                  <c:v>05-Aug-2021</c:v>
                </c:pt>
                <c:pt idx="397">
                  <c:v>06-Aug-2021</c:v>
                </c:pt>
                <c:pt idx="398">
                  <c:v>09-Aug-2021</c:v>
                </c:pt>
                <c:pt idx="399">
                  <c:v>10-Aug-2021</c:v>
                </c:pt>
                <c:pt idx="400">
                  <c:v>11-Aug-2021</c:v>
                </c:pt>
                <c:pt idx="401">
                  <c:v>12-Aug-2021</c:v>
                </c:pt>
                <c:pt idx="402">
                  <c:v>13-Aug-2021</c:v>
                </c:pt>
                <c:pt idx="403">
                  <c:v>16-Aug-2021</c:v>
                </c:pt>
                <c:pt idx="404">
                  <c:v>17-Aug-2021</c:v>
                </c:pt>
                <c:pt idx="405">
                  <c:v>18-Aug-2021</c:v>
                </c:pt>
                <c:pt idx="406">
                  <c:v>20-Aug-2021</c:v>
                </c:pt>
                <c:pt idx="407">
                  <c:v>23-Aug-2021</c:v>
                </c:pt>
                <c:pt idx="408">
                  <c:v>24-Aug-2021</c:v>
                </c:pt>
                <c:pt idx="409">
                  <c:v>25-Aug-2021</c:v>
                </c:pt>
                <c:pt idx="410">
                  <c:v>26-Aug-2021</c:v>
                </c:pt>
                <c:pt idx="411">
                  <c:v>27-Aug-2021</c:v>
                </c:pt>
                <c:pt idx="412">
                  <c:v>30-Aug-2021</c:v>
                </c:pt>
                <c:pt idx="413">
                  <c:v>31-Aug-2021</c:v>
                </c:pt>
                <c:pt idx="414">
                  <c:v>01-Sep-2021</c:v>
                </c:pt>
                <c:pt idx="415">
                  <c:v>02-Sep-2021</c:v>
                </c:pt>
                <c:pt idx="416">
                  <c:v>03-Sep-2021</c:v>
                </c:pt>
                <c:pt idx="417">
                  <c:v>06-Sep-2021</c:v>
                </c:pt>
                <c:pt idx="418">
                  <c:v>07-Sep-2021</c:v>
                </c:pt>
                <c:pt idx="419">
                  <c:v>08-Sep-2021</c:v>
                </c:pt>
                <c:pt idx="420">
                  <c:v>09-Sep-2021</c:v>
                </c:pt>
                <c:pt idx="421">
                  <c:v>13-Sep-2021</c:v>
                </c:pt>
                <c:pt idx="422">
                  <c:v>14-Sep-2021</c:v>
                </c:pt>
                <c:pt idx="423">
                  <c:v>15-Sep-2021</c:v>
                </c:pt>
                <c:pt idx="424">
                  <c:v>16-Sep-2021</c:v>
                </c:pt>
                <c:pt idx="425">
                  <c:v>17-Sep-2021</c:v>
                </c:pt>
                <c:pt idx="426">
                  <c:v>20-Sep-2021</c:v>
                </c:pt>
                <c:pt idx="427">
                  <c:v>21-Sep-2021</c:v>
                </c:pt>
                <c:pt idx="428">
                  <c:v>22-Sep-2021</c:v>
                </c:pt>
                <c:pt idx="429">
                  <c:v>23-Sep-2021</c:v>
                </c:pt>
                <c:pt idx="430">
                  <c:v>24-Sep-2021</c:v>
                </c:pt>
                <c:pt idx="431">
                  <c:v>27-Sep-2021</c:v>
                </c:pt>
                <c:pt idx="432">
                  <c:v>28-Sep-2021</c:v>
                </c:pt>
                <c:pt idx="433">
                  <c:v>29-Sep-2021</c:v>
                </c:pt>
                <c:pt idx="434">
                  <c:v>30-Sep-2021</c:v>
                </c:pt>
                <c:pt idx="435">
                  <c:v>01-Oct-2021</c:v>
                </c:pt>
                <c:pt idx="436">
                  <c:v>04-Oct-2021</c:v>
                </c:pt>
                <c:pt idx="437">
                  <c:v>05-Oct-2021</c:v>
                </c:pt>
                <c:pt idx="438">
                  <c:v>06-Oct-2021</c:v>
                </c:pt>
                <c:pt idx="439">
                  <c:v>07-Oct-2021</c:v>
                </c:pt>
                <c:pt idx="440">
                  <c:v>08-Oct-2021</c:v>
                </c:pt>
                <c:pt idx="441">
                  <c:v>11-Oct-2021</c:v>
                </c:pt>
                <c:pt idx="442">
                  <c:v>12-Oct-2021</c:v>
                </c:pt>
                <c:pt idx="443">
                  <c:v>13-Oct-2021</c:v>
                </c:pt>
                <c:pt idx="444">
                  <c:v>14-Oct-2021</c:v>
                </c:pt>
                <c:pt idx="445">
                  <c:v>18-Oct-2021</c:v>
                </c:pt>
                <c:pt idx="446">
                  <c:v>19-Oct-2021</c:v>
                </c:pt>
                <c:pt idx="447">
                  <c:v>20-Oct-2021</c:v>
                </c:pt>
                <c:pt idx="448">
                  <c:v>21-Oct-2021</c:v>
                </c:pt>
                <c:pt idx="449">
                  <c:v>22-Oct-2021</c:v>
                </c:pt>
                <c:pt idx="450">
                  <c:v>25-Oct-2021</c:v>
                </c:pt>
                <c:pt idx="451">
                  <c:v>26-Oct-2021</c:v>
                </c:pt>
                <c:pt idx="452">
                  <c:v>27-Oct-2021</c:v>
                </c:pt>
                <c:pt idx="453">
                  <c:v>28-Oct-2021</c:v>
                </c:pt>
                <c:pt idx="454">
                  <c:v>29-Oct-2021</c:v>
                </c:pt>
                <c:pt idx="455">
                  <c:v>01-Nov-2021</c:v>
                </c:pt>
                <c:pt idx="456">
                  <c:v>02-Nov-2021</c:v>
                </c:pt>
                <c:pt idx="457">
                  <c:v>03-Nov-2021</c:v>
                </c:pt>
                <c:pt idx="458">
                  <c:v>04-Nov-2021</c:v>
                </c:pt>
                <c:pt idx="459">
                  <c:v>08-Nov-2021</c:v>
                </c:pt>
                <c:pt idx="460">
                  <c:v>09-Nov-2021</c:v>
                </c:pt>
                <c:pt idx="461">
                  <c:v>10-Nov-2021</c:v>
                </c:pt>
                <c:pt idx="462">
                  <c:v>11-Nov-2021</c:v>
                </c:pt>
                <c:pt idx="463">
                  <c:v>12-Nov-2021</c:v>
                </c:pt>
                <c:pt idx="464">
                  <c:v>15-Nov-2021</c:v>
                </c:pt>
                <c:pt idx="465">
                  <c:v>16-Nov-2021</c:v>
                </c:pt>
                <c:pt idx="466">
                  <c:v>17-Nov-2021</c:v>
                </c:pt>
                <c:pt idx="467">
                  <c:v>18-Nov-2021</c:v>
                </c:pt>
                <c:pt idx="468">
                  <c:v>22-Nov-2021</c:v>
                </c:pt>
                <c:pt idx="469">
                  <c:v>23-Nov-2021</c:v>
                </c:pt>
                <c:pt idx="470">
                  <c:v>24-Nov-2021</c:v>
                </c:pt>
                <c:pt idx="471">
                  <c:v>25-Nov-2021</c:v>
                </c:pt>
                <c:pt idx="472">
                  <c:v>26-Nov-2021</c:v>
                </c:pt>
                <c:pt idx="473">
                  <c:v>29-Nov-2021</c:v>
                </c:pt>
                <c:pt idx="474">
                  <c:v>30-Nov-2021</c:v>
                </c:pt>
                <c:pt idx="475">
                  <c:v>01-Dec-2021</c:v>
                </c:pt>
                <c:pt idx="476">
                  <c:v>02-Dec-2021</c:v>
                </c:pt>
                <c:pt idx="477">
                  <c:v>03-Dec-2021</c:v>
                </c:pt>
                <c:pt idx="478">
                  <c:v>06-Dec-2021</c:v>
                </c:pt>
                <c:pt idx="479">
                  <c:v>07-Dec-2021</c:v>
                </c:pt>
                <c:pt idx="480">
                  <c:v>08-Dec-2021</c:v>
                </c:pt>
                <c:pt idx="481">
                  <c:v>09-Dec-2021</c:v>
                </c:pt>
                <c:pt idx="482">
                  <c:v>10-Dec-2021</c:v>
                </c:pt>
                <c:pt idx="483">
                  <c:v>13-Dec-2021</c:v>
                </c:pt>
                <c:pt idx="484">
                  <c:v>14-Dec-2021</c:v>
                </c:pt>
                <c:pt idx="485">
                  <c:v>15-Dec-2021</c:v>
                </c:pt>
                <c:pt idx="486">
                  <c:v>16-Dec-2021</c:v>
                </c:pt>
                <c:pt idx="487">
                  <c:v>17-Dec-2021</c:v>
                </c:pt>
                <c:pt idx="488">
                  <c:v>20-Dec-2021</c:v>
                </c:pt>
                <c:pt idx="489">
                  <c:v>21-Dec-2021</c:v>
                </c:pt>
                <c:pt idx="490">
                  <c:v>22-Dec-2021</c:v>
                </c:pt>
                <c:pt idx="491">
                  <c:v>23-Dec-2021</c:v>
                </c:pt>
                <c:pt idx="492">
                  <c:v>24-Dec-2021</c:v>
                </c:pt>
                <c:pt idx="493">
                  <c:v>27-Dec-2021</c:v>
                </c:pt>
                <c:pt idx="494">
                  <c:v>28-Dec-2021</c:v>
                </c:pt>
                <c:pt idx="495">
                  <c:v>29-Dec-2021</c:v>
                </c:pt>
                <c:pt idx="496">
                  <c:v>30-Dec-2021</c:v>
                </c:pt>
                <c:pt idx="497">
                  <c:v>31-Dec-2021</c:v>
                </c:pt>
                <c:pt idx="498">
                  <c:v>03-Jan-2022</c:v>
                </c:pt>
                <c:pt idx="499">
                  <c:v>04-Jan-2022</c:v>
                </c:pt>
                <c:pt idx="500">
                  <c:v>05-Jan-2022</c:v>
                </c:pt>
                <c:pt idx="501">
                  <c:v>06-Jan-2022</c:v>
                </c:pt>
                <c:pt idx="502">
                  <c:v>07-Jan-2022</c:v>
                </c:pt>
                <c:pt idx="503">
                  <c:v>10-Jan-2022</c:v>
                </c:pt>
                <c:pt idx="504">
                  <c:v>11-Jan-2022</c:v>
                </c:pt>
                <c:pt idx="505">
                  <c:v>12-Jan-2022</c:v>
                </c:pt>
                <c:pt idx="506">
                  <c:v>13-Jan-2022</c:v>
                </c:pt>
                <c:pt idx="507">
                  <c:v>14-Jan-2022</c:v>
                </c:pt>
                <c:pt idx="508">
                  <c:v>17-Jan-2022</c:v>
                </c:pt>
                <c:pt idx="509">
                  <c:v>18-Jan-2022</c:v>
                </c:pt>
                <c:pt idx="510">
                  <c:v>19-Jan-2022</c:v>
                </c:pt>
                <c:pt idx="511">
                  <c:v>20-Jan-2022</c:v>
                </c:pt>
                <c:pt idx="512">
                  <c:v>21-Jan-2022</c:v>
                </c:pt>
                <c:pt idx="513">
                  <c:v>24-Jan-2022</c:v>
                </c:pt>
                <c:pt idx="514">
                  <c:v>25-Jan-2022</c:v>
                </c:pt>
                <c:pt idx="515">
                  <c:v>27-Jan-2022</c:v>
                </c:pt>
                <c:pt idx="516">
                  <c:v>28-Jan-2022</c:v>
                </c:pt>
                <c:pt idx="517">
                  <c:v>31-Jan-2022</c:v>
                </c:pt>
                <c:pt idx="518">
                  <c:v>01-Feb-2022</c:v>
                </c:pt>
                <c:pt idx="519">
                  <c:v>02-Feb-2022</c:v>
                </c:pt>
                <c:pt idx="520">
                  <c:v>03-Feb-2022</c:v>
                </c:pt>
                <c:pt idx="521">
                  <c:v>04-Feb-2022</c:v>
                </c:pt>
                <c:pt idx="522">
                  <c:v>07-Feb-2022</c:v>
                </c:pt>
                <c:pt idx="523">
                  <c:v>08-Feb-2022</c:v>
                </c:pt>
                <c:pt idx="524">
                  <c:v>09-Feb-2022</c:v>
                </c:pt>
                <c:pt idx="525">
                  <c:v>10-Feb-2022</c:v>
                </c:pt>
                <c:pt idx="526">
                  <c:v>11-Feb-2022</c:v>
                </c:pt>
                <c:pt idx="527">
                  <c:v>14-Feb-2022</c:v>
                </c:pt>
                <c:pt idx="528">
                  <c:v>15-Feb-2022</c:v>
                </c:pt>
                <c:pt idx="529">
                  <c:v>16-Feb-2022</c:v>
                </c:pt>
                <c:pt idx="530">
                  <c:v>17-Feb-2022</c:v>
                </c:pt>
                <c:pt idx="531">
                  <c:v>18-Feb-2022</c:v>
                </c:pt>
                <c:pt idx="532">
                  <c:v>21-Feb-2022</c:v>
                </c:pt>
                <c:pt idx="533">
                  <c:v>22-Feb-2022</c:v>
                </c:pt>
                <c:pt idx="534">
                  <c:v>23-Feb-2022</c:v>
                </c:pt>
                <c:pt idx="535">
                  <c:v>24-Feb-2022</c:v>
                </c:pt>
                <c:pt idx="536">
                  <c:v>25-Feb-2022</c:v>
                </c:pt>
                <c:pt idx="537">
                  <c:v>28-Feb-2022</c:v>
                </c:pt>
                <c:pt idx="538">
                  <c:v>02-Mar-2022</c:v>
                </c:pt>
                <c:pt idx="539">
                  <c:v>03-Mar-2022</c:v>
                </c:pt>
                <c:pt idx="540">
                  <c:v>04-Mar-2022</c:v>
                </c:pt>
                <c:pt idx="541">
                  <c:v>07-Mar-2022</c:v>
                </c:pt>
                <c:pt idx="542">
                  <c:v>08-Mar-2022</c:v>
                </c:pt>
                <c:pt idx="543">
                  <c:v>09-Mar-2022</c:v>
                </c:pt>
                <c:pt idx="544">
                  <c:v>10-Mar-2022</c:v>
                </c:pt>
                <c:pt idx="545">
                  <c:v>11-Mar-2022</c:v>
                </c:pt>
                <c:pt idx="546">
                  <c:v>14-Mar-2022</c:v>
                </c:pt>
                <c:pt idx="547">
                  <c:v>15-Mar-2022</c:v>
                </c:pt>
                <c:pt idx="548">
                  <c:v>16-Mar-2022</c:v>
                </c:pt>
                <c:pt idx="549">
                  <c:v>17-Mar-2022</c:v>
                </c:pt>
                <c:pt idx="550">
                  <c:v>21-Mar-2022</c:v>
                </c:pt>
                <c:pt idx="551">
                  <c:v>22-Mar-2022</c:v>
                </c:pt>
                <c:pt idx="552">
                  <c:v>23-Mar-2022</c:v>
                </c:pt>
                <c:pt idx="553">
                  <c:v>24-Mar-2022</c:v>
                </c:pt>
                <c:pt idx="554">
                  <c:v>25-Mar-2022</c:v>
                </c:pt>
                <c:pt idx="555">
                  <c:v>28-Mar-2022</c:v>
                </c:pt>
                <c:pt idx="556">
                  <c:v>29-Mar-2022</c:v>
                </c:pt>
                <c:pt idx="557">
                  <c:v>30-Mar-2022</c:v>
                </c:pt>
                <c:pt idx="558">
                  <c:v>31-Mar-2022</c:v>
                </c:pt>
                <c:pt idx="559">
                  <c:v>01-Apr-2022</c:v>
                </c:pt>
                <c:pt idx="560">
                  <c:v>04-Apr-2022</c:v>
                </c:pt>
                <c:pt idx="561">
                  <c:v>05-Apr-2022</c:v>
                </c:pt>
                <c:pt idx="562">
                  <c:v>06-Apr-2022</c:v>
                </c:pt>
                <c:pt idx="563">
                  <c:v>07-Apr-2022</c:v>
                </c:pt>
                <c:pt idx="564">
                  <c:v>08-Apr-2022</c:v>
                </c:pt>
                <c:pt idx="565">
                  <c:v>11-Apr-2022</c:v>
                </c:pt>
                <c:pt idx="566">
                  <c:v>12-Apr-2022</c:v>
                </c:pt>
                <c:pt idx="567">
                  <c:v>13-Apr-2022</c:v>
                </c:pt>
                <c:pt idx="568">
                  <c:v>18-Apr-2022</c:v>
                </c:pt>
                <c:pt idx="569">
                  <c:v>19-Apr-2022</c:v>
                </c:pt>
                <c:pt idx="570">
                  <c:v>20-Apr-2022</c:v>
                </c:pt>
                <c:pt idx="571">
                  <c:v>21-Apr-2022</c:v>
                </c:pt>
                <c:pt idx="572">
                  <c:v>22-Apr-2022</c:v>
                </c:pt>
                <c:pt idx="573">
                  <c:v>25-Apr-2022</c:v>
                </c:pt>
                <c:pt idx="574">
                  <c:v>26-Apr-2022</c:v>
                </c:pt>
                <c:pt idx="575">
                  <c:v>27-Apr-2022</c:v>
                </c:pt>
                <c:pt idx="576">
                  <c:v>28-Apr-2022</c:v>
                </c:pt>
                <c:pt idx="577">
                  <c:v>29-Apr-2022</c:v>
                </c:pt>
                <c:pt idx="578">
                  <c:v>02-May-2022</c:v>
                </c:pt>
                <c:pt idx="579">
                  <c:v>04-May-2022</c:v>
                </c:pt>
                <c:pt idx="580">
                  <c:v>05-May-2022</c:v>
                </c:pt>
                <c:pt idx="581">
                  <c:v>06-May-2022</c:v>
                </c:pt>
                <c:pt idx="582">
                  <c:v>09-May-2022</c:v>
                </c:pt>
                <c:pt idx="583">
                  <c:v>10-May-2022</c:v>
                </c:pt>
                <c:pt idx="584">
                  <c:v>11-May-2022</c:v>
                </c:pt>
                <c:pt idx="585">
                  <c:v>12-May-2022</c:v>
                </c:pt>
                <c:pt idx="586">
                  <c:v>13-May-2022</c:v>
                </c:pt>
                <c:pt idx="587">
                  <c:v>16-May-2022</c:v>
                </c:pt>
                <c:pt idx="588">
                  <c:v>17-May-2022</c:v>
                </c:pt>
                <c:pt idx="589">
                  <c:v>18-May-2022</c:v>
                </c:pt>
                <c:pt idx="590">
                  <c:v>19-May-2022</c:v>
                </c:pt>
                <c:pt idx="591">
                  <c:v>20-May-2022</c:v>
                </c:pt>
                <c:pt idx="592">
                  <c:v>23-May-2022</c:v>
                </c:pt>
                <c:pt idx="593">
                  <c:v>24-May-2022</c:v>
                </c:pt>
                <c:pt idx="594">
                  <c:v>25-May-2022</c:v>
                </c:pt>
                <c:pt idx="595">
                  <c:v>26-May-2022</c:v>
                </c:pt>
                <c:pt idx="596">
                  <c:v>27-May-2022</c:v>
                </c:pt>
                <c:pt idx="597">
                  <c:v>30-May-2022</c:v>
                </c:pt>
                <c:pt idx="598">
                  <c:v>31-May-2022</c:v>
                </c:pt>
                <c:pt idx="599">
                  <c:v>01-Jun-2022</c:v>
                </c:pt>
                <c:pt idx="600">
                  <c:v>02-Jun-2022</c:v>
                </c:pt>
                <c:pt idx="601">
                  <c:v>03-Jun-2022</c:v>
                </c:pt>
                <c:pt idx="602">
                  <c:v>06-Jun-2022</c:v>
                </c:pt>
                <c:pt idx="603">
                  <c:v>07-Jun-2022</c:v>
                </c:pt>
                <c:pt idx="604">
                  <c:v>08-Jun-2022</c:v>
                </c:pt>
                <c:pt idx="605">
                  <c:v>09-Jun-2022</c:v>
                </c:pt>
                <c:pt idx="606">
                  <c:v>10-Jun-2022</c:v>
                </c:pt>
                <c:pt idx="607">
                  <c:v>13-Jun-2022</c:v>
                </c:pt>
                <c:pt idx="608">
                  <c:v>14-Jun-2022</c:v>
                </c:pt>
                <c:pt idx="609">
                  <c:v>15-Jun-2022</c:v>
                </c:pt>
                <c:pt idx="610">
                  <c:v>16-Jun-2022</c:v>
                </c:pt>
                <c:pt idx="611">
                  <c:v>17-Jun-2022</c:v>
                </c:pt>
                <c:pt idx="612">
                  <c:v>20-Jun-2022</c:v>
                </c:pt>
                <c:pt idx="613">
                  <c:v>21-Jun-2022</c:v>
                </c:pt>
                <c:pt idx="614">
                  <c:v>22-Jun-2022</c:v>
                </c:pt>
                <c:pt idx="615">
                  <c:v>23-Jun-2022</c:v>
                </c:pt>
                <c:pt idx="616">
                  <c:v>24-Jun-2022</c:v>
                </c:pt>
                <c:pt idx="617">
                  <c:v>27-Jun-2022</c:v>
                </c:pt>
                <c:pt idx="618">
                  <c:v>28-Jun-2022</c:v>
                </c:pt>
                <c:pt idx="619">
                  <c:v>29-Jun-2022</c:v>
                </c:pt>
                <c:pt idx="620">
                  <c:v>30-Jun-2022</c:v>
                </c:pt>
                <c:pt idx="621">
                  <c:v>01-Jul-2022</c:v>
                </c:pt>
                <c:pt idx="622">
                  <c:v>04-Jul-2022</c:v>
                </c:pt>
                <c:pt idx="623">
                  <c:v>05-Jul-2022</c:v>
                </c:pt>
                <c:pt idx="624">
                  <c:v>06-Jul-2022</c:v>
                </c:pt>
                <c:pt idx="625">
                  <c:v>07-Jul-2022</c:v>
                </c:pt>
                <c:pt idx="626">
                  <c:v>08-Jul-2022</c:v>
                </c:pt>
                <c:pt idx="627">
                  <c:v>11-Jul-2022</c:v>
                </c:pt>
                <c:pt idx="628">
                  <c:v>12-Jul-2022</c:v>
                </c:pt>
                <c:pt idx="629">
                  <c:v>13-Jul-2022</c:v>
                </c:pt>
                <c:pt idx="630">
                  <c:v>14-Jul-2022</c:v>
                </c:pt>
                <c:pt idx="631">
                  <c:v>15-Jul-2022</c:v>
                </c:pt>
                <c:pt idx="632">
                  <c:v>18-Jul-2022</c:v>
                </c:pt>
                <c:pt idx="633">
                  <c:v>19-Jul-2022</c:v>
                </c:pt>
                <c:pt idx="634">
                  <c:v>20-Jul-2022</c:v>
                </c:pt>
                <c:pt idx="635">
                  <c:v>21-Jul-2022</c:v>
                </c:pt>
                <c:pt idx="636">
                  <c:v>22-Jul-2022</c:v>
                </c:pt>
                <c:pt idx="637">
                  <c:v>25-Jul-2022</c:v>
                </c:pt>
                <c:pt idx="638">
                  <c:v>26-Jul-2022</c:v>
                </c:pt>
                <c:pt idx="639">
                  <c:v>27-Jul-2022</c:v>
                </c:pt>
                <c:pt idx="640">
                  <c:v>28-Jul-2022</c:v>
                </c:pt>
                <c:pt idx="641">
                  <c:v>29-Jul-2022</c:v>
                </c:pt>
                <c:pt idx="642">
                  <c:v>01-Aug-2022</c:v>
                </c:pt>
                <c:pt idx="643">
                  <c:v>02-Aug-2022</c:v>
                </c:pt>
                <c:pt idx="644">
                  <c:v>03-Aug-2022</c:v>
                </c:pt>
                <c:pt idx="645">
                  <c:v>04-Aug-2022</c:v>
                </c:pt>
                <c:pt idx="646">
                  <c:v>05-Aug-2022</c:v>
                </c:pt>
                <c:pt idx="647">
                  <c:v>08-Aug-2022</c:v>
                </c:pt>
                <c:pt idx="648">
                  <c:v>10-Aug-2022</c:v>
                </c:pt>
                <c:pt idx="649">
                  <c:v>11-Aug-2022</c:v>
                </c:pt>
                <c:pt idx="650">
                  <c:v>12-Aug-2022</c:v>
                </c:pt>
                <c:pt idx="651">
                  <c:v>16-Aug-2022</c:v>
                </c:pt>
                <c:pt idx="652">
                  <c:v>17-Aug-2022</c:v>
                </c:pt>
                <c:pt idx="653">
                  <c:v>18-Aug-2022</c:v>
                </c:pt>
                <c:pt idx="654">
                  <c:v>19-Aug-2022</c:v>
                </c:pt>
                <c:pt idx="655">
                  <c:v>22-Aug-2022</c:v>
                </c:pt>
                <c:pt idx="656">
                  <c:v>23-Aug-2022</c:v>
                </c:pt>
                <c:pt idx="657">
                  <c:v>24-Aug-2022</c:v>
                </c:pt>
                <c:pt idx="658">
                  <c:v>25-Aug-2022</c:v>
                </c:pt>
                <c:pt idx="659">
                  <c:v>26-Aug-2022</c:v>
                </c:pt>
                <c:pt idx="660">
                  <c:v>29-Aug-2022</c:v>
                </c:pt>
                <c:pt idx="661">
                  <c:v>30-Aug-2022</c:v>
                </c:pt>
                <c:pt idx="662">
                  <c:v>01-Sep-2022</c:v>
                </c:pt>
                <c:pt idx="663">
                  <c:v>02-Sep-2022</c:v>
                </c:pt>
                <c:pt idx="664">
                  <c:v>05-Sep-2022</c:v>
                </c:pt>
                <c:pt idx="665">
                  <c:v>06-Sep-2022</c:v>
                </c:pt>
                <c:pt idx="666">
                  <c:v>07-Sep-2022</c:v>
                </c:pt>
                <c:pt idx="667">
                  <c:v>08-Sep-2022</c:v>
                </c:pt>
                <c:pt idx="668">
                  <c:v>09-Sep-2022</c:v>
                </c:pt>
                <c:pt idx="669">
                  <c:v>12-Sep-2022</c:v>
                </c:pt>
                <c:pt idx="670">
                  <c:v>13-Sep-2022</c:v>
                </c:pt>
                <c:pt idx="671">
                  <c:v>14-Sep-2022</c:v>
                </c:pt>
                <c:pt idx="672">
                  <c:v>15-Sep-2022</c:v>
                </c:pt>
                <c:pt idx="673">
                  <c:v>16-Sep-2022</c:v>
                </c:pt>
                <c:pt idx="674">
                  <c:v>19-Sep-2022</c:v>
                </c:pt>
                <c:pt idx="675">
                  <c:v>20-Sep-2022</c:v>
                </c:pt>
                <c:pt idx="676">
                  <c:v>21-Sep-2022</c:v>
                </c:pt>
                <c:pt idx="677">
                  <c:v>22-Sep-2022</c:v>
                </c:pt>
                <c:pt idx="678">
                  <c:v>23-Sep-2022</c:v>
                </c:pt>
                <c:pt idx="679">
                  <c:v>26-Sep-2022</c:v>
                </c:pt>
                <c:pt idx="680">
                  <c:v>27-Sep-2022</c:v>
                </c:pt>
                <c:pt idx="681">
                  <c:v>28-Sep-2022</c:v>
                </c:pt>
                <c:pt idx="682">
                  <c:v>29-Sep-2022</c:v>
                </c:pt>
                <c:pt idx="683">
                  <c:v>30-Sep-2022</c:v>
                </c:pt>
                <c:pt idx="684">
                  <c:v>03-Oct-2022</c:v>
                </c:pt>
                <c:pt idx="685">
                  <c:v>04-Oct-2022</c:v>
                </c:pt>
                <c:pt idx="686">
                  <c:v>06-Oct-2022</c:v>
                </c:pt>
                <c:pt idx="687">
                  <c:v>07-Oct-2022</c:v>
                </c:pt>
                <c:pt idx="688">
                  <c:v>10-Oct-2022</c:v>
                </c:pt>
                <c:pt idx="689">
                  <c:v>11-Oct-2022</c:v>
                </c:pt>
                <c:pt idx="690">
                  <c:v>12-Oct-2022</c:v>
                </c:pt>
                <c:pt idx="691">
                  <c:v>13-Oct-2022</c:v>
                </c:pt>
                <c:pt idx="692">
                  <c:v>14-Oct-2022</c:v>
                </c:pt>
                <c:pt idx="693">
                  <c:v>17-Oct-2022</c:v>
                </c:pt>
                <c:pt idx="694">
                  <c:v>18-Oct-2022</c:v>
                </c:pt>
                <c:pt idx="695">
                  <c:v>19-Oct-2022</c:v>
                </c:pt>
                <c:pt idx="696">
                  <c:v>20-Oct-2022</c:v>
                </c:pt>
                <c:pt idx="697">
                  <c:v>21-Oct-2022</c:v>
                </c:pt>
                <c:pt idx="698">
                  <c:v>24-Oct-2022</c:v>
                </c:pt>
                <c:pt idx="699">
                  <c:v>25-Oct-2022</c:v>
                </c:pt>
                <c:pt idx="700">
                  <c:v>27-Oct-2022</c:v>
                </c:pt>
                <c:pt idx="701">
                  <c:v>28-Oct-2022</c:v>
                </c:pt>
                <c:pt idx="702">
                  <c:v>31-Oct-2022</c:v>
                </c:pt>
                <c:pt idx="703">
                  <c:v>01-Nov-2022</c:v>
                </c:pt>
                <c:pt idx="704">
                  <c:v>02-Nov-2022</c:v>
                </c:pt>
                <c:pt idx="705">
                  <c:v>03-Nov-2022</c:v>
                </c:pt>
                <c:pt idx="706">
                  <c:v>04-Nov-2022</c:v>
                </c:pt>
                <c:pt idx="707">
                  <c:v>07-Nov-2022</c:v>
                </c:pt>
                <c:pt idx="708">
                  <c:v>09-Nov-2022</c:v>
                </c:pt>
                <c:pt idx="709">
                  <c:v>10-Nov-2022</c:v>
                </c:pt>
                <c:pt idx="710">
                  <c:v>11-Nov-2022</c:v>
                </c:pt>
                <c:pt idx="711">
                  <c:v>14-Nov-2022</c:v>
                </c:pt>
                <c:pt idx="712">
                  <c:v>15-Nov-2022</c:v>
                </c:pt>
                <c:pt idx="713">
                  <c:v>16-Nov-2022</c:v>
                </c:pt>
                <c:pt idx="714">
                  <c:v>17-Nov-2022</c:v>
                </c:pt>
                <c:pt idx="715">
                  <c:v>18-Nov-2022</c:v>
                </c:pt>
                <c:pt idx="716">
                  <c:v>21-Nov-2022</c:v>
                </c:pt>
                <c:pt idx="717">
                  <c:v>22-Nov-2022</c:v>
                </c:pt>
                <c:pt idx="718">
                  <c:v>23-Nov-2022</c:v>
                </c:pt>
                <c:pt idx="719">
                  <c:v>24-Nov-2022</c:v>
                </c:pt>
                <c:pt idx="720">
                  <c:v>25-Nov-2022</c:v>
                </c:pt>
                <c:pt idx="721">
                  <c:v>28-Nov-2022</c:v>
                </c:pt>
                <c:pt idx="722">
                  <c:v>29-Nov-2022</c:v>
                </c:pt>
                <c:pt idx="723">
                  <c:v>30-Nov-2022</c:v>
                </c:pt>
                <c:pt idx="724">
                  <c:v>01-Dec-2022</c:v>
                </c:pt>
                <c:pt idx="725">
                  <c:v>02-Dec-2022</c:v>
                </c:pt>
                <c:pt idx="726">
                  <c:v>05-Dec-2022</c:v>
                </c:pt>
                <c:pt idx="727">
                  <c:v>06-Dec-2022</c:v>
                </c:pt>
                <c:pt idx="728">
                  <c:v>07-Dec-2022</c:v>
                </c:pt>
                <c:pt idx="729">
                  <c:v>08-Dec-2022</c:v>
                </c:pt>
                <c:pt idx="730">
                  <c:v>09-Dec-2022</c:v>
                </c:pt>
                <c:pt idx="731">
                  <c:v>12-Dec-2022</c:v>
                </c:pt>
                <c:pt idx="732">
                  <c:v>13-Dec-2022</c:v>
                </c:pt>
                <c:pt idx="733">
                  <c:v>14-Dec-2022</c:v>
                </c:pt>
                <c:pt idx="734">
                  <c:v>15-Dec-2022</c:v>
                </c:pt>
                <c:pt idx="735">
                  <c:v>16-Dec-2022</c:v>
                </c:pt>
                <c:pt idx="736">
                  <c:v>19-Dec-2022</c:v>
                </c:pt>
                <c:pt idx="737">
                  <c:v>20-Dec-2022</c:v>
                </c:pt>
                <c:pt idx="738">
                  <c:v>21-Dec-2022</c:v>
                </c:pt>
                <c:pt idx="739">
                  <c:v>22-Dec-2022</c:v>
                </c:pt>
                <c:pt idx="740">
                  <c:v>23-Dec-2022</c:v>
                </c:pt>
                <c:pt idx="741">
                  <c:v>26-Dec-2022</c:v>
                </c:pt>
                <c:pt idx="742">
                  <c:v>27-Dec-2022</c:v>
                </c:pt>
                <c:pt idx="743">
                  <c:v>28-Dec-2022</c:v>
                </c:pt>
                <c:pt idx="744">
                  <c:v>29-Dec-2022</c:v>
                </c:pt>
                <c:pt idx="745">
                  <c:v>30-Dec-2022</c:v>
                </c:pt>
                <c:pt idx="746">
                  <c:v>02-Jan-2023</c:v>
                </c:pt>
                <c:pt idx="747">
                  <c:v>03-Jan-2023</c:v>
                </c:pt>
                <c:pt idx="748">
                  <c:v>04-Jan-2023</c:v>
                </c:pt>
                <c:pt idx="749">
                  <c:v>05-Jan-2023</c:v>
                </c:pt>
                <c:pt idx="750">
                  <c:v>06-Jan-2023</c:v>
                </c:pt>
                <c:pt idx="751">
                  <c:v>09-Jan-2023</c:v>
                </c:pt>
                <c:pt idx="752">
                  <c:v>10-Jan-2023</c:v>
                </c:pt>
                <c:pt idx="753">
                  <c:v>11-Jan-2023</c:v>
                </c:pt>
                <c:pt idx="754">
                  <c:v>12-Jan-2023</c:v>
                </c:pt>
                <c:pt idx="755">
                  <c:v>13-Jan-2023</c:v>
                </c:pt>
                <c:pt idx="756">
                  <c:v>16-Jan-2023</c:v>
                </c:pt>
                <c:pt idx="757">
                  <c:v>17-Jan-2023</c:v>
                </c:pt>
                <c:pt idx="758">
                  <c:v>18-Jan-2023</c:v>
                </c:pt>
                <c:pt idx="759">
                  <c:v>19-Jan-2023</c:v>
                </c:pt>
                <c:pt idx="760">
                  <c:v>20-Jan-2023</c:v>
                </c:pt>
                <c:pt idx="761">
                  <c:v>23-Jan-2023</c:v>
                </c:pt>
                <c:pt idx="762">
                  <c:v>24-Jan-2023</c:v>
                </c:pt>
                <c:pt idx="763">
                  <c:v>25-Jan-2023</c:v>
                </c:pt>
                <c:pt idx="764">
                  <c:v>27-Jan-2023</c:v>
                </c:pt>
                <c:pt idx="765">
                  <c:v>30-Jan-2023</c:v>
                </c:pt>
                <c:pt idx="766">
                  <c:v>31-Jan-2023</c:v>
                </c:pt>
                <c:pt idx="767">
                  <c:v>01-Feb-2023</c:v>
                </c:pt>
                <c:pt idx="768">
                  <c:v>02-Feb-2023</c:v>
                </c:pt>
                <c:pt idx="769">
                  <c:v>03-Feb-2023</c:v>
                </c:pt>
                <c:pt idx="770">
                  <c:v>06-Feb-2023</c:v>
                </c:pt>
                <c:pt idx="771">
                  <c:v>07-Feb-2023</c:v>
                </c:pt>
                <c:pt idx="772">
                  <c:v>08-Feb-2023</c:v>
                </c:pt>
                <c:pt idx="773">
                  <c:v>09-Feb-2023</c:v>
                </c:pt>
                <c:pt idx="774">
                  <c:v>10-Feb-2023</c:v>
                </c:pt>
                <c:pt idx="775">
                  <c:v>13-Feb-2023</c:v>
                </c:pt>
                <c:pt idx="776">
                  <c:v>14-Feb-2023</c:v>
                </c:pt>
                <c:pt idx="777">
                  <c:v>15-Feb-2023</c:v>
                </c:pt>
                <c:pt idx="778">
                  <c:v>16-Feb-2023</c:v>
                </c:pt>
                <c:pt idx="779">
                  <c:v>17-Feb-2023</c:v>
                </c:pt>
                <c:pt idx="780">
                  <c:v>20-Feb-2023</c:v>
                </c:pt>
                <c:pt idx="781">
                  <c:v>21-Feb-2023</c:v>
                </c:pt>
                <c:pt idx="782">
                  <c:v>22-Feb-2023</c:v>
                </c:pt>
                <c:pt idx="783">
                  <c:v>23-Feb-2023</c:v>
                </c:pt>
                <c:pt idx="784">
                  <c:v>24-Feb-2023</c:v>
                </c:pt>
                <c:pt idx="785">
                  <c:v>27-Feb-2023</c:v>
                </c:pt>
                <c:pt idx="786">
                  <c:v>28-Feb-2023</c:v>
                </c:pt>
                <c:pt idx="787">
                  <c:v>01-Mar-2023</c:v>
                </c:pt>
                <c:pt idx="788">
                  <c:v>02-Mar-2023</c:v>
                </c:pt>
                <c:pt idx="789">
                  <c:v>03-Mar-2023</c:v>
                </c:pt>
                <c:pt idx="790">
                  <c:v>06-Mar-2023</c:v>
                </c:pt>
                <c:pt idx="791">
                  <c:v>08-Mar-2023</c:v>
                </c:pt>
                <c:pt idx="792">
                  <c:v>09-Mar-2023</c:v>
                </c:pt>
                <c:pt idx="793">
                  <c:v>10-Mar-2023</c:v>
                </c:pt>
                <c:pt idx="794">
                  <c:v>13-Mar-2023</c:v>
                </c:pt>
                <c:pt idx="795">
                  <c:v>14-Mar-2023</c:v>
                </c:pt>
                <c:pt idx="796">
                  <c:v>15-Mar-2023</c:v>
                </c:pt>
                <c:pt idx="797">
                  <c:v>16-Mar-2023</c:v>
                </c:pt>
                <c:pt idx="798">
                  <c:v>17-Mar-2023</c:v>
                </c:pt>
                <c:pt idx="799">
                  <c:v>20-Mar-2023</c:v>
                </c:pt>
                <c:pt idx="800">
                  <c:v>21-Mar-2023</c:v>
                </c:pt>
                <c:pt idx="801">
                  <c:v>22-Mar-2023</c:v>
                </c:pt>
                <c:pt idx="802">
                  <c:v>23-Mar-2023</c:v>
                </c:pt>
                <c:pt idx="803">
                  <c:v>24-Mar-2023</c:v>
                </c:pt>
                <c:pt idx="804">
                  <c:v>27-Mar-2023</c:v>
                </c:pt>
                <c:pt idx="805">
                  <c:v>28-Mar-2023</c:v>
                </c:pt>
                <c:pt idx="806">
                  <c:v>29-Mar-2023</c:v>
                </c:pt>
                <c:pt idx="807">
                  <c:v>31-Mar-2023</c:v>
                </c:pt>
                <c:pt idx="808">
                  <c:v>03-Apr-2023</c:v>
                </c:pt>
                <c:pt idx="809">
                  <c:v>05-Apr-2023</c:v>
                </c:pt>
                <c:pt idx="810">
                  <c:v>06-Apr-2023</c:v>
                </c:pt>
                <c:pt idx="811">
                  <c:v>10-Apr-2023</c:v>
                </c:pt>
                <c:pt idx="812">
                  <c:v>11-Apr-2023</c:v>
                </c:pt>
                <c:pt idx="813">
                  <c:v>12-Apr-2023</c:v>
                </c:pt>
                <c:pt idx="814">
                  <c:v>13-Apr-2023</c:v>
                </c:pt>
                <c:pt idx="815">
                  <c:v>17-Apr-2023</c:v>
                </c:pt>
                <c:pt idx="816">
                  <c:v>18-Apr-2023</c:v>
                </c:pt>
                <c:pt idx="817">
                  <c:v>19-Apr-2023</c:v>
                </c:pt>
                <c:pt idx="818">
                  <c:v>20-Apr-2023</c:v>
                </c:pt>
                <c:pt idx="819">
                  <c:v>21-Apr-2023</c:v>
                </c:pt>
                <c:pt idx="820">
                  <c:v>24-Apr-2023</c:v>
                </c:pt>
                <c:pt idx="821">
                  <c:v>25-Apr-2023</c:v>
                </c:pt>
                <c:pt idx="822">
                  <c:v>26-Apr-2023</c:v>
                </c:pt>
                <c:pt idx="823">
                  <c:v>27-Apr-2023</c:v>
                </c:pt>
                <c:pt idx="824">
                  <c:v>28-Apr-2023</c:v>
                </c:pt>
                <c:pt idx="825">
                  <c:v>02-May-2023</c:v>
                </c:pt>
                <c:pt idx="826">
                  <c:v>03-May-2023</c:v>
                </c:pt>
                <c:pt idx="827">
                  <c:v>04-May-2023</c:v>
                </c:pt>
                <c:pt idx="828">
                  <c:v>05-May-2023</c:v>
                </c:pt>
                <c:pt idx="829">
                  <c:v>08-May-2023</c:v>
                </c:pt>
                <c:pt idx="830">
                  <c:v>09-May-2023</c:v>
                </c:pt>
                <c:pt idx="831">
                  <c:v>10-May-2023</c:v>
                </c:pt>
                <c:pt idx="832">
                  <c:v>11-May-2023</c:v>
                </c:pt>
                <c:pt idx="833">
                  <c:v>12-May-2023</c:v>
                </c:pt>
                <c:pt idx="834">
                  <c:v>15-May-2023</c:v>
                </c:pt>
                <c:pt idx="835">
                  <c:v>16-May-2023</c:v>
                </c:pt>
                <c:pt idx="836">
                  <c:v>17-May-2023</c:v>
                </c:pt>
                <c:pt idx="837">
                  <c:v>18-May-2023</c:v>
                </c:pt>
                <c:pt idx="838">
                  <c:v>19-May-2023</c:v>
                </c:pt>
                <c:pt idx="839">
                  <c:v>22-May-2023</c:v>
                </c:pt>
                <c:pt idx="840">
                  <c:v>23-May-2023</c:v>
                </c:pt>
                <c:pt idx="841">
                  <c:v>24-May-2023</c:v>
                </c:pt>
                <c:pt idx="842">
                  <c:v>25-May-2023</c:v>
                </c:pt>
                <c:pt idx="843">
                  <c:v>26-May-2023</c:v>
                </c:pt>
                <c:pt idx="844">
                  <c:v>29-May-2023</c:v>
                </c:pt>
                <c:pt idx="845">
                  <c:v>30-May-2023</c:v>
                </c:pt>
                <c:pt idx="846">
                  <c:v>31-May-2023</c:v>
                </c:pt>
                <c:pt idx="847">
                  <c:v>01-Jun-2023</c:v>
                </c:pt>
                <c:pt idx="848">
                  <c:v>02-Jun-2023</c:v>
                </c:pt>
                <c:pt idx="849">
                  <c:v>05-Jun-2023</c:v>
                </c:pt>
                <c:pt idx="850">
                  <c:v>06-Jun-2023</c:v>
                </c:pt>
                <c:pt idx="851">
                  <c:v>07-Jun-2023</c:v>
                </c:pt>
                <c:pt idx="852">
                  <c:v>08-Jun-2023</c:v>
                </c:pt>
                <c:pt idx="853">
                  <c:v>09-Jun-2023</c:v>
                </c:pt>
                <c:pt idx="854">
                  <c:v>12-Jun-2023</c:v>
                </c:pt>
                <c:pt idx="855">
                  <c:v>13-Jun-2023</c:v>
                </c:pt>
                <c:pt idx="856">
                  <c:v>14-Jun-2023</c:v>
                </c:pt>
                <c:pt idx="857">
                  <c:v>15-Jun-2023</c:v>
                </c:pt>
                <c:pt idx="858">
                  <c:v>16-Jun-2023</c:v>
                </c:pt>
                <c:pt idx="859">
                  <c:v>19-Jun-2023</c:v>
                </c:pt>
                <c:pt idx="860">
                  <c:v>20-Jun-2023</c:v>
                </c:pt>
                <c:pt idx="861">
                  <c:v>21-Jun-2023</c:v>
                </c:pt>
                <c:pt idx="862">
                  <c:v>22-Jun-2023</c:v>
                </c:pt>
                <c:pt idx="863">
                  <c:v>23-Jun-2023</c:v>
                </c:pt>
                <c:pt idx="864">
                  <c:v>26-Jun-2023</c:v>
                </c:pt>
                <c:pt idx="865">
                  <c:v>27-Jun-2023</c:v>
                </c:pt>
                <c:pt idx="866">
                  <c:v>28-Jun-2023</c:v>
                </c:pt>
                <c:pt idx="867">
                  <c:v>30-Jun-2023</c:v>
                </c:pt>
                <c:pt idx="868">
                  <c:v>03-Jul-2023</c:v>
                </c:pt>
                <c:pt idx="869">
                  <c:v>04-Jul-2023</c:v>
                </c:pt>
                <c:pt idx="870">
                  <c:v>05-Jul-2023</c:v>
                </c:pt>
                <c:pt idx="871">
                  <c:v>06-Jul-2023</c:v>
                </c:pt>
                <c:pt idx="872">
                  <c:v>07-Jul-2023</c:v>
                </c:pt>
                <c:pt idx="873">
                  <c:v>10-Jul-2023</c:v>
                </c:pt>
                <c:pt idx="874">
                  <c:v>11-Jul-2023</c:v>
                </c:pt>
                <c:pt idx="875">
                  <c:v>12-Jul-2023</c:v>
                </c:pt>
                <c:pt idx="876">
                  <c:v>13-Jul-2023</c:v>
                </c:pt>
                <c:pt idx="877">
                  <c:v>14-Jul-2023</c:v>
                </c:pt>
                <c:pt idx="878">
                  <c:v>17-Jul-2023</c:v>
                </c:pt>
                <c:pt idx="879">
                  <c:v>18-Jul-2023</c:v>
                </c:pt>
                <c:pt idx="880">
                  <c:v>19-Jul-2023</c:v>
                </c:pt>
                <c:pt idx="881">
                  <c:v>20-Jul-2023</c:v>
                </c:pt>
                <c:pt idx="882">
                  <c:v>21-Jul-2023</c:v>
                </c:pt>
                <c:pt idx="883">
                  <c:v>24-Jul-2023</c:v>
                </c:pt>
                <c:pt idx="884">
                  <c:v>25-Jul-2023</c:v>
                </c:pt>
                <c:pt idx="885">
                  <c:v>26-Jul-2023</c:v>
                </c:pt>
                <c:pt idx="886">
                  <c:v>27-Jul-2023</c:v>
                </c:pt>
                <c:pt idx="887">
                  <c:v>28-Jul-2023</c:v>
                </c:pt>
                <c:pt idx="888">
                  <c:v>31-Jul-2023</c:v>
                </c:pt>
                <c:pt idx="889">
                  <c:v>01-Aug-2023</c:v>
                </c:pt>
                <c:pt idx="890">
                  <c:v>02-Aug-2023</c:v>
                </c:pt>
                <c:pt idx="891">
                  <c:v>03-Aug-2023</c:v>
                </c:pt>
                <c:pt idx="892">
                  <c:v>04-Aug-2023</c:v>
                </c:pt>
                <c:pt idx="893">
                  <c:v>07-Aug-2023</c:v>
                </c:pt>
                <c:pt idx="894">
                  <c:v>08-Aug-2023</c:v>
                </c:pt>
                <c:pt idx="895">
                  <c:v>09-Aug-2023</c:v>
                </c:pt>
                <c:pt idx="896">
                  <c:v>10-Aug-2023</c:v>
                </c:pt>
                <c:pt idx="897">
                  <c:v>11-Aug-2023</c:v>
                </c:pt>
                <c:pt idx="898">
                  <c:v>14-Aug-2023</c:v>
                </c:pt>
                <c:pt idx="899">
                  <c:v>16-Aug-2023</c:v>
                </c:pt>
                <c:pt idx="900">
                  <c:v>17-Aug-2023</c:v>
                </c:pt>
                <c:pt idx="901">
                  <c:v>18-Aug-2023</c:v>
                </c:pt>
                <c:pt idx="902">
                  <c:v>21-Aug-2023</c:v>
                </c:pt>
                <c:pt idx="903">
                  <c:v>22-Aug-2023</c:v>
                </c:pt>
                <c:pt idx="904">
                  <c:v>23-Aug-2023</c:v>
                </c:pt>
                <c:pt idx="905">
                  <c:v>24-Aug-2023</c:v>
                </c:pt>
                <c:pt idx="906">
                  <c:v>25-Aug-2023</c:v>
                </c:pt>
                <c:pt idx="907">
                  <c:v>28-Aug-2023</c:v>
                </c:pt>
                <c:pt idx="908">
                  <c:v>29-Aug-2023</c:v>
                </c:pt>
                <c:pt idx="909">
                  <c:v>30-Aug-2023</c:v>
                </c:pt>
                <c:pt idx="910">
                  <c:v>31-Aug-2023</c:v>
                </c:pt>
                <c:pt idx="911">
                  <c:v>01-Sep-2023</c:v>
                </c:pt>
                <c:pt idx="912">
                  <c:v>04-Sep-2023</c:v>
                </c:pt>
                <c:pt idx="913">
                  <c:v>05-Sep-2023</c:v>
                </c:pt>
                <c:pt idx="914">
                  <c:v>06-Sep-2023</c:v>
                </c:pt>
                <c:pt idx="915">
                  <c:v>07-Sep-2023</c:v>
                </c:pt>
                <c:pt idx="916">
                  <c:v>08-Sep-2023</c:v>
                </c:pt>
                <c:pt idx="917">
                  <c:v>11-Sep-2023</c:v>
                </c:pt>
                <c:pt idx="918">
                  <c:v>12-Sep-2023</c:v>
                </c:pt>
                <c:pt idx="919">
                  <c:v>13-Sep-2023</c:v>
                </c:pt>
                <c:pt idx="920">
                  <c:v>14-Sep-2023</c:v>
                </c:pt>
                <c:pt idx="921">
                  <c:v>15-Sep-2023</c:v>
                </c:pt>
                <c:pt idx="922">
                  <c:v>18-Sep-2023</c:v>
                </c:pt>
                <c:pt idx="923">
                  <c:v>20-Sep-2023</c:v>
                </c:pt>
                <c:pt idx="924">
                  <c:v>21-Sep-2023</c:v>
                </c:pt>
                <c:pt idx="925">
                  <c:v>22-Sep-2023</c:v>
                </c:pt>
                <c:pt idx="926">
                  <c:v>25-Sep-2023</c:v>
                </c:pt>
                <c:pt idx="927">
                  <c:v>26-Sep-2023</c:v>
                </c:pt>
                <c:pt idx="928">
                  <c:v>27-Sep-2023</c:v>
                </c:pt>
                <c:pt idx="929">
                  <c:v>28-Sep-2023</c:v>
                </c:pt>
                <c:pt idx="930">
                  <c:v>29-Sep-2023</c:v>
                </c:pt>
                <c:pt idx="931">
                  <c:v>03-Oct-2023</c:v>
                </c:pt>
                <c:pt idx="932">
                  <c:v>04-Oct-2023</c:v>
                </c:pt>
                <c:pt idx="933">
                  <c:v>05-Oct-2023</c:v>
                </c:pt>
                <c:pt idx="934">
                  <c:v>06-Oct-2023</c:v>
                </c:pt>
                <c:pt idx="935">
                  <c:v>09-Oct-2023</c:v>
                </c:pt>
                <c:pt idx="936">
                  <c:v>10-Oct-2023</c:v>
                </c:pt>
                <c:pt idx="937">
                  <c:v>11-Oct-2023</c:v>
                </c:pt>
                <c:pt idx="938">
                  <c:v>12-Oct-2023</c:v>
                </c:pt>
                <c:pt idx="939">
                  <c:v>13-Oct-2023</c:v>
                </c:pt>
                <c:pt idx="940">
                  <c:v>16-Oct-2023</c:v>
                </c:pt>
                <c:pt idx="941">
                  <c:v>17-Oct-2023</c:v>
                </c:pt>
                <c:pt idx="942">
                  <c:v>18-Oct-2023</c:v>
                </c:pt>
                <c:pt idx="943">
                  <c:v>19-Oct-2023</c:v>
                </c:pt>
                <c:pt idx="944">
                  <c:v>20-Oct-2023</c:v>
                </c:pt>
                <c:pt idx="945">
                  <c:v>23-Oct-2023</c:v>
                </c:pt>
                <c:pt idx="946">
                  <c:v>25-Oct-2023</c:v>
                </c:pt>
                <c:pt idx="947">
                  <c:v>26-Oct-2023</c:v>
                </c:pt>
                <c:pt idx="948">
                  <c:v>27-Oct-2023</c:v>
                </c:pt>
                <c:pt idx="949">
                  <c:v>30-Oct-2023</c:v>
                </c:pt>
                <c:pt idx="950">
                  <c:v>31-Oct-2023</c:v>
                </c:pt>
                <c:pt idx="951">
                  <c:v>01-Nov-2023</c:v>
                </c:pt>
                <c:pt idx="952">
                  <c:v>02-Nov-2023</c:v>
                </c:pt>
                <c:pt idx="953">
                  <c:v>03-Nov-2023</c:v>
                </c:pt>
                <c:pt idx="954">
                  <c:v>06-Nov-2023</c:v>
                </c:pt>
                <c:pt idx="955">
                  <c:v>07-Nov-2023</c:v>
                </c:pt>
                <c:pt idx="956">
                  <c:v>08-Nov-2023</c:v>
                </c:pt>
                <c:pt idx="957">
                  <c:v>09-Nov-2023</c:v>
                </c:pt>
                <c:pt idx="958">
                  <c:v>10-Nov-2023</c:v>
                </c:pt>
                <c:pt idx="959">
                  <c:v>13-Nov-2023</c:v>
                </c:pt>
                <c:pt idx="960">
                  <c:v>15-Nov-2023</c:v>
                </c:pt>
                <c:pt idx="961">
                  <c:v>16-Nov-2023</c:v>
                </c:pt>
                <c:pt idx="962">
                  <c:v>17-Nov-2023</c:v>
                </c:pt>
                <c:pt idx="963">
                  <c:v>20-Nov-2023</c:v>
                </c:pt>
                <c:pt idx="964">
                  <c:v>21-Nov-2023</c:v>
                </c:pt>
                <c:pt idx="965">
                  <c:v>22-Nov-2023</c:v>
                </c:pt>
                <c:pt idx="966">
                  <c:v>23-Nov-2023</c:v>
                </c:pt>
                <c:pt idx="967">
                  <c:v>24-Nov-2023</c:v>
                </c:pt>
                <c:pt idx="968">
                  <c:v>28-Nov-2023</c:v>
                </c:pt>
                <c:pt idx="969">
                  <c:v>29-Nov-2023</c:v>
                </c:pt>
                <c:pt idx="970">
                  <c:v>30-Nov-2023</c:v>
                </c:pt>
                <c:pt idx="971">
                  <c:v>01-Dec-2023</c:v>
                </c:pt>
                <c:pt idx="972">
                  <c:v>04-Dec-2023</c:v>
                </c:pt>
                <c:pt idx="973">
                  <c:v>05-Dec-2023</c:v>
                </c:pt>
                <c:pt idx="974">
                  <c:v>06-Dec-2023</c:v>
                </c:pt>
                <c:pt idx="975">
                  <c:v>07-Dec-2023</c:v>
                </c:pt>
                <c:pt idx="976">
                  <c:v>08-Dec-2023</c:v>
                </c:pt>
                <c:pt idx="977">
                  <c:v>11-Dec-2023</c:v>
                </c:pt>
                <c:pt idx="978">
                  <c:v>12-Dec-2023</c:v>
                </c:pt>
                <c:pt idx="979">
                  <c:v>13-Dec-2023</c:v>
                </c:pt>
                <c:pt idx="980">
                  <c:v>14-Dec-2023</c:v>
                </c:pt>
                <c:pt idx="981">
                  <c:v>15-Dec-2023</c:v>
                </c:pt>
                <c:pt idx="982">
                  <c:v>18-Dec-2023</c:v>
                </c:pt>
                <c:pt idx="983">
                  <c:v>19-Dec-2023</c:v>
                </c:pt>
                <c:pt idx="984">
                  <c:v>20-Dec-2023</c:v>
                </c:pt>
                <c:pt idx="985">
                  <c:v>21-Dec-2023</c:v>
                </c:pt>
                <c:pt idx="986">
                  <c:v>22-Dec-2023</c:v>
                </c:pt>
                <c:pt idx="987">
                  <c:v>26-Dec-2023</c:v>
                </c:pt>
                <c:pt idx="988">
                  <c:v>27-Dec-2023</c:v>
                </c:pt>
                <c:pt idx="989">
                  <c:v>28-Dec-2023</c:v>
                </c:pt>
                <c:pt idx="990">
                  <c:v>29-Dec-2023</c:v>
                </c:pt>
                <c:pt idx="991">
                  <c:v>01-Jan-2024</c:v>
                </c:pt>
                <c:pt idx="992">
                  <c:v>02-Jan-2024</c:v>
                </c:pt>
                <c:pt idx="993">
                  <c:v>03-Jan-2024</c:v>
                </c:pt>
                <c:pt idx="994">
                  <c:v>04-Jan-2024</c:v>
                </c:pt>
                <c:pt idx="995">
                  <c:v>05-Jan-2024</c:v>
                </c:pt>
                <c:pt idx="996">
                  <c:v>08-Jan-2024</c:v>
                </c:pt>
                <c:pt idx="997">
                  <c:v>09-Jan-2024</c:v>
                </c:pt>
                <c:pt idx="998">
                  <c:v>10-Jan-2024</c:v>
                </c:pt>
                <c:pt idx="999">
                  <c:v>11-Jan-2024</c:v>
                </c:pt>
                <c:pt idx="1000">
                  <c:v>12-Jan-2024</c:v>
                </c:pt>
                <c:pt idx="1001">
                  <c:v>15-Jan-2024</c:v>
                </c:pt>
                <c:pt idx="1002">
                  <c:v>16-Jan-2024</c:v>
                </c:pt>
                <c:pt idx="1003">
                  <c:v>17-Jan-2024</c:v>
                </c:pt>
                <c:pt idx="1004">
                  <c:v>18-Jan-2024</c:v>
                </c:pt>
                <c:pt idx="1005">
                  <c:v>19-Jan-2024</c:v>
                </c:pt>
                <c:pt idx="1006">
                  <c:v>23-Jan-2024</c:v>
                </c:pt>
                <c:pt idx="1007">
                  <c:v>24-Jan-2024</c:v>
                </c:pt>
                <c:pt idx="1008">
                  <c:v>25-Jan-2024</c:v>
                </c:pt>
                <c:pt idx="1009">
                  <c:v>29-Jan-2024</c:v>
                </c:pt>
                <c:pt idx="1010">
                  <c:v>30-Jan-2024</c:v>
                </c:pt>
                <c:pt idx="1011">
                  <c:v>31-Jan-2024</c:v>
                </c:pt>
                <c:pt idx="1012">
                  <c:v>01-Feb-2024</c:v>
                </c:pt>
                <c:pt idx="1013">
                  <c:v>02-Feb-2024</c:v>
                </c:pt>
                <c:pt idx="1014">
                  <c:v>05-Feb-2024</c:v>
                </c:pt>
                <c:pt idx="1015">
                  <c:v>06-Feb-2024</c:v>
                </c:pt>
                <c:pt idx="1016">
                  <c:v>07-Feb-2024</c:v>
                </c:pt>
                <c:pt idx="1017">
                  <c:v>08-Feb-2024</c:v>
                </c:pt>
                <c:pt idx="1018">
                  <c:v>09-Feb-2024</c:v>
                </c:pt>
                <c:pt idx="1019">
                  <c:v>12-Feb-2024</c:v>
                </c:pt>
                <c:pt idx="1020">
                  <c:v>13-Feb-2024</c:v>
                </c:pt>
                <c:pt idx="1021">
                  <c:v>14-Feb-2024</c:v>
                </c:pt>
                <c:pt idx="1022">
                  <c:v>15-Feb-2024</c:v>
                </c:pt>
                <c:pt idx="1023">
                  <c:v>16-Feb-2024</c:v>
                </c:pt>
                <c:pt idx="1024">
                  <c:v>19-Feb-2024</c:v>
                </c:pt>
                <c:pt idx="1025">
                  <c:v>20-Feb-2024</c:v>
                </c:pt>
                <c:pt idx="1026">
                  <c:v>21-Feb-2024</c:v>
                </c:pt>
                <c:pt idx="1027">
                  <c:v>22-Feb-2024</c:v>
                </c:pt>
                <c:pt idx="1028">
                  <c:v>23-Feb-2024</c:v>
                </c:pt>
                <c:pt idx="1029">
                  <c:v>26-Feb-2024</c:v>
                </c:pt>
                <c:pt idx="1030">
                  <c:v>27-Feb-2024</c:v>
                </c:pt>
                <c:pt idx="1031">
                  <c:v>28-Feb-2024</c:v>
                </c:pt>
                <c:pt idx="1032">
                  <c:v>29-Feb-2024</c:v>
                </c:pt>
                <c:pt idx="1033">
                  <c:v>01-Mar-2024</c:v>
                </c:pt>
                <c:pt idx="1034">
                  <c:v>04-Mar-2024</c:v>
                </c:pt>
                <c:pt idx="1035">
                  <c:v>05-Mar-2024</c:v>
                </c:pt>
                <c:pt idx="1036">
                  <c:v>06-Mar-2024</c:v>
                </c:pt>
                <c:pt idx="1037">
                  <c:v>07-Mar-2024</c:v>
                </c:pt>
                <c:pt idx="1038">
                  <c:v>11-Mar-2024</c:v>
                </c:pt>
                <c:pt idx="1039">
                  <c:v>12-Mar-2024</c:v>
                </c:pt>
                <c:pt idx="1040">
                  <c:v>13-Mar-2024</c:v>
                </c:pt>
                <c:pt idx="1041">
                  <c:v>14-Mar-2024</c:v>
                </c:pt>
                <c:pt idx="1042">
                  <c:v>15-Mar-2024</c:v>
                </c:pt>
                <c:pt idx="1043">
                  <c:v>18-Mar-2024</c:v>
                </c:pt>
                <c:pt idx="1044">
                  <c:v>19-Mar-2024</c:v>
                </c:pt>
                <c:pt idx="1045">
                  <c:v>20-Mar-2024</c:v>
                </c:pt>
                <c:pt idx="1046">
                  <c:v>21-Mar-2024</c:v>
                </c:pt>
                <c:pt idx="1047">
                  <c:v>22-Mar-2024</c:v>
                </c:pt>
                <c:pt idx="1048">
                  <c:v>26-Mar-2024</c:v>
                </c:pt>
                <c:pt idx="1049">
                  <c:v>27-Mar-2024</c:v>
                </c:pt>
                <c:pt idx="1050">
                  <c:v>28-Mar-2024</c:v>
                </c:pt>
                <c:pt idx="1051">
                  <c:v>01-Apr-2024</c:v>
                </c:pt>
                <c:pt idx="1052">
                  <c:v>02-Apr-2024</c:v>
                </c:pt>
                <c:pt idx="1053">
                  <c:v>03-Apr-2024</c:v>
                </c:pt>
                <c:pt idx="1054">
                  <c:v>04-Apr-2024</c:v>
                </c:pt>
                <c:pt idx="1055">
                  <c:v>05-Apr-2024</c:v>
                </c:pt>
                <c:pt idx="1056">
                  <c:v>08-Apr-2024</c:v>
                </c:pt>
                <c:pt idx="1057">
                  <c:v>09-Apr-2024</c:v>
                </c:pt>
                <c:pt idx="1058">
                  <c:v>10-Apr-2024</c:v>
                </c:pt>
                <c:pt idx="1059">
                  <c:v>12-Apr-2024</c:v>
                </c:pt>
                <c:pt idx="1060">
                  <c:v>15-Apr-2024</c:v>
                </c:pt>
                <c:pt idx="1061">
                  <c:v>16-Apr-2024</c:v>
                </c:pt>
                <c:pt idx="1062">
                  <c:v>18-Apr-2024</c:v>
                </c:pt>
                <c:pt idx="1063">
                  <c:v>19-Apr-2024</c:v>
                </c:pt>
                <c:pt idx="1064">
                  <c:v>22-Apr-2024</c:v>
                </c:pt>
                <c:pt idx="1065">
                  <c:v>23-Apr-2024</c:v>
                </c:pt>
                <c:pt idx="1066">
                  <c:v>24-Apr-2024</c:v>
                </c:pt>
                <c:pt idx="1067">
                  <c:v>25-Apr-2024</c:v>
                </c:pt>
                <c:pt idx="1068">
                  <c:v>26-Apr-2024</c:v>
                </c:pt>
                <c:pt idx="1069">
                  <c:v>29-Apr-2024</c:v>
                </c:pt>
                <c:pt idx="1070">
                  <c:v>30-Apr-2024</c:v>
                </c:pt>
                <c:pt idx="1071">
                  <c:v>02-May-2024</c:v>
                </c:pt>
                <c:pt idx="1072">
                  <c:v>03-May-2024</c:v>
                </c:pt>
                <c:pt idx="1073">
                  <c:v>06-May-2024</c:v>
                </c:pt>
                <c:pt idx="1074">
                  <c:v>07-May-2024</c:v>
                </c:pt>
                <c:pt idx="1075">
                  <c:v>08-May-2024</c:v>
                </c:pt>
                <c:pt idx="1076">
                  <c:v>09-May-2024</c:v>
                </c:pt>
                <c:pt idx="1077">
                  <c:v>10-May-2024</c:v>
                </c:pt>
                <c:pt idx="1078">
                  <c:v>13-May-2024</c:v>
                </c:pt>
                <c:pt idx="1079">
                  <c:v>14-May-2024</c:v>
                </c:pt>
                <c:pt idx="1080">
                  <c:v>15-May-2024</c:v>
                </c:pt>
                <c:pt idx="1081">
                  <c:v>16-May-2024</c:v>
                </c:pt>
                <c:pt idx="1082">
                  <c:v>17-May-2024</c:v>
                </c:pt>
                <c:pt idx="1083">
                  <c:v>21-May-2024</c:v>
                </c:pt>
                <c:pt idx="1084">
                  <c:v>22-May-2024</c:v>
                </c:pt>
                <c:pt idx="1085">
                  <c:v>23-May-2024</c:v>
                </c:pt>
                <c:pt idx="1086">
                  <c:v>24-May-2024</c:v>
                </c:pt>
                <c:pt idx="1087">
                  <c:v>27-May-2024</c:v>
                </c:pt>
                <c:pt idx="1088">
                  <c:v>28-May-2024</c:v>
                </c:pt>
                <c:pt idx="1089">
                  <c:v>29-May-2024</c:v>
                </c:pt>
                <c:pt idx="1090">
                  <c:v>30-May-2024</c:v>
                </c:pt>
                <c:pt idx="1091">
                  <c:v>31-May-2024</c:v>
                </c:pt>
                <c:pt idx="1092">
                  <c:v>03-Jun-2024</c:v>
                </c:pt>
                <c:pt idx="1093">
                  <c:v>04-Jun-2024</c:v>
                </c:pt>
                <c:pt idx="1094">
                  <c:v>05-Jun-2024</c:v>
                </c:pt>
                <c:pt idx="1095">
                  <c:v>06-Jun-2024</c:v>
                </c:pt>
                <c:pt idx="1096">
                  <c:v>07-Jun-2024</c:v>
                </c:pt>
                <c:pt idx="1097">
                  <c:v>10-Jun-2024</c:v>
                </c:pt>
                <c:pt idx="1098">
                  <c:v>11-Jun-2024</c:v>
                </c:pt>
                <c:pt idx="1099">
                  <c:v>12-Jun-2024</c:v>
                </c:pt>
                <c:pt idx="1100">
                  <c:v>13-Jun-2024</c:v>
                </c:pt>
                <c:pt idx="1101">
                  <c:v>14-Jun-2024</c:v>
                </c:pt>
                <c:pt idx="1102">
                  <c:v>18-Jun-2024</c:v>
                </c:pt>
                <c:pt idx="1103">
                  <c:v>19-Jun-2024</c:v>
                </c:pt>
                <c:pt idx="1104">
                  <c:v>20-Jun-2024</c:v>
                </c:pt>
                <c:pt idx="1105">
                  <c:v>21-Jun-2024</c:v>
                </c:pt>
                <c:pt idx="1106">
                  <c:v>24-Jun-2024</c:v>
                </c:pt>
                <c:pt idx="1107">
                  <c:v>25-Jun-2024</c:v>
                </c:pt>
                <c:pt idx="1108">
                  <c:v>26-Jun-2024</c:v>
                </c:pt>
                <c:pt idx="1109">
                  <c:v>27-Jun-2024</c:v>
                </c:pt>
                <c:pt idx="1110">
                  <c:v>28-Jun-2024</c:v>
                </c:pt>
                <c:pt idx="1111">
                  <c:v>01-Jul-2024</c:v>
                </c:pt>
                <c:pt idx="1112">
                  <c:v>02-Jul-2024</c:v>
                </c:pt>
                <c:pt idx="1113">
                  <c:v>03-Jul-2024</c:v>
                </c:pt>
                <c:pt idx="1114">
                  <c:v>04-Jul-2024</c:v>
                </c:pt>
                <c:pt idx="1115">
                  <c:v>05-Jul-2024</c:v>
                </c:pt>
                <c:pt idx="1116">
                  <c:v>08-Jul-2024</c:v>
                </c:pt>
                <c:pt idx="1117">
                  <c:v>09-Jul-2024</c:v>
                </c:pt>
                <c:pt idx="1118">
                  <c:v>10-Jul-2024</c:v>
                </c:pt>
                <c:pt idx="1119">
                  <c:v>11-Jul-2024</c:v>
                </c:pt>
                <c:pt idx="1120">
                  <c:v>12-Jul-2024</c:v>
                </c:pt>
                <c:pt idx="1121">
                  <c:v>15-Jul-2024</c:v>
                </c:pt>
                <c:pt idx="1122">
                  <c:v>16-Jul-2024</c:v>
                </c:pt>
                <c:pt idx="1123">
                  <c:v>18-Jul-2024</c:v>
                </c:pt>
                <c:pt idx="1124">
                  <c:v>19-Jul-2024</c:v>
                </c:pt>
                <c:pt idx="1125">
                  <c:v>22-Jul-2024</c:v>
                </c:pt>
                <c:pt idx="1126">
                  <c:v>23-Jul-2024</c:v>
                </c:pt>
                <c:pt idx="1127">
                  <c:v>24-Jul-2024</c:v>
                </c:pt>
                <c:pt idx="1128">
                  <c:v>25-Jul-2024</c:v>
                </c:pt>
                <c:pt idx="1129">
                  <c:v>26-Jul-2024</c:v>
                </c:pt>
                <c:pt idx="1130">
                  <c:v>29-Jul-2024</c:v>
                </c:pt>
                <c:pt idx="1131">
                  <c:v>30-Jul-2024</c:v>
                </c:pt>
                <c:pt idx="1132">
                  <c:v>31-Jul-2024</c:v>
                </c:pt>
                <c:pt idx="1133">
                  <c:v>01-Aug-2024</c:v>
                </c:pt>
                <c:pt idx="1134">
                  <c:v>02-Aug-2024</c:v>
                </c:pt>
                <c:pt idx="1135">
                  <c:v>05-Aug-2024</c:v>
                </c:pt>
                <c:pt idx="1136">
                  <c:v>06-Aug-2024</c:v>
                </c:pt>
                <c:pt idx="1137">
                  <c:v>07-Aug-2024</c:v>
                </c:pt>
                <c:pt idx="1138">
                  <c:v>08-Aug-2024</c:v>
                </c:pt>
                <c:pt idx="1139">
                  <c:v>09-Aug-2024</c:v>
                </c:pt>
                <c:pt idx="1140">
                  <c:v>12-Aug-2024</c:v>
                </c:pt>
                <c:pt idx="1141">
                  <c:v>13-Aug-2024</c:v>
                </c:pt>
                <c:pt idx="1142">
                  <c:v>14-Aug-2024</c:v>
                </c:pt>
                <c:pt idx="1143">
                  <c:v>16-Aug-2024</c:v>
                </c:pt>
                <c:pt idx="1144">
                  <c:v>19-Aug-2024</c:v>
                </c:pt>
                <c:pt idx="1145">
                  <c:v>20-Aug-2024</c:v>
                </c:pt>
                <c:pt idx="1146">
                  <c:v>21-Aug-2024</c:v>
                </c:pt>
                <c:pt idx="1147">
                  <c:v>22-Aug-2024</c:v>
                </c:pt>
                <c:pt idx="1148">
                  <c:v>23-Aug-2024</c:v>
                </c:pt>
                <c:pt idx="1149">
                  <c:v>26-Aug-2024</c:v>
                </c:pt>
                <c:pt idx="1150">
                  <c:v>27-Aug-2024</c:v>
                </c:pt>
                <c:pt idx="1151">
                  <c:v>28-Aug-2024</c:v>
                </c:pt>
                <c:pt idx="1152">
                  <c:v>29-Aug-2024</c:v>
                </c:pt>
                <c:pt idx="1153">
                  <c:v>30-Aug-2024</c:v>
                </c:pt>
                <c:pt idx="1154">
                  <c:v>02-Sep-2024</c:v>
                </c:pt>
                <c:pt idx="1155">
                  <c:v>03-Sep-2024</c:v>
                </c:pt>
                <c:pt idx="1156">
                  <c:v>04-Sep-2024</c:v>
                </c:pt>
                <c:pt idx="1157">
                  <c:v>05-Sep-2024</c:v>
                </c:pt>
                <c:pt idx="1158">
                  <c:v>06-Sep-2024</c:v>
                </c:pt>
                <c:pt idx="1159">
                  <c:v>09-Sep-2024</c:v>
                </c:pt>
                <c:pt idx="1160">
                  <c:v>10-Sep-2024</c:v>
                </c:pt>
                <c:pt idx="1161">
                  <c:v>11-Sep-2024</c:v>
                </c:pt>
                <c:pt idx="1162">
                  <c:v>12-Sep-2024</c:v>
                </c:pt>
                <c:pt idx="1163">
                  <c:v>13-Sep-2024</c:v>
                </c:pt>
                <c:pt idx="1164">
                  <c:v>16-Sep-2024</c:v>
                </c:pt>
                <c:pt idx="1165">
                  <c:v>17-Sep-2024</c:v>
                </c:pt>
                <c:pt idx="1166">
                  <c:v>18-Sep-2024</c:v>
                </c:pt>
                <c:pt idx="1167">
                  <c:v>19-Sep-2024</c:v>
                </c:pt>
                <c:pt idx="1168">
                  <c:v>20-Sep-2024</c:v>
                </c:pt>
                <c:pt idx="1169">
                  <c:v>23-Sep-2024</c:v>
                </c:pt>
                <c:pt idx="1170">
                  <c:v>24-Sep-2024</c:v>
                </c:pt>
                <c:pt idx="1171">
                  <c:v>25-Sep-2024</c:v>
                </c:pt>
                <c:pt idx="1172">
                  <c:v>26-Sep-2024</c:v>
                </c:pt>
                <c:pt idx="1173">
                  <c:v>27-Sep-2024</c:v>
                </c:pt>
                <c:pt idx="1174">
                  <c:v>30-Sep-2024</c:v>
                </c:pt>
                <c:pt idx="1175">
                  <c:v>01-Oct-2024</c:v>
                </c:pt>
                <c:pt idx="1176">
                  <c:v>03-Oct-2024</c:v>
                </c:pt>
                <c:pt idx="1177">
                  <c:v>04-Oct-2024</c:v>
                </c:pt>
                <c:pt idx="1178">
                  <c:v>07-Oct-2024</c:v>
                </c:pt>
                <c:pt idx="1179">
                  <c:v>08-Oct-2024</c:v>
                </c:pt>
                <c:pt idx="1180">
                  <c:v>09-Oct-2024</c:v>
                </c:pt>
                <c:pt idx="1181">
                  <c:v>10-Oct-2024</c:v>
                </c:pt>
                <c:pt idx="1182">
                  <c:v>11-Oct-2024</c:v>
                </c:pt>
                <c:pt idx="1183">
                  <c:v>14-Oct-2024</c:v>
                </c:pt>
                <c:pt idx="1184">
                  <c:v>15-Oct-2024</c:v>
                </c:pt>
                <c:pt idx="1185">
                  <c:v>16-Oct-2024</c:v>
                </c:pt>
                <c:pt idx="1186">
                  <c:v>17-Oct-2024</c:v>
                </c:pt>
                <c:pt idx="1187">
                  <c:v>18-Oct-2024</c:v>
                </c:pt>
                <c:pt idx="1188">
                  <c:v>21-Oct-2024</c:v>
                </c:pt>
                <c:pt idx="1189">
                  <c:v>22-Oct-2024</c:v>
                </c:pt>
                <c:pt idx="1190">
                  <c:v>23-Oct-2024</c:v>
                </c:pt>
                <c:pt idx="1191">
                  <c:v>24-Oct-2024</c:v>
                </c:pt>
                <c:pt idx="1192">
                  <c:v>25-Oct-2024</c:v>
                </c:pt>
                <c:pt idx="1193">
                  <c:v>28-Oct-2024</c:v>
                </c:pt>
                <c:pt idx="1194">
                  <c:v>29-Oct-2024</c:v>
                </c:pt>
                <c:pt idx="1195">
                  <c:v>30-Oct-2024</c:v>
                </c:pt>
                <c:pt idx="1196">
                  <c:v>31-Oct-2024</c:v>
                </c:pt>
                <c:pt idx="1197">
                  <c:v>01-Nov-2024</c:v>
                </c:pt>
                <c:pt idx="1198">
                  <c:v>04-Nov-2024</c:v>
                </c:pt>
                <c:pt idx="1199">
                  <c:v>05-Nov-2024</c:v>
                </c:pt>
                <c:pt idx="1200">
                  <c:v>06-Nov-2024</c:v>
                </c:pt>
                <c:pt idx="1201">
                  <c:v>07-Nov-2024</c:v>
                </c:pt>
                <c:pt idx="1202">
                  <c:v>08-Nov-2024</c:v>
                </c:pt>
                <c:pt idx="1203">
                  <c:v>11-Nov-2024</c:v>
                </c:pt>
                <c:pt idx="1204">
                  <c:v>12-Nov-2024</c:v>
                </c:pt>
                <c:pt idx="1205">
                  <c:v>13-Nov-2024</c:v>
                </c:pt>
                <c:pt idx="1206">
                  <c:v>14-Nov-2024</c:v>
                </c:pt>
                <c:pt idx="1207">
                  <c:v>18-Nov-2024</c:v>
                </c:pt>
                <c:pt idx="1208">
                  <c:v>19-Nov-2024</c:v>
                </c:pt>
                <c:pt idx="1209">
                  <c:v>21-Nov-2024</c:v>
                </c:pt>
                <c:pt idx="1210">
                  <c:v>22-Nov-2024</c:v>
                </c:pt>
                <c:pt idx="1211">
                  <c:v>25-Nov-2024</c:v>
                </c:pt>
                <c:pt idx="1212">
                  <c:v>26-Nov-2024</c:v>
                </c:pt>
                <c:pt idx="1213">
                  <c:v>27-Nov-2024</c:v>
                </c:pt>
                <c:pt idx="1214">
                  <c:v>28-Nov-2024</c:v>
                </c:pt>
                <c:pt idx="1215">
                  <c:v>29-Nov-2024</c:v>
                </c:pt>
                <c:pt idx="1216">
                  <c:v>02-Dec-2024</c:v>
                </c:pt>
                <c:pt idx="1217">
                  <c:v>03-Dec-2024</c:v>
                </c:pt>
                <c:pt idx="1218">
                  <c:v>04-Dec-2024</c:v>
                </c:pt>
                <c:pt idx="1219">
                  <c:v>05-Dec-2024</c:v>
                </c:pt>
                <c:pt idx="1220">
                  <c:v>06-Dec-2024</c:v>
                </c:pt>
                <c:pt idx="1221">
                  <c:v>09-Dec-2024</c:v>
                </c:pt>
                <c:pt idx="1222">
                  <c:v>10-Dec-2024</c:v>
                </c:pt>
                <c:pt idx="1223">
                  <c:v>11-Dec-2024</c:v>
                </c:pt>
                <c:pt idx="1224">
                  <c:v>12-Dec-2024</c:v>
                </c:pt>
                <c:pt idx="1225">
                  <c:v>13-Dec-2024</c:v>
                </c:pt>
                <c:pt idx="1226">
                  <c:v>16-Dec-2024</c:v>
                </c:pt>
                <c:pt idx="1227">
                  <c:v>17-Dec-2024</c:v>
                </c:pt>
                <c:pt idx="1228">
                  <c:v>18-Dec-2024</c:v>
                </c:pt>
                <c:pt idx="1229">
                  <c:v>19-Dec-2024</c:v>
                </c:pt>
                <c:pt idx="1230">
                  <c:v>20-Dec-2024</c:v>
                </c:pt>
                <c:pt idx="1231">
                  <c:v>23-Dec-2024</c:v>
                </c:pt>
                <c:pt idx="1232">
                  <c:v>24-Dec-2024</c:v>
                </c:pt>
                <c:pt idx="1233">
                  <c:v>26-Dec-2024</c:v>
                </c:pt>
                <c:pt idx="1234">
                  <c:v>27-Dec-2024</c:v>
                </c:pt>
                <c:pt idx="1235">
                  <c:v>30-Dec-2024</c:v>
                </c:pt>
                <c:pt idx="1236">
                  <c:v>31-Dec-2024</c:v>
                </c:pt>
                <c:pt idx="1237">
                  <c:v>01-Jan-2025</c:v>
                </c:pt>
                <c:pt idx="1238">
                  <c:v>02-Jan-2025</c:v>
                </c:pt>
                <c:pt idx="1239">
                  <c:v>03-Jan-2025</c:v>
                </c:pt>
                <c:pt idx="1240">
                  <c:v>06-Jan-2025</c:v>
                </c:pt>
                <c:pt idx="1241">
                  <c:v>07-Jan-2025</c:v>
                </c:pt>
                <c:pt idx="1242">
                  <c:v>08-Jan-2025</c:v>
                </c:pt>
                <c:pt idx="1243">
                  <c:v>09-Jan-2025</c:v>
                </c:pt>
                <c:pt idx="1244">
                  <c:v>10-Jan-2025</c:v>
                </c:pt>
                <c:pt idx="1245">
                  <c:v>13-Jan-2025</c:v>
                </c:pt>
                <c:pt idx="1246">
                  <c:v>14-Jan-2025</c:v>
                </c:pt>
                <c:pt idx="1247">
                  <c:v>15-Jan-2025</c:v>
                </c:pt>
                <c:pt idx="1248">
                  <c:v>16-Jan-2025</c:v>
                </c:pt>
                <c:pt idx="1249">
                  <c:v>17-Jan-2025</c:v>
                </c:pt>
                <c:pt idx="1250">
                  <c:v>20-Jan-2025</c:v>
                </c:pt>
                <c:pt idx="1251">
                  <c:v>21-Jan-2025</c:v>
                </c:pt>
                <c:pt idx="1252">
                  <c:v>22-Jan-2025</c:v>
                </c:pt>
                <c:pt idx="1253">
                  <c:v>23-Jan-2025</c:v>
                </c:pt>
                <c:pt idx="1254">
                  <c:v>24-Jan-2025</c:v>
                </c:pt>
                <c:pt idx="1255">
                  <c:v>27-Jan-2025</c:v>
                </c:pt>
                <c:pt idx="1256">
                  <c:v>28-Jan-2025</c:v>
                </c:pt>
                <c:pt idx="1257">
                  <c:v>29-Jan-2025</c:v>
                </c:pt>
                <c:pt idx="1258">
                  <c:v>30-Jan-2025</c:v>
                </c:pt>
                <c:pt idx="1259">
                  <c:v>31-Jan-2025</c:v>
                </c:pt>
                <c:pt idx="1260">
                  <c:v>01-Feb-2025</c:v>
                </c:pt>
                <c:pt idx="1261">
                  <c:v>03-Feb-2025</c:v>
                </c:pt>
                <c:pt idx="1262">
                  <c:v>04-Feb-2025</c:v>
                </c:pt>
                <c:pt idx="1263">
                  <c:v>05-Feb-2025</c:v>
                </c:pt>
                <c:pt idx="1264">
                  <c:v>06-Feb-2025</c:v>
                </c:pt>
                <c:pt idx="1265">
                  <c:v>07-Feb-2025</c:v>
                </c:pt>
                <c:pt idx="1266">
                  <c:v>10-Feb-2025</c:v>
                </c:pt>
                <c:pt idx="1267">
                  <c:v>11-Feb-2025</c:v>
                </c:pt>
                <c:pt idx="1268">
                  <c:v>12-Feb-2025</c:v>
                </c:pt>
                <c:pt idx="1269">
                  <c:v>13-Feb-2025</c:v>
                </c:pt>
                <c:pt idx="1270">
                  <c:v>14-Feb-2025</c:v>
                </c:pt>
                <c:pt idx="1271">
                  <c:v>17-Feb-2025</c:v>
                </c:pt>
                <c:pt idx="1272">
                  <c:v>18-Feb-2025</c:v>
                </c:pt>
                <c:pt idx="1273">
                  <c:v>19-Feb-2025</c:v>
                </c:pt>
                <c:pt idx="1274">
                  <c:v>20-Feb-2025</c:v>
                </c:pt>
                <c:pt idx="1275">
                  <c:v>21-Feb-2025</c:v>
                </c:pt>
                <c:pt idx="1276">
                  <c:v>24-Feb-2025</c:v>
                </c:pt>
                <c:pt idx="1277">
                  <c:v>25-Feb-2025</c:v>
                </c:pt>
                <c:pt idx="1278">
                  <c:v>27-Feb-2025</c:v>
                </c:pt>
                <c:pt idx="1279">
                  <c:v>28-Feb-2025</c:v>
                </c:pt>
                <c:pt idx="1280">
                  <c:v>03-Mar-2025</c:v>
                </c:pt>
                <c:pt idx="1281">
                  <c:v>04-Mar-2025</c:v>
                </c:pt>
                <c:pt idx="1282">
                  <c:v>05-Mar-2025</c:v>
                </c:pt>
                <c:pt idx="1283">
                  <c:v>06-Mar-2025</c:v>
                </c:pt>
                <c:pt idx="1284">
                  <c:v>07-Mar-2025</c:v>
                </c:pt>
                <c:pt idx="1285">
                  <c:v>10-Mar-2025</c:v>
                </c:pt>
                <c:pt idx="1286">
                  <c:v>11-Mar-2025</c:v>
                </c:pt>
                <c:pt idx="1287">
                  <c:v>12-Mar-2025</c:v>
                </c:pt>
                <c:pt idx="1288">
                  <c:v>13-Mar-2025</c:v>
                </c:pt>
                <c:pt idx="1289">
                  <c:v>17-Mar-2025</c:v>
                </c:pt>
                <c:pt idx="1290">
                  <c:v>18-Mar-2025</c:v>
                </c:pt>
                <c:pt idx="1291">
                  <c:v>19-Mar-2025</c:v>
                </c:pt>
                <c:pt idx="1292">
                  <c:v>20-Mar-2025</c:v>
                </c:pt>
                <c:pt idx="1293">
                  <c:v>21-Mar-2025</c:v>
                </c:pt>
                <c:pt idx="1294">
                  <c:v>24-Mar-2025</c:v>
                </c:pt>
                <c:pt idx="1295">
                  <c:v>25-Mar-2025</c:v>
                </c:pt>
                <c:pt idx="1296">
                  <c:v>26-Mar-2025</c:v>
                </c:pt>
                <c:pt idx="1297">
                  <c:v>27-Mar-2025</c:v>
                </c:pt>
                <c:pt idx="1298">
                  <c:v>28-Mar-2025</c:v>
                </c:pt>
                <c:pt idx="1299">
                  <c:v>01-Apr-2025</c:v>
                </c:pt>
                <c:pt idx="1300">
                  <c:v>02-Apr-2025</c:v>
                </c:pt>
                <c:pt idx="1301">
                  <c:v>03-Apr-2025</c:v>
                </c:pt>
                <c:pt idx="1302">
                  <c:v>04-Apr-2025</c:v>
                </c:pt>
                <c:pt idx="1303">
                  <c:v>07-Apr-2025</c:v>
                </c:pt>
                <c:pt idx="1304">
                  <c:v>08-Apr-2025</c:v>
                </c:pt>
                <c:pt idx="1305">
                  <c:v>09-Apr-2025</c:v>
                </c:pt>
                <c:pt idx="1306">
                  <c:v>11-Apr-2025</c:v>
                </c:pt>
                <c:pt idx="1307">
                  <c:v>15-Apr-2025</c:v>
                </c:pt>
                <c:pt idx="1308">
                  <c:v>16-Apr-2025</c:v>
                </c:pt>
                <c:pt idx="1309">
                  <c:v>17-Apr-2025</c:v>
                </c:pt>
                <c:pt idx="1310">
                  <c:v>21-Apr-2025</c:v>
                </c:pt>
                <c:pt idx="1311">
                  <c:v>22-Apr-2025</c:v>
                </c:pt>
                <c:pt idx="1312">
                  <c:v>23-Apr-2025</c:v>
                </c:pt>
                <c:pt idx="1313">
                  <c:v>24-Apr-2025</c:v>
                </c:pt>
                <c:pt idx="1314">
                  <c:v>25-Apr-2025</c:v>
                </c:pt>
                <c:pt idx="1315">
                  <c:v>28-Apr-2025</c:v>
                </c:pt>
                <c:pt idx="1316">
                  <c:v>29-Apr-2025</c:v>
                </c:pt>
                <c:pt idx="1317">
                  <c:v>30-Apr-2025</c:v>
                </c:pt>
                <c:pt idx="1318">
                  <c:v>02-May-2025</c:v>
                </c:pt>
                <c:pt idx="1319">
                  <c:v>05-May-2025</c:v>
                </c:pt>
                <c:pt idx="1320">
                  <c:v>06-May-2025</c:v>
                </c:pt>
                <c:pt idx="1321">
                  <c:v>07-May-2025</c:v>
                </c:pt>
                <c:pt idx="1322">
                  <c:v>08-May-2025</c:v>
                </c:pt>
                <c:pt idx="1323">
                  <c:v>09-May-2025</c:v>
                </c:pt>
                <c:pt idx="1324">
                  <c:v>12-May-2025</c:v>
                </c:pt>
                <c:pt idx="1325">
                  <c:v>13-May-2025</c:v>
                </c:pt>
                <c:pt idx="1326">
                  <c:v>14-May-2025</c:v>
                </c:pt>
                <c:pt idx="1327">
                  <c:v>15-May-2025</c:v>
                </c:pt>
                <c:pt idx="1328">
                  <c:v>16-May-2025</c:v>
                </c:pt>
                <c:pt idx="1329">
                  <c:v>19-May-2025</c:v>
                </c:pt>
                <c:pt idx="1330">
                  <c:v>20-May-2025</c:v>
                </c:pt>
                <c:pt idx="1331">
                  <c:v>21-May-2025</c:v>
                </c:pt>
                <c:pt idx="1332">
                  <c:v>22-May-2025</c:v>
                </c:pt>
                <c:pt idx="1333">
                  <c:v>23-May-2025</c:v>
                </c:pt>
                <c:pt idx="1334">
                  <c:v>26-May-2025</c:v>
                </c:pt>
                <c:pt idx="1335">
                  <c:v>27-May-2025</c:v>
                </c:pt>
                <c:pt idx="1336">
                  <c:v>28-May-2025</c:v>
                </c:pt>
                <c:pt idx="1337">
                  <c:v>29-May-2025</c:v>
                </c:pt>
                <c:pt idx="1338">
                  <c:v>30-May-2025</c:v>
                </c:pt>
                <c:pt idx="1339">
                  <c:v>02-Jun-2025</c:v>
                </c:pt>
                <c:pt idx="1340">
                  <c:v>03-Jun-2025</c:v>
                </c:pt>
                <c:pt idx="1341">
                  <c:v>04-Jun-2025</c:v>
                </c:pt>
                <c:pt idx="1342">
                  <c:v>05-Jun-2025</c:v>
                </c:pt>
                <c:pt idx="1343">
                  <c:v>06-Jun-2025</c:v>
                </c:pt>
                <c:pt idx="1344">
                  <c:v>09-Jun-2025</c:v>
                </c:pt>
                <c:pt idx="1345">
                  <c:v>10-Jun-2025</c:v>
                </c:pt>
                <c:pt idx="1346">
                  <c:v>11-Jun-2025</c:v>
                </c:pt>
                <c:pt idx="1347">
                  <c:v>12-Jun-2025</c:v>
                </c:pt>
                <c:pt idx="1348">
                  <c:v>13-Jun-2025</c:v>
                </c:pt>
                <c:pt idx="1349">
                  <c:v>16-Jun-2025</c:v>
                </c:pt>
                <c:pt idx="1350">
                  <c:v>17-Jun-2025</c:v>
                </c:pt>
                <c:pt idx="1351">
                  <c:v>18-Jun-2025</c:v>
                </c:pt>
                <c:pt idx="1352">
                  <c:v>19-Jun-2025</c:v>
                </c:pt>
                <c:pt idx="1353">
                  <c:v>20-Jun-2025</c:v>
                </c:pt>
                <c:pt idx="1354">
                  <c:v>23-Jun-2025</c:v>
                </c:pt>
                <c:pt idx="1355">
                  <c:v>24-Jun-2025</c:v>
                </c:pt>
                <c:pt idx="1356">
                  <c:v>25-Jun-2025</c:v>
                </c:pt>
                <c:pt idx="1357">
                  <c:v>26-Jun-2025</c:v>
                </c:pt>
                <c:pt idx="1358">
                  <c:v>27-Jun-2025</c:v>
                </c:pt>
                <c:pt idx="1359">
                  <c:v>30-Jun-2025</c:v>
                </c:pt>
                <c:pt idx="1360">
                  <c:v>01-Jul-2025</c:v>
                </c:pt>
                <c:pt idx="1361">
                  <c:v>02-Jul-2025</c:v>
                </c:pt>
                <c:pt idx="1362">
                  <c:v>03-Jul-2025</c:v>
                </c:pt>
                <c:pt idx="1363">
                  <c:v>04-Jul-2025</c:v>
                </c:pt>
                <c:pt idx="1364">
                  <c:v>07-Jul-2025</c:v>
                </c:pt>
                <c:pt idx="1365">
                  <c:v>08-Jul-2025</c:v>
                </c:pt>
                <c:pt idx="1366">
                  <c:v>09-Jul-2025</c:v>
                </c:pt>
                <c:pt idx="1367">
                  <c:v>10-Jul-2025</c:v>
                </c:pt>
                <c:pt idx="1368">
                  <c:v>11-Jul-2025</c:v>
                </c:pt>
                <c:pt idx="1369">
                  <c:v>14-Jul-2025</c:v>
                </c:pt>
                <c:pt idx="1370">
                  <c:v>15-Jul-2025</c:v>
                </c:pt>
                <c:pt idx="1371">
                  <c:v>16-Jul-2025</c:v>
                </c:pt>
                <c:pt idx="1372">
                  <c:v>17-Jul-2025</c:v>
                </c:pt>
                <c:pt idx="1373">
                  <c:v>18-Jul-2025</c:v>
                </c:pt>
                <c:pt idx="1374">
                  <c:v>21-Jul-2025</c:v>
                </c:pt>
                <c:pt idx="1375">
                  <c:v>22-Jul-2025</c:v>
                </c:pt>
                <c:pt idx="1376">
                  <c:v>23-Jul-2025</c:v>
                </c:pt>
                <c:pt idx="1377">
                  <c:v>24-Jul-2025</c:v>
                </c:pt>
                <c:pt idx="1378">
                  <c:v>25-Jul-2025</c:v>
                </c:pt>
                <c:pt idx="1379">
                  <c:v>28-Jul-2025</c:v>
                </c:pt>
                <c:pt idx="1380">
                  <c:v>29-Jul-2025</c:v>
                </c:pt>
                <c:pt idx="1381">
                  <c:v>30-Jul-2025</c:v>
                </c:pt>
                <c:pt idx="1382">
                  <c:v>31-Jul-2025</c:v>
                </c:pt>
                <c:pt idx="1383">
                  <c:v>01-Aug-2025</c:v>
                </c:pt>
                <c:pt idx="1384">
                  <c:v>04-Aug-2025</c:v>
                </c:pt>
                <c:pt idx="1385">
                  <c:v>05-Aug-2025</c:v>
                </c:pt>
                <c:pt idx="1386">
                  <c:v>06-Aug-2025</c:v>
                </c:pt>
                <c:pt idx="1387">
                  <c:v>07-Aug-2025</c:v>
                </c:pt>
                <c:pt idx="1388">
                  <c:v>08-Aug-2025</c:v>
                </c:pt>
                <c:pt idx="1389">
                  <c:v>11-Aug-2025</c:v>
                </c:pt>
                <c:pt idx="1390">
                  <c:v>12-Aug-2025</c:v>
                </c:pt>
                <c:pt idx="1391">
                  <c:v>13-Aug-2025</c:v>
                </c:pt>
                <c:pt idx="1392">
                  <c:v>14-Aug-2025</c:v>
                </c:pt>
                <c:pt idx="1393">
                  <c:v>18-Aug-2025</c:v>
                </c:pt>
                <c:pt idx="1394">
                  <c:v>19-Aug-2025</c:v>
                </c:pt>
                <c:pt idx="1395">
                  <c:v>20-Aug-2025</c:v>
                </c:pt>
                <c:pt idx="1396">
                  <c:v>21-Aug-2025</c:v>
                </c:pt>
                <c:pt idx="1397">
                  <c:v>22-Aug-2025</c:v>
                </c:pt>
                <c:pt idx="1398">
                  <c:v>25-Aug-2025</c:v>
                </c:pt>
                <c:pt idx="1399">
                  <c:v>26-Aug-2025</c:v>
                </c:pt>
                <c:pt idx="1400">
                  <c:v>28-Aug-2025</c:v>
                </c:pt>
                <c:pt idx="1401">
                  <c:v>29-Aug-2025</c:v>
                </c:pt>
                <c:pt idx="1402">
                  <c:v>01-Sep-2025</c:v>
                </c:pt>
                <c:pt idx="1403">
                  <c:v>02-Sep-2025</c:v>
                </c:pt>
                <c:pt idx="1404">
                  <c:v>03-Sep-2025</c:v>
                </c:pt>
                <c:pt idx="1405">
                  <c:v>04-Sep-2025</c:v>
                </c:pt>
                <c:pt idx="1406">
                  <c:v>05-Sep-2025</c:v>
                </c:pt>
                <c:pt idx="1407">
                  <c:v>08-Sep-2025</c:v>
                </c:pt>
                <c:pt idx="1408">
                  <c:v>09-Sep-2025</c:v>
                </c:pt>
                <c:pt idx="1409">
                  <c:v>10-Sep-2025</c:v>
                </c:pt>
                <c:pt idx="1410">
                  <c:v>11-Sep-2025</c:v>
                </c:pt>
                <c:pt idx="1411">
                  <c:v>12-Sep-2025</c:v>
                </c:pt>
                <c:pt idx="1412">
                  <c:v>15-Sep-2025</c:v>
                </c:pt>
                <c:pt idx="1413">
                  <c:v>16-Sep-2025</c:v>
                </c:pt>
                <c:pt idx="1414">
                  <c:v>17-Sep-2025</c:v>
                </c:pt>
                <c:pt idx="1415">
                  <c:v>18-Sep-2025</c:v>
                </c:pt>
                <c:pt idx="1416">
                  <c:v>19-Sep-2025</c:v>
                </c:pt>
                <c:pt idx="1417">
                  <c:v>22-Sep-2025</c:v>
                </c:pt>
                <c:pt idx="1418">
                  <c:v>23-Sep-2025</c:v>
                </c:pt>
                <c:pt idx="1419">
                  <c:v>24-Sep-2025</c:v>
                </c:pt>
                <c:pt idx="1420">
                  <c:v>25-Sep-2025</c:v>
                </c:pt>
                <c:pt idx="1421">
                  <c:v>26-Sep-2025</c:v>
                </c:pt>
                <c:pt idx="1422">
                  <c:v>29-Sep-2025</c:v>
                </c:pt>
                <c:pt idx="1423">
                  <c:v>30-Sep-2025</c:v>
                </c:pt>
                <c:pt idx="1424">
                  <c:v>01-Oct-2025</c:v>
                </c:pt>
                <c:pt idx="1425">
                  <c:v>03-Oct-2025</c:v>
                </c:pt>
                <c:pt idx="1426">
                  <c:v>06-Oct-2025</c:v>
                </c:pt>
                <c:pt idx="1427">
                  <c:v>07-Oct-2025</c:v>
                </c:pt>
                <c:pt idx="1428">
                  <c:v>08-Oct-2025</c:v>
                </c:pt>
                <c:pt idx="1429">
                  <c:v>09-Oct-2025</c:v>
                </c:pt>
                <c:pt idx="1430">
                  <c:v>10-Oct-2025</c:v>
                </c:pt>
                <c:pt idx="1431">
                  <c:v>13-Oct-2025</c:v>
                </c:pt>
                <c:pt idx="1432">
                  <c:v>14-Oct-2025</c:v>
                </c:pt>
                <c:pt idx="1433">
                  <c:v>15-Oct-2025</c:v>
                </c:pt>
                <c:pt idx="1434">
                  <c:v>16-Oct-2025</c:v>
                </c:pt>
                <c:pt idx="1435">
                  <c:v>17-Oct-2025</c:v>
                </c:pt>
                <c:pt idx="1436">
                  <c:v>20-Oct-2025</c:v>
                </c:pt>
                <c:pt idx="1437">
                  <c:v>21-Oct-2025</c:v>
                </c:pt>
                <c:pt idx="1438">
                  <c:v>23-Oct-2025</c:v>
                </c:pt>
                <c:pt idx="1439">
                  <c:v>24-Oct-2025</c:v>
                </c:pt>
                <c:pt idx="1440">
                  <c:v>27-Oct-2025</c:v>
                </c:pt>
                <c:pt idx="1441">
                  <c:v>28-Oct-2025</c:v>
                </c:pt>
                <c:pt idx="1442">
                  <c:v>29-Oct-2025</c:v>
                </c:pt>
                <c:pt idx="1443">
                  <c:v>30-Oct-2025</c:v>
                </c:pt>
                <c:pt idx="1444">
                  <c:v>31-Oct-2025</c:v>
                </c:pt>
                <c:pt idx="1445">
                  <c:v>03-Nov-2025</c:v>
                </c:pt>
                <c:pt idx="1446">
                  <c:v>04-Nov-2025</c:v>
                </c:pt>
                <c:pt idx="1447">
                  <c:v>06-Nov-2025</c:v>
                </c:pt>
                <c:pt idx="1448">
                  <c:v>07-Nov-2025</c:v>
                </c:pt>
                <c:pt idx="1449">
                  <c:v>10-Nov-2025</c:v>
                </c:pt>
                <c:pt idx="1450">
                  <c:v>11-Nov-2025</c:v>
                </c:pt>
                <c:pt idx="1451">
                  <c:v>12-Nov-2025</c:v>
                </c:pt>
                <c:pt idx="1452">
                  <c:v>13-Nov-2025</c:v>
                </c:pt>
                <c:pt idx="1453">
                  <c:v>14-Nov-2025</c:v>
                </c:pt>
                <c:pt idx="1454">
                  <c:v>17-Nov-2025</c:v>
                </c:pt>
                <c:pt idx="1455">
                  <c:v>18-Nov-2025</c:v>
                </c:pt>
                <c:pt idx="1456">
                  <c:v>19-Nov-2025</c:v>
                </c:pt>
                <c:pt idx="1457">
                  <c:v>20-Nov-2025</c:v>
                </c:pt>
                <c:pt idx="1458">
                  <c:v>21-Nov-2025</c:v>
                </c:pt>
                <c:pt idx="1459">
                  <c:v>24-Nov-2025</c:v>
                </c:pt>
                <c:pt idx="1460">
                  <c:v>25-Nov-2025</c:v>
                </c:pt>
                <c:pt idx="1461">
                  <c:v>26-Nov-2025</c:v>
                </c:pt>
                <c:pt idx="1462">
                  <c:v>27-Nov-2025</c:v>
                </c:pt>
                <c:pt idx="1463">
                  <c:v>28-Nov-2025</c:v>
                </c:pt>
                <c:pt idx="1464">
                  <c:v>01-Dec-2025</c:v>
                </c:pt>
                <c:pt idx="1465">
                  <c:v>02-Dec-2025</c:v>
                </c:pt>
                <c:pt idx="1466">
                  <c:v>03-Dec-2025</c:v>
                </c:pt>
                <c:pt idx="1467">
                  <c:v>04-Dec-2025</c:v>
                </c:pt>
                <c:pt idx="1468">
                  <c:v>05-Dec-2025</c:v>
                </c:pt>
                <c:pt idx="1469">
                  <c:v>08-Dec-2025</c:v>
                </c:pt>
                <c:pt idx="1470">
                  <c:v>09-Dec-2025</c:v>
                </c:pt>
                <c:pt idx="1471">
                  <c:v>10-Dec-2025</c:v>
                </c:pt>
                <c:pt idx="1472">
                  <c:v>11-Dec-2025</c:v>
                </c:pt>
                <c:pt idx="1473">
                  <c:v>12-Dec-2025</c:v>
                </c:pt>
                <c:pt idx="1474">
                  <c:v>15-Dec-2025</c:v>
                </c:pt>
                <c:pt idx="1475">
                  <c:v>16-Dec-2025</c:v>
                </c:pt>
                <c:pt idx="1476">
                  <c:v>17-Dec-2025</c:v>
                </c:pt>
                <c:pt idx="1477">
                  <c:v>18-Dec-2025</c:v>
                </c:pt>
                <c:pt idx="1478">
                  <c:v>19-Dec-2025</c:v>
                </c:pt>
                <c:pt idx="1479">
                  <c:v>22-Dec-2025</c:v>
                </c:pt>
                <c:pt idx="1480">
                  <c:v>23-Dec-2025</c:v>
                </c:pt>
                <c:pt idx="1481">
                  <c:v>24-Dec-2025</c:v>
                </c:pt>
                <c:pt idx="1482">
                  <c:v>26-Dec-2025</c:v>
                </c:pt>
                <c:pt idx="1483">
                  <c:v>29-Dec-2025</c:v>
                </c:pt>
                <c:pt idx="1484">
                  <c:v>30-Dec-2025</c:v>
                </c:pt>
                <c:pt idx="1485">
                  <c:v>31-Dec-2025</c:v>
                </c:pt>
                <c:pt idx="1486">
                  <c:v>01-Jan-2026</c:v>
                </c:pt>
                <c:pt idx="1487">
                  <c:v>02-Jan-2026</c:v>
                </c:pt>
                <c:pt idx="1488">
                  <c:v>05-Jan-2026</c:v>
                </c:pt>
                <c:pt idx="1489">
                  <c:v>06-Jan-2026</c:v>
                </c:pt>
                <c:pt idx="1490">
                  <c:v>07-Jan-2026</c:v>
                </c:pt>
                <c:pt idx="1491">
                  <c:v>08-Jan-2026</c:v>
                </c:pt>
                <c:pt idx="1492">
                  <c:v>09-Jan-2026</c:v>
                </c:pt>
                <c:pt idx="1493">
                  <c:v>12-Jan-2026</c:v>
                </c:pt>
                <c:pt idx="1494">
                  <c:v>13-Jan-2026</c:v>
                </c:pt>
                <c:pt idx="1495">
                  <c:v>14-Jan-2026</c:v>
                </c:pt>
                <c:pt idx="1496">
                  <c:v>16-Jan-2026</c:v>
                </c:pt>
                <c:pt idx="1497">
                  <c:v>19-Jan-2026</c:v>
                </c:pt>
                <c:pt idx="1498">
                  <c:v>20-Jan-2026</c:v>
                </c:pt>
                <c:pt idx="1499">
                  <c:v>21-Jan-2026</c:v>
                </c:pt>
                <c:pt idx="1500">
                  <c:v>22-Jan-2026</c:v>
                </c:pt>
                <c:pt idx="1501">
                  <c:v>23-Jan-2026</c:v>
                </c:pt>
                <c:pt idx="1502">
                  <c:v>27-Jan-2026</c:v>
                </c:pt>
                <c:pt idx="1503">
                  <c:v>28-Jan-2026</c:v>
                </c:pt>
                <c:pt idx="1504">
                  <c:v>29-Jan-2026</c:v>
                </c:pt>
                <c:pt idx="1505">
                  <c:v>30-Jan-2026</c:v>
                </c:pt>
                <c:pt idx="1506">
                  <c:v>02-Feb-2026</c:v>
                </c:pt>
                <c:pt idx="1507">
                  <c:v>03-Feb-2026</c:v>
                </c:pt>
                <c:pt idx="1508">
                  <c:v>04-Feb-2026</c:v>
                </c:pt>
                <c:pt idx="1509">
                  <c:v>05-Feb-2026</c:v>
                </c:pt>
                <c:pt idx="1510">
                  <c:v>06-Feb-2026</c:v>
                </c:pt>
                <c:pt idx="1511">
                  <c:v>09-Feb-2026</c:v>
                </c:pt>
                <c:pt idx="1512">
                  <c:v>10-Feb-2026</c:v>
                </c:pt>
                <c:pt idx="1513">
                  <c:v>11-Feb-2026</c:v>
                </c:pt>
                <c:pt idx="1514">
                  <c:v>12-Feb-2026</c:v>
                </c:pt>
                <c:pt idx="1515">
                  <c:v>13-Feb-2026</c:v>
                </c:pt>
                <c:pt idx="1516">
                  <c:v>16-Feb-2026</c:v>
                </c:pt>
                <c:pt idx="1517">
                  <c:v>17-Feb-2026</c:v>
                </c:pt>
                <c:pt idx="1518">
                  <c:v>18-Feb-2026</c:v>
                </c:pt>
                <c:pt idx="1519">
                  <c:v>19-Feb-2026</c:v>
                </c:pt>
                <c:pt idx="1520">
                  <c:v>20-Feb-2026</c:v>
                </c:pt>
                <c:pt idx="1521">
                  <c:v>23-Feb-2026</c:v>
                </c:pt>
                <c:pt idx="1522">
                  <c:v>24-Feb-2026</c:v>
                </c:pt>
                <c:pt idx="1523">
                  <c:v>25-Feb-2026</c:v>
                </c:pt>
                <c:pt idx="1524">
                  <c:v>26-Feb-2026</c:v>
                </c:pt>
                <c:pt idx="1525">
                  <c:v>27-Feb-2026</c:v>
                </c:pt>
                <c:pt idx="1526">
                  <c:v>02-Mar-2026</c:v>
                </c:pt>
                <c:pt idx="1527">
                  <c:v>04-Mar-2026</c:v>
                </c:pt>
                <c:pt idx="1528">
                  <c:v>05-Mar-2026</c:v>
                </c:pt>
                <c:pt idx="1529">
                  <c:v>06-Mar-2026</c:v>
                </c:pt>
                <c:pt idx="1530">
                  <c:v>09-Mar-2026</c:v>
                </c:pt>
                <c:pt idx="1531">
                  <c:v>10-Mar-2026</c:v>
                </c:pt>
                <c:pt idx="1532">
                  <c:v>11-Mar-2026</c:v>
                </c:pt>
                <c:pt idx="1533">
                  <c:v>12-Mar-2026</c:v>
                </c:pt>
                <c:pt idx="1534">
                  <c:v>13-Mar-2026</c:v>
                </c:pt>
                <c:pt idx="1535">
                  <c:v>16-Mar-2026</c:v>
                </c:pt>
                <c:pt idx="1536">
                  <c:v>17-Mar-2026</c:v>
                </c:pt>
                <c:pt idx="1537">
                  <c:v>18-Mar-2026</c:v>
                </c:pt>
                <c:pt idx="1538">
                  <c:v>19-Mar-2026</c:v>
                </c:pt>
                <c:pt idx="1539">
                  <c:v>20-Mar-2026</c:v>
                </c:pt>
                <c:pt idx="1540">
                  <c:v>23-Mar-2026</c:v>
                </c:pt>
                <c:pt idx="1541">
                  <c:v>24-Mar-2026</c:v>
                </c:pt>
                <c:pt idx="1542">
                  <c:v>25-Mar-2026</c:v>
                </c:pt>
                <c:pt idx="1543">
                  <c:v>27-Mar-2026</c:v>
                </c:pt>
                <c:pt idx="1544">
                  <c:v>30-Mar-2026</c:v>
                </c:pt>
                <c:pt idx="1545">
                  <c:v>01-Apr-2026</c:v>
                </c:pt>
                <c:pt idx="1546">
                  <c:v>02-Apr-2026</c:v>
                </c:pt>
                <c:pt idx="1547">
                  <c:v>06-Apr-2026</c:v>
                </c:pt>
                <c:pt idx="1548">
                  <c:v>07-Apr-2026</c:v>
                </c:pt>
                <c:pt idx="1549">
                  <c:v>08-Apr-2026</c:v>
                </c:pt>
                <c:pt idx="1550">
                  <c:v>09-Apr-2026</c:v>
                </c:pt>
                <c:pt idx="1551">
                  <c:v>10-Apr-2026</c:v>
                </c:pt>
                <c:pt idx="1552">
                  <c:v>13-Apr-2026</c:v>
                </c:pt>
                <c:pt idx="1553">
                  <c:v>15-Apr-2026</c:v>
                </c:pt>
                <c:pt idx="1554">
                  <c:v>16-Apr-2026</c:v>
                </c:pt>
                <c:pt idx="1555">
                  <c:v>17-Apr-2026</c:v>
                </c:pt>
                <c:pt idx="1556">
                  <c:v>20-Apr-2026</c:v>
                </c:pt>
                <c:pt idx="1557">
                  <c:v>21-Apr-2026</c:v>
                </c:pt>
                <c:pt idx="1558">
                  <c:v>22-Apr-2026</c:v>
                </c:pt>
                <c:pt idx="1559">
                  <c:v>23-Apr-2026</c:v>
                </c:pt>
                <c:pt idx="1560">
                  <c:v>24-Apr-2026</c:v>
                </c:pt>
                <c:pt idx="1561">
                  <c:v>27-Apr-2026</c:v>
                </c:pt>
                <c:pt idx="1562">
                  <c:v>28-Apr-2026</c:v>
                </c:pt>
                <c:pt idx="1563">
                  <c:v>29-Apr-2026</c:v>
                </c:pt>
                <c:pt idx="1564">
                  <c:v>30-Apr-2026</c:v>
                </c:pt>
                <c:pt idx="1565">
                  <c:v>04-May-2026</c:v>
                </c:pt>
                <c:pt idx="1566">
                  <c:v>05-May-2026</c:v>
                </c:pt>
                <c:pt idx="1567">
                  <c:v>06-May-2026</c:v>
                </c:pt>
                <c:pt idx="1568">
                  <c:v>07-May-2026</c:v>
                </c:pt>
                <c:pt idx="1569">
                  <c:v>08-May-2026</c:v>
                </c:pt>
                <c:pt idx="1570">
                  <c:v>11-May-2026</c:v>
                </c:pt>
                <c:pt idx="1571">
                  <c:v>12-May-2026</c:v>
                </c:pt>
                <c:pt idx="1572">
                  <c:v>13-May-2026</c:v>
                </c:pt>
                <c:pt idx="1573">
                  <c:v>14-May-2026</c:v>
                </c:pt>
                <c:pt idx="1574">
                  <c:v>15-May-2026</c:v>
                </c:pt>
                <c:pt idx="1575">
                  <c:v>18-May-2026</c:v>
                </c:pt>
                <c:pt idx="1576">
                  <c:v>19-May-2026</c:v>
                </c:pt>
                <c:pt idx="1577">
                  <c:v>20-May-2026</c:v>
                </c:pt>
                <c:pt idx="1578">
                  <c:v>21-May-2026</c:v>
                </c:pt>
                <c:pt idx="1579">
                  <c:v>22-May-2026</c:v>
                </c:pt>
                <c:pt idx="1580">
                  <c:v>25-May-2026</c:v>
                </c:pt>
                <c:pt idx="1581">
                  <c:v>26-May-2026</c:v>
                </c:pt>
                <c:pt idx="1582">
                  <c:v>27-May-2026</c:v>
                </c:pt>
                <c:pt idx="1583">
                  <c:v>29-May-2026</c:v>
                </c:pt>
                <c:pt idx="1584">
                  <c:v>01-Jun-2026</c:v>
                </c:pt>
                <c:pt idx="1585">
                  <c:v>02-Jun-2026</c:v>
                </c:pt>
                <c:pt idx="1586">
                  <c:v>03-Jun-2026</c:v>
                </c:pt>
                <c:pt idx="1587">
                  <c:v>04-Jun-2026</c:v>
                </c:pt>
                <c:pt idx="1588">
                  <c:v>05-Jun-2026</c:v>
                </c:pt>
                <c:pt idx="1589">
                  <c:v>08-Jun-2026</c:v>
                </c:pt>
                <c:pt idx="1590">
                  <c:v>09-Jun-2026</c:v>
                </c:pt>
                <c:pt idx="1591">
                  <c:v>10-Jun-2026</c:v>
                </c:pt>
                <c:pt idx="1592">
                  <c:v>11-Jun-2026</c:v>
                </c:pt>
                <c:pt idx="1593">
                  <c:v>12-Jun-2026</c:v>
                </c:pt>
                <c:pt idx="1594">
                  <c:v>15-Jun-2026</c:v>
                </c:pt>
                <c:pt idx="1595">
                  <c:v>16-Jun-2026</c:v>
                </c:pt>
                <c:pt idx="1596">
                  <c:v>17-Jun-2026</c:v>
                </c:pt>
                <c:pt idx="1597">
                  <c:v>18-Jun-2026</c:v>
                </c:pt>
                <c:pt idx="1598">
                  <c:v>19-Jun-2026</c:v>
                </c:pt>
                <c:pt idx="1599">
                  <c:v>22-Jun-2026</c:v>
                </c:pt>
                <c:pt idx="1600">
                  <c:v>23-Jun-2026</c:v>
                </c:pt>
                <c:pt idx="1601">
                  <c:v>24-Jun-2026</c:v>
                </c:pt>
                <c:pt idx="1602">
                  <c:v>25-Jun-2026</c:v>
                </c:pt>
                <c:pt idx="1603">
                  <c:v>29-Jun-2026</c:v>
                </c:pt>
                <c:pt idx="1604">
                  <c:v>30-Jun-2026</c:v>
                </c:pt>
                <c:pt idx="1605">
                  <c:v>01-Jul-2026</c:v>
                </c:pt>
                <c:pt idx="1606">
                  <c:v>02-Jul-2026</c:v>
                </c:pt>
                <c:pt idx="1607">
                  <c:v>03-Jul-2026</c:v>
                </c:pt>
                <c:pt idx="1608">
                  <c:v>06-Jul-2026</c:v>
                </c:pt>
                <c:pt idx="1609">
                  <c:v>07-Jul-2026</c:v>
                </c:pt>
                <c:pt idx="1610">
                  <c:v>08-Jul-2026</c:v>
                </c:pt>
                <c:pt idx="1611">
                  <c:v>09-Jul-2026</c:v>
                </c:pt>
                <c:pt idx="1612">
                  <c:v>10-Jul-2026</c:v>
                </c:pt>
                <c:pt idx="1613">
                  <c:v>13-Jul-2026</c:v>
                </c:pt>
                <c:pt idx="1614">
                  <c:v>14-Jul-2026</c:v>
                </c:pt>
                <c:pt idx="1615">
                  <c:v>15-Jul-2026</c:v>
                </c:pt>
                <c:pt idx="1616">
                  <c:v>16-Jul-2026</c:v>
                </c:pt>
                <c:pt idx="1617">
                  <c:v>17-Jul-2026</c:v>
                </c:pt>
                <c:pt idx="1618">
                  <c:v>20-Jul-2026</c:v>
                </c:pt>
                <c:pt idx="1619">
                  <c:v>21-Jul-2026</c:v>
                </c:pt>
                <c:pt idx="1620">
                  <c:v>22-Jul-2026</c:v>
                </c:pt>
                <c:pt idx="1621">
                  <c:v>23-Jul-2026</c:v>
                </c:pt>
                <c:pt idx="1622">
                  <c:v>24-Jul-2026</c:v>
                </c:pt>
                <c:pt idx="1623">
                  <c:v>27-Jul-2026</c:v>
                </c:pt>
                <c:pt idx="1624">
                  <c:v>28-Jul-2026</c:v>
                </c:pt>
                <c:pt idx="1625">
                  <c:v>29-Jul-2026</c:v>
                </c:pt>
                <c:pt idx="1626">
                  <c:v>30-Jul-2026</c:v>
                </c:pt>
                <c:pt idx="1627">
                  <c:v>31-Jul-2026</c:v>
                </c:pt>
                <c:pt idx="1628">
                  <c:v>03-Aug-2026</c:v>
                </c:pt>
                <c:pt idx="1629">
                  <c:v>04-Aug-2026</c:v>
                </c:pt>
                <c:pt idx="1630">
                  <c:v>05-Aug-2026</c:v>
                </c:pt>
                <c:pt idx="1631">
                  <c:v>06-Aug-2026</c:v>
                </c:pt>
                <c:pt idx="1632">
                  <c:v>07-Aug-2026</c:v>
                </c:pt>
                <c:pt idx="1633">
                  <c:v>10-Aug-2026</c:v>
                </c:pt>
                <c:pt idx="1634">
                  <c:v>11-Aug-2026</c:v>
                </c:pt>
                <c:pt idx="1635">
                  <c:v>12-Aug-2026</c:v>
                </c:pt>
                <c:pt idx="1636">
                  <c:v>13-Aug-2026</c:v>
                </c:pt>
                <c:pt idx="1637">
                  <c:v>14-Aug-2026</c:v>
                </c:pt>
                <c:pt idx="1638">
                  <c:v>17-Aug-2026</c:v>
                </c:pt>
                <c:pt idx="1639">
                  <c:v>18-Aug-2026</c:v>
                </c:pt>
                <c:pt idx="1640">
                  <c:v>19-Aug-2026</c:v>
                </c:pt>
                <c:pt idx="1641">
                  <c:v>20-Aug-2026</c:v>
                </c:pt>
                <c:pt idx="1642">
                  <c:v>21-Aug-2026</c:v>
                </c:pt>
                <c:pt idx="1643">
                  <c:v>24-Aug-2026</c:v>
                </c:pt>
                <c:pt idx="1644">
                  <c:v>25-Aug-2026</c:v>
                </c:pt>
                <c:pt idx="1645">
                  <c:v>26-Aug-2026</c:v>
                </c:pt>
                <c:pt idx="1646">
                  <c:v>27-Aug-2026</c:v>
                </c:pt>
                <c:pt idx="1647">
                  <c:v>28-Aug-2026</c:v>
                </c:pt>
                <c:pt idx="1648">
                  <c:v>31-Aug-2026</c:v>
                </c:pt>
                <c:pt idx="1649">
                  <c:v>01-Sep-2026</c:v>
                </c:pt>
                <c:pt idx="1650">
                  <c:v>02-Sep-2026</c:v>
                </c:pt>
                <c:pt idx="1651">
                  <c:v>03-Sep-2026</c:v>
                </c:pt>
                <c:pt idx="1652">
                  <c:v>04-Sep-2026</c:v>
                </c:pt>
                <c:pt idx="1653">
                  <c:v>07-Sep-2026</c:v>
                </c:pt>
                <c:pt idx="1654">
                  <c:v>08-Sep-2026</c:v>
                </c:pt>
                <c:pt idx="1655">
                  <c:v>09-Sep-2026</c:v>
                </c:pt>
                <c:pt idx="1656">
                  <c:v>10-Sep-2026</c:v>
                </c:pt>
                <c:pt idx="1657">
                  <c:v>11-Sep-2026</c:v>
                </c:pt>
                <c:pt idx="1658">
                  <c:v>15-Sep-2026</c:v>
                </c:pt>
                <c:pt idx="1659">
                  <c:v>16-Sep-2026</c:v>
                </c:pt>
                <c:pt idx="1660">
                  <c:v>17-Sep-2026</c:v>
                </c:pt>
                <c:pt idx="1661">
                  <c:v>18-Sep-2026</c:v>
                </c:pt>
                <c:pt idx="1662">
                  <c:v>21-Sep-2026</c:v>
                </c:pt>
                <c:pt idx="1663">
                  <c:v>22-Sep-2026</c:v>
                </c:pt>
                <c:pt idx="1664">
                  <c:v>23-Sep-2026</c:v>
                </c:pt>
                <c:pt idx="1665">
                  <c:v>24-Sep-2026</c:v>
                </c:pt>
                <c:pt idx="1666">
                  <c:v>25-Sep-2026</c:v>
                </c:pt>
                <c:pt idx="1667">
                  <c:v>28-Sep-2026</c:v>
                </c:pt>
              </c:numCache>
            </c:numRef>
          </c:cat>
          <c:val>
            <c:numRef>
              <c:f>Data!$K$44:$K$1711</c:f>
              <c:numCache>
                <c:formatCode>0.00</c:formatCode>
                <c:ptCount val="1668"/>
                <c:pt idx="0">
                  <c:v>16.9374488591431</c:v>
                </c:pt>
                <c:pt idx="1">
                  <c:v>16.9374488591431</c:v>
                </c:pt>
                <c:pt idx="2">
                  <c:v>16.9374488591431</c:v>
                </c:pt>
                <c:pt idx="3">
                  <c:v>16.9374488591431</c:v>
                </c:pt>
                <c:pt idx="4">
                  <c:v>16.9374488591431</c:v>
                </c:pt>
                <c:pt idx="5">
                  <c:v>16.9374488591431</c:v>
                </c:pt>
                <c:pt idx="6">
                  <c:v>16.9374488591431</c:v>
                </c:pt>
                <c:pt idx="7">
                  <c:v>16.9374488591431</c:v>
                </c:pt>
                <c:pt idx="8">
                  <c:v>16.9374488591431</c:v>
                </c:pt>
                <c:pt idx="9">
                  <c:v>16.9374488591431</c:v>
                </c:pt>
                <c:pt idx="10">
                  <c:v>16.9374488591431</c:v>
                </c:pt>
                <c:pt idx="11">
                  <c:v>16.9374488591431</c:v>
                </c:pt>
                <c:pt idx="12">
                  <c:v>16.9374488591431</c:v>
                </c:pt>
                <c:pt idx="13">
                  <c:v>16.9374488591431</c:v>
                </c:pt>
                <c:pt idx="14">
                  <c:v>16.9374488591431</c:v>
                </c:pt>
                <c:pt idx="15">
                  <c:v>16.9374488591431</c:v>
                </c:pt>
                <c:pt idx="16">
                  <c:v>16.9374488591431</c:v>
                </c:pt>
                <c:pt idx="17">
                  <c:v>16.9374488591431</c:v>
                </c:pt>
                <c:pt idx="18">
                  <c:v>16.9374488591431</c:v>
                </c:pt>
                <c:pt idx="19">
                  <c:v>16.9374488591431</c:v>
                </c:pt>
                <c:pt idx="20">
                  <c:v>16.9374488591431</c:v>
                </c:pt>
                <c:pt idx="21">
                  <c:v>16.9374488591431</c:v>
                </c:pt>
                <c:pt idx="22">
                  <c:v>16.9374488591431</c:v>
                </c:pt>
                <c:pt idx="23">
                  <c:v>16.9374488591431</c:v>
                </c:pt>
                <c:pt idx="24">
                  <c:v>16.9374488591431</c:v>
                </c:pt>
                <c:pt idx="25">
                  <c:v>16.9374488591431</c:v>
                </c:pt>
                <c:pt idx="26">
                  <c:v>16.9374488591431</c:v>
                </c:pt>
                <c:pt idx="27">
                  <c:v>16.9374488591431</c:v>
                </c:pt>
                <c:pt idx="28">
                  <c:v>16.9374488591431</c:v>
                </c:pt>
                <c:pt idx="29">
                  <c:v>16.9374488591431</c:v>
                </c:pt>
                <c:pt idx="30">
                  <c:v>16.9374488591431</c:v>
                </c:pt>
                <c:pt idx="31">
                  <c:v>16.9374488591431</c:v>
                </c:pt>
                <c:pt idx="32">
                  <c:v>16.9374488591431</c:v>
                </c:pt>
                <c:pt idx="33">
                  <c:v>16.9374488591431</c:v>
                </c:pt>
                <c:pt idx="34">
                  <c:v>16.9374488591431</c:v>
                </c:pt>
                <c:pt idx="35">
                  <c:v>16.9374488591431</c:v>
                </c:pt>
                <c:pt idx="36">
                  <c:v>16.9374488591431</c:v>
                </c:pt>
                <c:pt idx="37">
                  <c:v>16.9374488591431</c:v>
                </c:pt>
                <c:pt idx="38">
                  <c:v>16.9374488591431</c:v>
                </c:pt>
                <c:pt idx="39">
                  <c:v>16.9374488591431</c:v>
                </c:pt>
                <c:pt idx="40">
                  <c:v>16.9374488591431</c:v>
                </c:pt>
                <c:pt idx="41">
                  <c:v>16.9374488591431</c:v>
                </c:pt>
                <c:pt idx="42">
                  <c:v>16.9374488591431</c:v>
                </c:pt>
                <c:pt idx="43">
                  <c:v>16.9374488591431</c:v>
                </c:pt>
                <c:pt idx="44">
                  <c:v>16.9374488591431</c:v>
                </c:pt>
                <c:pt idx="45">
                  <c:v>16.9374488591431</c:v>
                </c:pt>
                <c:pt idx="46">
                  <c:v>16.9374488591431</c:v>
                </c:pt>
                <c:pt idx="47">
                  <c:v>16.9374488591431</c:v>
                </c:pt>
                <c:pt idx="48">
                  <c:v>16.9374488591431</c:v>
                </c:pt>
                <c:pt idx="49">
                  <c:v>16.9374488591431</c:v>
                </c:pt>
                <c:pt idx="50">
                  <c:v>16.9374488591431</c:v>
                </c:pt>
                <c:pt idx="51">
                  <c:v>16.9374488591431</c:v>
                </c:pt>
                <c:pt idx="52">
                  <c:v>16.9374488591431</c:v>
                </c:pt>
                <c:pt idx="53">
                  <c:v>16.9374488591431</c:v>
                </c:pt>
                <c:pt idx="54">
                  <c:v>16.9374488591431</c:v>
                </c:pt>
                <c:pt idx="55">
                  <c:v>16.9374488591431</c:v>
                </c:pt>
                <c:pt idx="56">
                  <c:v>16.9374488591431</c:v>
                </c:pt>
                <c:pt idx="57">
                  <c:v>16.9374488591431</c:v>
                </c:pt>
                <c:pt idx="58">
                  <c:v>16.9374488591431</c:v>
                </c:pt>
                <c:pt idx="59">
                  <c:v>16.9374488591431</c:v>
                </c:pt>
                <c:pt idx="60">
                  <c:v>16.9374488591431</c:v>
                </c:pt>
                <c:pt idx="61">
                  <c:v>16.9374488591431</c:v>
                </c:pt>
                <c:pt idx="62">
                  <c:v>16.9374488591431</c:v>
                </c:pt>
                <c:pt idx="63">
                  <c:v>16.9374488591431</c:v>
                </c:pt>
                <c:pt idx="64">
                  <c:v>16.9374488591431</c:v>
                </c:pt>
                <c:pt idx="65">
                  <c:v>16.9374488591431</c:v>
                </c:pt>
                <c:pt idx="66">
                  <c:v>16.9374488591431</c:v>
                </c:pt>
                <c:pt idx="67">
                  <c:v>16.9374488591431</c:v>
                </c:pt>
                <c:pt idx="68">
                  <c:v>16.9374488591431</c:v>
                </c:pt>
                <c:pt idx="69">
                  <c:v>16.9374488591431</c:v>
                </c:pt>
                <c:pt idx="70">
                  <c:v>16.9374488591431</c:v>
                </c:pt>
                <c:pt idx="71">
                  <c:v>16.9374488591431</c:v>
                </c:pt>
                <c:pt idx="72">
                  <c:v>16.9374488591431</c:v>
                </c:pt>
                <c:pt idx="73">
                  <c:v>16.9374488591431</c:v>
                </c:pt>
                <c:pt idx="74">
                  <c:v>16.9374488591431</c:v>
                </c:pt>
                <c:pt idx="75">
                  <c:v>16.9374488591431</c:v>
                </c:pt>
                <c:pt idx="76">
                  <c:v>16.9374488591431</c:v>
                </c:pt>
                <c:pt idx="77">
                  <c:v>16.9374488591431</c:v>
                </c:pt>
                <c:pt idx="78">
                  <c:v>16.9374488591431</c:v>
                </c:pt>
                <c:pt idx="79">
                  <c:v>16.9374488591431</c:v>
                </c:pt>
                <c:pt idx="80">
                  <c:v>16.9374488591431</c:v>
                </c:pt>
                <c:pt idx="81">
                  <c:v>16.9374488591431</c:v>
                </c:pt>
                <c:pt idx="82">
                  <c:v>16.9374488591431</c:v>
                </c:pt>
                <c:pt idx="83">
                  <c:v>16.9374488591431</c:v>
                </c:pt>
                <c:pt idx="84">
                  <c:v>16.9374488591431</c:v>
                </c:pt>
                <c:pt idx="85">
                  <c:v>16.9374488591431</c:v>
                </c:pt>
                <c:pt idx="86">
                  <c:v>16.9374488591431</c:v>
                </c:pt>
                <c:pt idx="87">
                  <c:v>16.9374488591431</c:v>
                </c:pt>
                <c:pt idx="88">
                  <c:v>16.9374488591431</c:v>
                </c:pt>
                <c:pt idx="89">
                  <c:v>16.9374488591431</c:v>
                </c:pt>
                <c:pt idx="90">
                  <c:v>16.9374488591431</c:v>
                </c:pt>
                <c:pt idx="91">
                  <c:v>16.9374488591431</c:v>
                </c:pt>
                <c:pt idx="92">
                  <c:v>16.9374488591431</c:v>
                </c:pt>
                <c:pt idx="93">
                  <c:v>16.9374488591431</c:v>
                </c:pt>
                <c:pt idx="94">
                  <c:v>16.9374488591431</c:v>
                </c:pt>
                <c:pt idx="95">
                  <c:v>16.9374488591431</c:v>
                </c:pt>
                <c:pt idx="96">
                  <c:v>16.9374488591431</c:v>
                </c:pt>
                <c:pt idx="97">
                  <c:v>16.9374488591431</c:v>
                </c:pt>
                <c:pt idx="98">
                  <c:v>16.9374488591431</c:v>
                </c:pt>
                <c:pt idx="99">
                  <c:v>16.9374488591431</c:v>
                </c:pt>
                <c:pt idx="100">
                  <c:v>16.9374488591431</c:v>
                </c:pt>
                <c:pt idx="101">
                  <c:v>16.9374488591431</c:v>
                </c:pt>
                <c:pt idx="102">
                  <c:v>16.9374488591431</c:v>
                </c:pt>
                <c:pt idx="103">
                  <c:v>16.9374488591431</c:v>
                </c:pt>
                <c:pt idx="104">
                  <c:v>16.9374488591431</c:v>
                </c:pt>
                <c:pt idx="105">
                  <c:v>16.9374488591431</c:v>
                </c:pt>
                <c:pt idx="106">
                  <c:v>16.9374488591431</c:v>
                </c:pt>
                <c:pt idx="107">
                  <c:v>16.9374488591431</c:v>
                </c:pt>
                <c:pt idx="108">
                  <c:v>16.9374488591431</c:v>
                </c:pt>
                <c:pt idx="109">
                  <c:v>16.9374488591431</c:v>
                </c:pt>
                <c:pt idx="110">
                  <c:v>16.9374488591431</c:v>
                </c:pt>
                <c:pt idx="111">
                  <c:v>16.9374488591431</c:v>
                </c:pt>
                <c:pt idx="112">
                  <c:v>16.9374488591431</c:v>
                </c:pt>
                <c:pt idx="113">
                  <c:v>16.9374488591431</c:v>
                </c:pt>
                <c:pt idx="114">
                  <c:v>16.9374488591431</c:v>
                </c:pt>
                <c:pt idx="115">
                  <c:v>16.9374488591431</c:v>
                </c:pt>
                <c:pt idx="116">
                  <c:v>16.9374488591431</c:v>
                </c:pt>
                <c:pt idx="117">
                  <c:v>16.9374488591431</c:v>
                </c:pt>
                <c:pt idx="118">
                  <c:v>16.9374488591431</c:v>
                </c:pt>
                <c:pt idx="119">
                  <c:v>16.9374488591431</c:v>
                </c:pt>
                <c:pt idx="120">
                  <c:v>16.9374488591431</c:v>
                </c:pt>
                <c:pt idx="121">
                  <c:v>16.9374488591431</c:v>
                </c:pt>
                <c:pt idx="122">
                  <c:v>16.9374488591431</c:v>
                </c:pt>
                <c:pt idx="123">
                  <c:v>16.9374488591431</c:v>
                </c:pt>
                <c:pt idx="124">
                  <c:v>16.9374488591431</c:v>
                </c:pt>
                <c:pt idx="125">
                  <c:v>16.9374488591431</c:v>
                </c:pt>
                <c:pt idx="126">
                  <c:v>16.9374488591431</c:v>
                </c:pt>
                <c:pt idx="127">
                  <c:v>16.9374488591431</c:v>
                </c:pt>
                <c:pt idx="128">
                  <c:v>16.9374488591431</c:v>
                </c:pt>
                <c:pt idx="129">
                  <c:v>16.9374488591431</c:v>
                </c:pt>
                <c:pt idx="130">
                  <c:v>16.9374488591431</c:v>
                </c:pt>
                <c:pt idx="131">
                  <c:v>16.9374488591431</c:v>
                </c:pt>
                <c:pt idx="132">
                  <c:v>16.9374488591431</c:v>
                </c:pt>
                <c:pt idx="133">
                  <c:v>16.9374488591431</c:v>
                </c:pt>
                <c:pt idx="134">
                  <c:v>16.9374488591431</c:v>
                </c:pt>
                <c:pt idx="135">
                  <c:v>16.9374488591431</c:v>
                </c:pt>
                <c:pt idx="136">
                  <c:v>16.9374488591431</c:v>
                </c:pt>
                <c:pt idx="137">
                  <c:v>16.9374488591431</c:v>
                </c:pt>
                <c:pt idx="138">
                  <c:v>16.9374488591431</c:v>
                </c:pt>
                <c:pt idx="139">
                  <c:v>16.9374488591431</c:v>
                </c:pt>
                <c:pt idx="140">
                  <c:v>16.9374488591431</c:v>
                </c:pt>
                <c:pt idx="141">
                  <c:v>16.9374488591431</c:v>
                </c:pt>
                <c:pt idx="142">
                  <c:v>16.9374488591431</c:v>
                </c:pt>
                <c:pt idx="143">
                  <c:v>16.9374488591431</c:v>
                </c:pt>
                <c:pt idx="144">
                  <c:v>16.9374488591431</c:v>
                </c:pt>
                <c:pt idx="145">
                  <c:v>16.9374488591431</c:v>
                </c:pt>
                <c:pt idx="146">
                  <c:v>16.9374488591431</c:v>
                </c:pt>
                <c:pt idx="147">
                  <c:v>16.9374488591431</c:v>
                </c:pt>
                <c:pt idx="148">
                  <c:v>16.9374488591431</c:v>
                </c:pt>
                <c:pt idx="149">
                  <c:v>16.9374488591431</c:v>
                </c:pt>
                <c:pt idx="150">
                  <c:v>16.9374488591431</c:v>
                </c:pt>
                <c:pt idx="151">
                  <c:v>16.9374488591431</c:v>
                </c:pt>
                <c:pt idx="152">
                  <c:v>16.9374488591431</c:v>
                </c:pt>
                <c:pt idx="153">
                  <c:v>16.9374488591431</c:v>
                </c:pt>
                <c:pt idx="154">
                  <c:v>16.9374488591431</c:v>
                </c:pt>
                <c:pt idx="155">
                  <c:v>16.9374488591431</c:v>
                </c:pt>
                <c:pt idx="156">
                  <c:v>16.9374488591431</c:v>
                </c:pt>
                <c:pt idx="157">
                  <c:v>16.9374488591431</c:v>
                </c:pt>
                <c:pt idx="158">
                  <c:v>16.9374488591431</c:v>
                </c:pt>
                <c:pt idx="159">
                  <c:v>16.9374488591431</c:v>
                </c:pt>
                <c:pt idx="160">
                  <c:v>16.9374488591431</c:v>
                </c:pt>
                <c:pt idx="161">
                  <c:v>16.9374488591431</c:v>
                </c:pt>
                <c:pt idx="162">
                  <c:v>16.9374488591431</c:v>
                </c:pt>
                <c:pt idx="163">
                  <c:v>16.9374488591431</c:v>
                </c:pt>
                <c:pt idx="164">
                  <c:v>16.9374488591431</c:v>
                </c:pt>
                <c:pt idx="165">
                  <c:v>16.9374488591431</c:v>
                </c:pt>
                <c:pt idx="166">
                  <c:v>16.9374488591431</c:v>
                </c:pt>
                <c:pt idx="167">
                  <c:v>16.9374488591431</c:v>
                </c:pt>
                <c:pt idx="168">
                  <c:v>16.9374488591431</c:v>
                </c:pt>
                <c:pt idx="169">
                  <c:v>16.9374488591431</c:v>
                </c:pt>
                <c:pt idx="170">
                  <c:v>16.9374488591431</c:v>
                </c:pt>
                <c:pt idx="171">
                  <c:v>16.9374488591431</c:v>
                </c:pt>
                <c:pt idx="172">
                  <c:v>16.9374488591431</c:v>
                </c:pt>
                <c:pt idx="173">
                  <c:v>16.9374488591431</c:v>
                </c:pt>
                <c:pt idx="174">
                  <c:v>16.9374488591431</c:v>
                </c:pt>
                <c:pt idx="175">
                  <c:v>16.9374488591431</c:v>
                </c:pt>
                <c:pt idx="176">
                  <c:v>16.9374488591431</c:v>
                </c:pt>
                <c:pt idx="177">
                  <c:v>16.9374488591431</c:v>
                </c:pt>
                <c:pt idx="178">
                  <c:v>16.9374488591431</c:v>
                </c:pt>
                <c:pt idx="179">
                  <c:v>16.9374488591431</c:v>
                </c:pt>
                <c:pt idx="180">
                  <c:v>16.9374488591431</c:v>
                </c:pt>
                <c:pt idx="181">
                  <c:v>16.9374488591431</c:v>
                </c:pt>
                <c:pt idx="182">
                  <c:v>16.9374488591431</c:v>
                </c:pt>
                <c:pt idx="183">
                  <c:v>16.9374488591431</c:v>
                </c:pt>
                <c:pt idx="184">
                  <c:v>16.9374488591431</c:v>
                </c:pt>
                <c:pt idx="185">
                  <c:v>16.9374488591431</c:v>
                </c:pt>
                <c:pt idx="186">
                  <c:v>16.9374488591431</c:v>
                </c:pt>
                <c:pt idx="187">
                  <c:v>16.9374488591431</c:v>
                </c:pt>
                <c:pt idx="188">
                  <c:v>16.9374488591431</c:v>
                </c:pt>
                <c:pt idx="189">
                  <c:v>16.9374488591431</c:v>
                </c:pt>
                <c:pt idx="190">
                  <c:v>16.9374488591431</c:v>
                </c:pt>
                <c:pt idx="191">
                  <c:v>16.9374488591431</c:v>
                </c:pt>
                <c:pt idx="192">
                  <c:v>16.9374488591431</c:v>
                </c:pt>
                <c:pt idx="193">
                  <c:v>16.9374488591431</c:v>
                </c:pt>
                <c:pt idx="194">
                  <c:v>16.9374488591431</c:v>
                </c:pt>
                <c:pt idx="195">
                  <c:v>16.9374488591431</c:v>
                </c:pt>
                <c:pt idx="196">
                  <c:v>16.9374488591431</c:v>
                </c:pt>
                <c:pt idx="197">
                  <c:v>16.9374488591431</c:v>
                </c:pt>
                <c:pt idx="198">
                  <c:v>16.9374488591431</c:v>
                </c:pt>
                <c:pt idx="199">
                  <c:v>16.9374488591431</c:v>
                </c:pt>
                <c:pt idx="200">
                  <c:v>16.9374488591431</c:v>
                </c:pt>
                <c:pt idx="201">
                  <c:v>16.9374488591431</c:v>
                </c:pt>
                <c:pt idx="202">
                  <c:v>16.9374488591431</c:v>
                </c:pt>
                <c:pt idx="203">
                  <c:v>16.9374488591431</c:v>
                </c:pt>
                <c:pt idx="204">
                  <c:v>16.9374488591431</c:v>
                </c:pt>
                <c:pt idx="205">
                  <c:v>16.9374488591431</c:v>
                </c:pt>
                <c:pt idx="206">
                  <c:v>16.9374488591431</c:v>
                </c:pt>
                <c:pt idx="207">
                  <c:v>16.9374488591431</c:v>
                </c:pt>
                <c:pt idx="208">
                  <c:v>16.9374488591431</c:v>
                </c:pt>
                <c:pt idx="209">
                  <c:v>16.9374488591431</c:v>
                </c:pt>
                <c:pt idx="210">
                  <c:v>16.9374488591431</c:v>
                </c:pt>
                <c:pt idx="211">
                  <c:v>16.9374488591431</c:v>
                </c:pt>
                <c:pt idx="212">
                  <c:v>16.9374488591431</c:v>
                </c:pt>
                <c:pt idx="213">
                  <c:v>16.9374488591431</c:v>
                </c:pt>
                <c:pt idx="214">
                  <c:v>16.9374488591431</c:v>
                </c:pt>
                <c:pt idx="215">
                  <c:v>16.9374488591431</c:v>
                </c:pt>
                <c:pt idx="216">
                  <c:v>16.9374488591431</c:v>
                </c:pt>
                <c:pt idx="217">
                  <c:v>16.9374488591431</c:v>
                </c:pt>
                <c:pt idx="218">
                  <c:v>16.9374488591431</c:v>
                </c:pt>
                <c:pt idx="219">
                  <c:v>16.9374488591431</c:v>
                </c:pt>
                <c:pt idx="220">
                  <c:v>16.9374488591431</c:v>
                </c:pt>
                <c:pt idx="221">
                  <c:v>16.9374488591431</c:v>
                </c:pt>
                <c:pt idx="222">
                  <c:v>16.9374488591431</c:v>
                </c:pt>
                <c:pt idx="223">
                  <c:v>16.9374488591431</c:v>
                </c:pt>
                <c:pt idx="224">
                  <c:v>16.9374488591431</c:v>
                </c:pt>
                <c:pt idx="225">
                  <c:v>16.9374488591431</c:v>
                </c:pt>
                <c:pt idx="226">
                  <c:v>16.9374488591431</c:v>
                </c:pt>
                <c:pt idx="227">
                  <c:v>16.9374488591431</c:v>
                </c:pt>
                <c:pt idx="228">
                  <c:v>16.9374488591431</c:v>
                </c:pt>
                <c:pt idx="229">
                  <c:v>16.9374488591431</c:v>
                </c:pt>
                <c:pt idx="230">
                  <c:v>16.9374488591431</c:v>
                </c:pt>
                <c:pt idx="231">
                  <c:v>16.9374488591431</c:v>
                </c:pt>
                <c:pt idx="232">
                  <c:v>16.9374488591431</c:v>
                </c:pt>
                <c:pt idx="233">
                  <c:v>16.9374488591431</c:v>
                </c:pt>
                <c:pt idx="234">
                  <c:v>16.9374488591431</c:v>
                </c:pt>
                <c:pt idx="235">
                  <c:v>16.9374488591431</c:v>
                </c:pt>
                <c:pt idx="236">
                  <c:v>16.9374488591431</c:v>
                </c:pt>
                <c:pt idx="237">
                  <c:v>16.9374488591431</c:v>
                </c:pt>
                <c:pt idx="238">
                  <c:v>16.9374488591431</c:v>
                </c:pt>
                <c:pt idx="239">
                  <c:v>16.9374488591431</c:v>
                </c:pt>
                <c:pt idx="240">
                  <c:v>16.9374488591431</c:v>
                </c:pt>
                <c:pt idx="241">
                  <c:v>16.9374488591431</c:v>
                </c:pt>
                <c:pt idx="242">
                  <c:v>16.9374488591431</c:v>
                </c:pt>
                <c:pt idx="243">
                  <c:v>16.9374488591431</c:v>
                </c:pt>
                <c:pt idx="244">
                  <c:v>16.9374488591431</c:v>
                </c:pt>
                <c:pt idx="245">
                  <c:v>16.9374488591431</c:v>
                </c:pt>
                <c:pt idx="246">
                  <c:v>16.9374488591431</c:v>
                </c:pt>
                <c:pt idx="247">
                  <c:v>16.9374488591431</c:v>
                </c:pt>
                <c:pt idx="248">
                  <c:v>16.9374488591431</c:v>
                </c:pt>
                <c:pt idx="249">
                  <c:v>16.9374488591431</c:v>
                </c:pt>
                <c:pt idx="250">
                  <c:v>16.9374488591431</c:v>
                </c:pt>
                <c:pt idx="251">
                  <c:v>16.9374488591431</c:v>
                </c:pt>
                <c:pt idx="252">
                  <c:v>16.9374488591431</c:v>
                </c:pt>
                <c:pt idx="253">
                  <c:v>16.9374488591431</c:v>
                </c:pt>
                <c:pt idx="254">
                  <c:v>16.9374488591431</c:v>
                </c:pt>
                <c:pt idx="255">
                  <c:v>16.9374488591431</c:v>
                </c:pt>
                <c:pt idx="256">
                  <c:v>16.9374488591431</c:v>
                </c:pt>
                <c:pt idx="257">
                  <c:v>16.9374488591431</c:v>
                </c:pt>
                <c:pt idx="258">
                  <c:v>16.9374488591431</c:v>
                </c:pt>
                <c:pt idx="259">
                  <c:v>16.9374488591431</c:v>
                </c:pt>
                <c:pt idx="260">
                  <c:v>16.9374488591431</c:v>
                </c:pt>
                <c:pt idx="261">
                  <c:v>16.9374488591431</c:v>
                </c:pt>
                <c:pt idx="262">
                  <c:v>16.9374488591431</c:v>
                </c:pt>
                <c:pt idx="263">
                  <c:v>16.9374488591431</c:v>
                </c:pt>
                <c:pt idx="264">
                  <c:v>16.9374488591431</c:v>
                </c:pt>
                <c:pt idx="265">
                  <c:v>16.9374488591431</c:v>
                </c:pt>
                <c:pt idx="266">
                  <c:v>16.9374488591431</c:v>
                </c:pt>
                <c:pt idx="267">
                  <c:v>16.9374488591431</c:v>
                </c:pt>
                <c:pt idx="268">
                  <c:v>16.9374488591431</c:v>
                </c:pt>
                <c:pt idx="269">
                  <c:v>16.9374488591431</c:v>
                </c:pt>
                <c:pt idx="270">
                  <c:v>16.9374488591431</c:v>
                </c:pt>
                <c:pt idx="271">
                  <c:v>16.9374488591431</c:v>
                </c:pt>
                <c:pt idx="272">
                  <c:v>16.9374488591431</c:v>
                </c:pt>
                <c:pt idx="273">
                  <c:v>16.9374488591431</c:v>
                </c:pt>
                <c:pt idx="274">
                  <c:v>16.9374488591431</c:v>
                </c:pt>
                <c:pt idx="275">
                  <c:v>16.9374488591431</c:v>
                </c:pt>
                <c:pt idx="276">
                  <c:v>16.9374488591431</c:v>
                </c:pt>
                <c:pt idx="277">
                  <c:v>16.9374488591431</c:v>
                </c:pt>
                <c:pt idx="278">
                  <c:v>16.9374488591431</c:v>
                </c:pt>
                <c:pt idx="279">
                  <c:v>16.9374488591431</c:v>
                </c:pt>
                <c:pt idx="280">
                  <c:v>16.9374488591431</c:v>
                </c:pt>
                <c:pt idx="281">
                  <c:v>16.9374488591431</c:v>
                </c:pt>
                <c:pt idx="282">
                  <c:v>16.9374488591431</c:v>
                </c:pt>
                <c:pt idx="283">
                  <c:v>16.9374488591431</c:v>
                </c:pt>
                <c:pt idx="284">
                  <c:v>16.9374488591431</c:v>
                </c:pt>
                <c:pt idx="285">
                  <c:v>16.9374488591431</c:v>
                </c:pt>
                <c:pt idx="286">
                  <c:v>16.9374488591431</c:v>
                </c:pt>
                <c:pt idx="287">
                  <c:v>16.9374488591431</c:v>
                </c:pt>
                <c:pt idx="288">
                  <c:v>16.9374488591431</c:v>
                </c:pt>
                <c:pt idx="289">
                  <c:v>16.9374488591431</c:v>
                </c:pt>
                <c:pt idx="290">
                  <c:v>16.9374488591431</c:v>
                </c:pt>
                <c:pt idx="291">
                  <c:v>16.9374488591431</c:v>
                </c:pt>
                <c:pt idx="292">
                  <c:v>16.9374488591431</c:v>
                </c:pt>
                <c:pt idx="293">
                  <c:v>16.9374488591431</c:v>
                </c:pt>
                <c:pt idx="294">
                  <c:v>16.9374488591431</c:v>
                </c:pt>
                <c:pt idx="295">
                  <c:v>16.9374488591431</c:v>
                </c:pt>
                <c:pt idx="296">
                  <c:v>16.9374488591431</c:v>
                </c:pt>
                <c:pt idx="297">
                  <c:v>16.9374488591431</c:v>
                </c:pt>
                <c:pt idx="298">
                  <c:v>16.9374488591431</c:v>
                </c:pt>
                <c:pt idx="299">
                  <c:v>16.9374488591431</c:v>
                </c:pt>
                <c:pt idx="300">
                  <c:v>16.9374488591431</c:v>
                </c:pt>
                <c:pt idx="301">
                  <c:v>16.9374488591431</c:v>
                </c:pt>
                <c:pt idx="302">
                  <c:v>16.9374488591431</c:v>
                </c:pt>
                <c:pt idx="303">
                  <c:v>16.9374488591431</c:v>
                </c:pt>
                <c:pt idx="304">
                  <c:v>16.9374488591431</c:v>
                </c:pt>
                <c:pt idx="305">
                  <c:v>16.9374488591431</c:v>
                </c:pt>
                <c:pt idx="306">
                  <c:v>16.9374488591431</c:v>
                </c:pt>
                <c:pt idx="307">
                  <c:v>16.9374488591431</c:v>
                </c:pt>
                <c:pt idx="308">
                  <c:v>16.9374488591431</c:v>
                </c:pt>
                <c:pt idx="309">
                  <c:v>16.9374488591431</c:v>
                </c:pt>
                <c:pt idx="310">
                  <c:v>16.9374488591431</c:v>
                </c:pt>
                <c:pt idx="311">
                  <c:v>16.9374488591431</c:v>
                </c:pt>
                <c:pt idx="312">
                  <c:v>16.9374488591431</c:v>
                </c:pt>
                <c:pt idx="313">
                  <c:v>16.9374488591431</c:v>
                </c:pt>
                <c:pt idx="314">
                  <c:v>16.9374488591431</c:v>
                </c:pt>
                <c:pt idx="315">
                  <c:v>16.9374488591431</c:v>
                </c:pt>
                <c:pt idx="316">
                  <c:v>16.9374488591431</c:v>
                </c:pt>
                <c:pt idx="317">
                  <c:v>16.9374488591431</c:v>
                </c:pt>
                <c:pt idx="318">
                  <c:v>16.9374488591431</c:v>
                </c:pt>
                <c:pt idx="319">
                  <c:v>16.9374488591431</c:v>
                </c:pt>
                <c:pt idx="320">
                  <c:v>16.9374488591431</c:v>
                </c:pt>
                <c:pt idx="321">
                  <c:v>16.9374488591431</c:v>
                </c:pt>
                <c:pt idx="322">
                  <c:v>16.9374488591431</c:v>
                </c:pt>
                <c:pt idx="323">
                  <c:v>16.9374488591431</c:v>
                </c:pt>
                <c:pt idx="324">
                  <c:v>16.9374488591431</c:v>
                </c:pt>
                <c:pt idx="325">
                  <c:v>16.9374488591431</c:v>
                </c:pt>
                <c:pt idx="326">
                  <c:v>16.9374488591431</c:v>
                </c:pt>
                <c:pt idx="327">
                  <c:v>16.9374488591431</c:v>
                </c:pt>
                <c:pt idx="328">
                  <c:v>16.9374488591431</c:v>
                </c:pt>
                <c:pt idx="329">
                  <c:v>16.9374488591431</c:v>
                </c:pt>
                <c:pt idx="330">
                  <c:v>16.9374488591431</c:v>
                </c:pt>
                <c:pt idx="331">
                  <c:v>16.9374488591431</c:v>
                </c:pt>
                <c:pt idx="332">
                  <c:v>16.9374488591431</c:v>
                </c:pt>
                <c:pt idx="333">
                  <c:v>16.9374488591431</c:v>
                </c:pt>
                <c:pt idx="334">
                  <c:v>16.9374488591431</c:v>
                </c:pt>
                <c:pt idx="335">
                  <c:v>16.9374488591431</c:v>
                </c:pt>
                <c:pt idx="336">
                  <c:v>16.9374488591431</c:v>
                </c:pt>
                <c:pt idx="337">
                  <c:v>16.9374488591431</c:v>
                </c:pt>
                <c:pt idx="338">
                  <c:v>16.9374488591431</c:v>
                </c:pt>
                <c:pt idx="339">
                  <c:v>16.9374488591431</c:v>
                </c:pt>
                <c:pt idx="340">
                  <c:v>16.9374488591431</c:v>
                </c:pt>
                <c:pt idx="341">
                  <c:v>16.9374488591431</c:v>
                </c:pt>
                <c:pt idx="342">
                  <c:v>16.9374488591431</c:v>
                </c:pt>
                <c:pt idx="343">
                  <c:v>16.9374488591431</c:v>
                </c:pt>
                <c:pt idx="344">
                  <c:v>16.9374488591431</c:v>
                </c:pt>
                <c:pt idx="345">
                  <c:v>16.9374488591431</c:v>
                </c:pt>
                <c:pt idx="346">
                  <c:v>16.9374488591431</c:v>
                </c:pt>
                <c:pt idx="347">
                  <c:v>16.9374488591431</c:v>
                </c:pt>
                <c:pt idx="348">
                  <c:v>16.9374488591431</c:v>
                </c:pt>
                <c:pt idx="349">
                  <c:v>16.9374488591431</c:v>
                </c:pt>
                <c:pt idx="350">
                  <c:v>16.9374488591431</c:v>
                </c:pt>
                <c:pt idx="351">
                  <c:v>16.9374488591431</c:v>
                </c:pt>
                <c:pt idx="352">
                  <c:v>16.9374488591431</c:v>
                </c:pt>
                <c:pt idx="353">
                  <c:v>16.9374488591431</c:v>
                </c:pt>
                <c:pt idx="354">
                  <c:v>16.9374488591431</c:v>
                </c:pt>
                <c:pt idx="355">
                  <c:v>16.9374488591431</c:v>
                </c:pt>
                <c:pt idx="356">
                  <c:v>16.9374488591431</c:v>
                </c:pt>
                <c:pt idx="357">
                  <c:v>16.9374488591431</c:v>
                </c:pt>
                <c:pt idx="358">
                  <c:v>16.9374488591431</c:v>
                </c:pt>
                <c:pt idx="359">
                  <c:v>16.9374488591431</c:v>
                </c:pt>
                <c:pt idx="360">
                  <c:v>16.9374488591431</c:v>
                </c:pt>
                <c:pt idx="361">
                  <c:v>16.9374488591431</c:v>
                </c:pt>
                <c:pt idx="362">
                  <c:v>16.9374488591431</c:v>
                </c:pt>
                <c:pt idx="363">
                  <c:v>16.9374488591431</c:v>
                </c:pt>
                <c:pt idx="364">
                  <c:v>16.9374488591431</c:v>
                </c:pt>
                <c:pt idx="365">
                  <c:v>16.9374488591431</c:v>
                </c:pt>
                <c:pt idx="366">
                  <c:v>16.9374488591431</c:v>
                </c:pt>
                <c:pt idx="367">
                  <c:v>16.9374488591431</c:v>
                </c:pt>
                <c:pt idx="368">
                  <c:v>16.9374488591431</c:v>
                </c:pt>
                <c:pt idx="369">
                  <c:v>16.9374488591431</c:v>
                </c:pt>
                <c:pt idx="370">
                  <c:v>16.9374488591431</c:v>
                </c:pt>
                <c:pt idx="371">
                  <c:v>16.9374488591431</c:v>
                </c:pt>
                <c:pt idx="372">
                  <c:v>16.9374488591431</c:v>
                </c:pt>
                <c:pt idx="373">
                  <c:v>16.9374488591431</c:v>
                </c:pt>
                <c:pt idx="374">
                  <c:v>16.9374488591431</c:v>
                </c:pt>
                <c:pt idx="375">
                  <c:v>16.9374488591431</c:v>
                </c:pt>
                <c:pt idx="376">
                  <c:v>16.9374488591431</c:v>
                </c:pt>
                <c:pt idx="377">
                  <c:v>16.9374488591431</c:v>
                </c:pt>
                <c:pt idx="378">
                  <c:v>16.9374488591431</c:v>
                </c:pt>
                <c:pt idx="379">
                  <c:v>16.9374488591431</c:v>
                </c:pt>
                <c:pt idx="380">
                  <c:v>16.9374488591431</c:v>
                </c:pt>
                <c:pt idx="381">
                  <c:v>16.9374488591431</c:v>
                </c:pt>
                <c:pt idx="382">
                  <c:v>16.9374488591431</c:v>
                </c:pt>
                <c:pt idx="383">
                  <c:v>16.9374488591431</c:v>
                </c:pt>
                <c:pt idx="384">
                  <c:v>16.9374488591431</c:v>
                </c:pt>
                <c:pt idx="385">
                  <c:v>16.9374488591431</c:v>
                </c:pt>
                <c:pt idx="386">
                  <c:v>16.9374488591431</c:v>
                </c:pt>
                <c:pt idx="387">
                  <c:v>16.9374488591431</c:v>
                </c:pt>
                <c:pt idx="388">
                  <c:v>16.9374488591431</c:v>
                </c:pt>
                <c:pt idx="389">
                  <c:v>16.9374488591431</c:v>
                </c:pt>
                <c:pt idx="390">
                  <c:v>16.9374488591431</c:v>
                </c:pt>
                <c:pt idx="391">
                  <c:v>16.9374488591431</c:v>
                </c:pt>
                <c:pt idx="392">
                  <c:v>16.9374488591431</c:v>
                </c:pt>
                <c:pt idx="393">
                  <c:v>16.9374488591431</c:v>
                </c:pt>
                <c:pt idx="394">
                  <c:v>16.9374488591431</c:v>
                </c:pt>
                <c:pt idx="395">
                  <c:v>16.9374488591431</c:v>
                </c:pt>
                <c:pt idx="396">
                  <c:v>16.9374488591431</c:v>
                </c:pt>
                <c:pt idx="397">
                  <c:v>16.9374488591431</c:v>
                </c:pt>
                <c:pt idx="398">
                  <c:v>16.9374488591431</c:v>
                </c:pt>
                <c:pt idx="399">
                  <c:v>16.9374488591431</c:v>
                </c:pt>
                <c:pt idx="400">
                  <c:v>16.9374488591431</c:v>
                </c:pt>
                <c:pt idx="401">
                  <c:v>16.9374488591431</c:v>
                </c:pt>
                <c:pt idx="402">
                  <c:v>16.9374488591431</c:v>
                </c:pt>
                <c:pt idx="403">
                  <c:v>16.9374488591431</c:v>
                </c:pt>
                <c:pt idx="404">
                  <c:v>16.9374488591431</c:v>
                </c:pt>
                <c:pt idx="405">
                  <c:v>16.9374488591431</c:v>
                </c:pt>
                <c:pt idx="406">
                  <c:v>16.9374488591431</c:v>
                </c:pt>
                <c:pt idx="407">
                  <c:v>16.9374488591431</c:v>
                </c:pt>
                <c:pt idx="408">
                  <c:v>16.9374488591431</c:v>
                </c:pt>
                <c:pt idx="409">
                  <c:v>16.9374488591431</c:v>
                </c:pt>
                <c:pt idx="410">
                  <c:v>16.9374488591431</c:v>
                </c:pt>
                <c:pt idx="411">
                  <c:v>16.9374488591431</c:v>
                </c:pt>
                <c:pt idx="412">
                  <c:v>16.9374488591431</c:v>
                </c:pt>
                <c:pt idx="413">
                  <c:v>16.9374488591431</c:v>
                </c:pt>
                <c:pt idx="414">
                  <c:v>16.9374488591431</c:v>
                </c:pt>
                <c:pt idx="415">
                  <c:v>16.9374488591431</c:v>
                </c:pt>
                <c:pt idx="416">
                  <c:v>16.9374488591431</c:v>
                </c:pt>
                <c:pt idx="417">
                  <c:v>16.9374488591431</c:v>
                </c:pt>
                <c:pt idx="418">
                  <c:v>16.9374488591431</c:v>
                </c:pt>
                <c:pt idx="419">
                  <c:v>16.9374488591431</c:v>
                </c:pt>
                <c:pt idx="420">
                  <c:v>16.9374488591431</c:v>
                </c:pt>
                <c:pt idx="421">
                  <c:v>16.9374488591431</c:v>
                </c:pt>
                <c:pt idx="422">
                  <c:v>16.9374488591431</c:v>
                </c:pt>
                <c:pt idx="423">
                  <c:v>16.9374488591431</c:v>
                </c:pt>
                <c:pt idx="424">
                  <c:v>16.9374488591431</c:v>
                </c:pt>
                <c:pt idx="425">
                  <c:v>16.9374488591431</c:v>
                </c:pt>
                <c:pt idx="426">
                  <c:v>16.9374488591431</c:v>
                </c:pt>
                <c:pt idx="427">
                  <c:v>16.9374488591431</c:v>
                </c:pt>
                <c:pt idx="428">
                  <c:v>16.9374488591431</c:v>
                </c:pt>
                <c:pt idx="429">
                  <c:v>16.9374488591431</c:v>
                </c:pt>
                <c:pt idx="430">
                  <c:v>16.9374488591431</c:v>
                </c:pt>
                <c:pt idx="431">
                  <c:v>16.9374488591431</c:v>
                </c:pt>
                <c:pt idx="432">
                  <c:v>16.9374488591431</c:v>
                </c:pt>
                <c:pt idx="433">
                  <c:v>16.9374488591431</c:v>
                </c:pt>
                <c:pt idx="434">
                  <c:v>16.9374488591431</c:v>
                </c:pt>
                <c:pt idx="435">
                  <c:v>16.9374488591431</c:v>
                </c:pt>
                <c:pt idx="436">
                  <c:v>16.9374488591431</c:v>
                </c:pt>
                <c:pt idx="437">
                  <c:v>16.9374488591431</c:v>
                </c:pt>
                <c:pt idx="438">
                  <c:v>16.9374488591431</c:v>
                </c:pt>
                <c:pt idx="439">
                  <c:v>16.9374488591431</c:v>
                </c:pt>
                <c:pt idx="440">
                  <c:v>16.9374488591431</c:v>
                </c:pt>
                <c:pt idx="441">
                  <c:v>16.9374488591431</c:v>
                </c:pt>
                <c:pt idx="442">
                  <c:v>16.9374488591431</c:v>
                </c:pt>
                <c:pt idx="443">
                  <c:v>16.9374488591431</c:v>
                </c:pt>
                <c:pt idx="444">
                  <c:v>16.9374488591431</c:v>
                </c:pt>
                <c:pt idx="445">
                  <c:v>16.9374488591431</c:v>
                </c:pt>
                <c:pt idx="446">
                  <c:v>16.9374488591431</c:v>
                </c:pt>
                <c:pt idx="447">
                  <c:v>16.9374488591431</c:v>
                </c:pt>
                <c:pt idx="448">
                  <c:v>16.9374488591431</c:v>
                </c:pt>
                <c:pt idx="449">
                  <c:v>16.9374488591431</c:v>
                </c:pt>
                <c:pt idx="450">
                  <c:v>16.9374488591431</c:v>
                </c:pt>
                <c:pt idx="451">
                  <c:v>16.9374488591431</c:v>
                </c:pt>
                <c:pt idx="452">
                  <c:v>16.9374488591431</c:v>
                </c:pt>
                <c:pt idx="453">
                  <c:v>16.9374488591431</c:v>
                </c:pt>
                <c:pt idx="454">
                  <c:v>16.9374488591431</c:v>
                </c:pt>
                <c:pt idx="455">
                  <c:v>16.9374488591431</c:v>
                </c:pt>
                <c:pt idx="456">
                  <c:v>16.9374488591431</c:v>
                </c:pt>
                <c:pt idx="457">
                  <c:v>16.9374488591431</c:v>
                </c:pt>
                <c:pt idx="458">
                  <c:v>16.9374488591431</c:v>
                </c:pt>
                <c:pt idx="459">
                  <c:v>16.9374488591431</c:v>
                </c:pt>
                <c:pt idx="460">
                  <c:v>16.9374488591431</c:v>
                </c:pt>
                <c:pt idx="461">
                  <c:v>16.9374488591431</c:v>
                </c:pt>
                <c:pt idx="462">
                  <c:v>16.9374488591431</c:v>
                </c:pt>
                <c:pt idx="463">
                  <c:v>16.9374488591431</c:v>
                </c:pt>
                <c:pt idx="464">
                  <c:v>16.9374488591431</c:v>
                </c:pt>
                <c:pt idx="465">
                  <c:v>16.9374488591431</c:v>
                </c:pt>
                <c:pt idx="466">
                  <c:v>16.9374488591431</c:v>
                </c:pt>
                <c:pt idx="467">
                  <c:v>16.9374488591431</c:v>
                </c:pt>
                <c:pt idx="468">
                  <c:v>16.9374488591431</c:v>
                </c:pt>
                <c:pt idx="469">
                  <c:v>16.9374488591431</c:v>
                </c:pt>
                <c:pt idx="470">
                  <c:v>16.9374488591431</c:v>
                </c:pt>
                <c:pt idx="471">
                  <c:v>16.9374488591431</c:v>
                </c:pt>
                <c:pt idx="472">
                  <c:v>16.9374488591431</c:v>
                </c:pt>
                <c:pt idx="473">
                  <c:v>16.9374488591431</c:v>
                </c:pt>
                <c:pt idx="474">
                  <c:v>16.9374488591431</c:v>
                </c:pt>
                <c:pt idx="475">
                  <c:v>16.9374488591431</c:v>
                </c:pt>
                <c:pt idx="476">
                  <c:v>16.9374488591431</c:v>
                </c:pt>
                <c:pt idx="477">
                  <c:v>16.9374488591431</c:v>
                </c:pt>
                <c:pt idx="478">
                  <c:v>16.9374488591431</c:v>
                </c:pt>
                <c:pt idx="479">
                  <c:v>16.9374488591431</c:v>
                </c:pt>
                <c:pt idx="480">
                  <c:v>16.9374488591431</c:v>
                </c:pt>
                <c:pt idx="481">
                  <c:v>16.9374488591431</c:v>
                </c:pt>
                <c:pt idx="482">
                  <c:v>16.9374488591431</c:v>
                </c:pt>
                <c:pt idx="483">
                  <c:v>16.9374488591431</c:v>
                </c:pt>
                <c:pt idx="484">
                  <c:v>16.9374488591431</c:v>
                </c:pt>
                <c:pt idx="485">
                  <c:v>16.9374488591431</c:v>
                </c:pt>
                <c:pt idx="486">
                  <c:v>16.9374488591431</c:v>
                </c:pt>
                <c:pt idx="487">
                  <c:v>16.9374488591431</c:v>
                </c:pt>
                <c:pt idx="488">
                  <c:v>16.9374488591431</c:v>
                </c:pt>
                <c:pt idx="489">
                  <c:v>16.9374488591431</c:v>
                </c:pt>
                <c:pt idx="490">
                  <c:v>16.9374488591431</c:v>
                </c:pt>
                <c:pt idx="491">
                  <c:v>16.9374488591431</c:v>
                </c:pt>
                <c:pt idx="492">
                  <c:v>16.9374488591431</c:v>
                </c:pt>
                <c:pt idx="493">
                  <c:v>16.9374488591431</c:v>
                </c:pt>
                <c:pt idx="494">
                  <c:v>16.9374488591431</c:v>
                </c:pt>
                <c:pt idx="495">
                  <c:v>16.9374488591431</c:v>
                </c:pt>
                <c:pt idx="496">
                  <c:v>16.9374488591431</c:v>
                </c:pt>
                <c:pt idx="497">
                  <c:v>16.9374488591431</c:v>
                </c:pt>
                <c:pt idx="498">
                  <c:v>16.9374488591431</c:v>
                </c:pt>
                <c:pt idx="499">
                  <c:v>16.9374488591431</c:v>
                </c:pt>
                <c:pt idx="500">
                  <c:v>16.9374488591431</c:v>
                </c:pt>
                <c:pt idx="501">
                  <c:v>16.9374488591431</c:v>
                </c:pt>
                <c:pt idx="502">
                  <c:v>16.9374488591431</c:v>
                </c:pt>
                <c:pt idx="503">
                  <c:v>16.9374488591431</c:v>
                </c:pt>
                <c:pt idx="504">
                  <c:v>16.9374488591431</c:v>
                </c:pt>
                <c:pt idx="505">
                  <c:v>16.9374488591431</c:v>
                </c:pt>
                <c:pt idx="506">
                  <c:v>16.9374488591431</c:v>
                </c:pt>
                <c:pt idx="507">
                  <c:v>16.9374488591431</c:v>
                </c:pt>
                <c:pt idx="508">
                  <c:v>16.9374488591431</c:v>
                </c:pt>
                <c:pt idx="509">
                  <c:v>16.9374488591431</c:v>
                </c:pt>
                <c:pt idx="510">
                  <c:v>16.9374488591431</c:v>
                </c:pt>
                <c:pt idx="511">
                  <c:v>16.9374488591431</c:v>
                </c:pt>
                <c:pt idx="512">
                  <c:v>16.9374488591431</c:v>
                </c:pt>
                <c:pt idx="513">
                  <c:v>16.9374488591431</c:v>
                </c:pt>
                <c:pt idx="514">
                  <c:v>16.9374488591431</c:v>
                </c:pt>
                <c:pt idx="515">
                  <c:v>16.9374488591431</c:v>
                </c:pt>
                <c:pt idx="516">
                  <c:v>16.9374488591431</c:v>
                </c:pt>
                <c:pt idx="517">
                  <c:v>16.9374488591431</c:v>
                </c:pt>
                <c:pt idx="518">
                  <c:v>16.9374488591431</c:v>
                </c:pt>
                <c:pt idx="519">
                  <c:v>16.9374488591431</c:v>
                </c:pt>
                <c:pt idx="520">
                  <c:v>16.9374488591431</c:v>
                </c:pt>
                <c:pt idx="521">
                  <c:v>16.9374488591431</c:v>
                </c:pt>
                <c:pt idx="522">
                  <c:v>16.9374488591431</c:v>
                </c:pt>
                <c:pt idx="523">
                  <c:v>16.9374488591431</c:v>
                </c:pt>
                <c:pt idx="524">
                  <c:v>16.9374488591431</c:v>
                </c:pt>
                <c:pt idx="525">
                  <c:v>16.9374488591431</c:v>
                </c:pt>
                <c:pt idx="526">
                  <c:v>16.9374488591431</c:v>
                </c:pt>
                <c:pt idx="527">
                  <c:v>16.9374488591431</c:v>
                </c:pt>
                <c:pt idx="528">
                  <c:v>16.9374488591431</c:v>
                </c:pt>
                <c:pt idx="529">
                  <c:v>16.9374488591431</c:v>
                </c:pt>
                <c:pt idx="530">
                  <c:v>16.9374488591431</c:v>
                </c:pt>
                <c:pt idx="531">
                  <c:v>16.9374488591431</c:v>
                </c:pt>
                <c:pt idx="532">
                  <c:v>16.9374488591431</c:v>
                </c:pt>
                <c:pt idx="533">
                  <c:v>16.9374488591431</c:v>
                </c:pt>
                <c:pt idx="534">
                  <c:v>16.9374488591431</c:v>
                </c:pt>
                <c:pt idx="535">
                  <c:v>16.9374488591431</c:v>
                </c:pt>
                <c:pt idx="536">
                  <c:v>16.9374488591431</c:v>
                </c:pt>
                <c:pt idx="537">
                  <c:v>16.9374488591431</c:v>
                </c:pt>
                <c:pt idx="538">
                  <c:v>16.9374488591431</c:v>
                </c:pt>
                <c:pt idx="539">
                  <c:v>16.9374488591431</c:v>
                </c:pt>
                <c:pt idx="540">
                  <c:v>16.9374488591431</c:v>
                </c:pt>
                <c:pt idx="541">
                  <c:v>16.9374488591431</c:v>
                </c:pt>
                <c:pt idx="542">
                  <c:v>16.9374488591431</c:v>
                </c:pt>
                <c:pt idx="543">
                  <c:v>16.9374488591431</c:v>
                </c:pt>
                <c:pt idx="544">
                  <c:v>16.9374488591431</c:v>
                </c:pt>
                <c:pt idx="545">
                  <c:v>16.9374488591431</c:v>
                </c:pt>
                <c:pt idx="546">
                  <c:v>16.9374488591431</c:v>
                </c:pt>
                <c:pt idx="547">
                  <c:v>16.9374488591431</c:v>
                </c:pt>
                <c:pt idx="548">
                  <c:v>16.9374488591431</c:v>
                </c:pt>
                <c:pt idx="549">
                  <c:v>16.9374488591431</c:v>
                </c:pt>
                <c:pt idx="550">
                  <c:v>16.9374488591431</c:v>
                </c:pt>
                <c:pt idx="551">
                  <c:v>16.9374488591431</c:v>
                </c:pt>
                <c:pt idx="552">
                  <c:v>16.9374488591431</c:v>
                </c:pt>
                <c:pt idx="553">
                  <c:v>16.9374488591431</c:v>
                </c:pt>
                <c:pt idx="554">
                  <c:v>16.9374488591431</c:v>
                </c:pt>
                <c:pt idx="555">
                  <c:v>16.9374488591431</c:v>
                </c:pt>
                <c:pt idx="556">
                  <c:v>16.9374488591431</c:v>
                </c:pt>
                <c:pt idx="557">
                  <c:v>16.9374488591431</c:v>
                </c:pt>
                <c:pt idx="558">
                  <c:v>16.9374488591431</c:v>
                </c:pt>
                <c:pt idx="559">
                  <c:v>16.9374488591431</c:v>
                </c:pt>
                <c:pt idx="560">
                  <c:v>16.9374488591431</c:v>
                </c:pt>
                <c:pt idx="561">
                  <c:v>16.9374488591431</c:v>
                </c:pt>
                <c:pt idx="562">
                  <c:v>16.9374488591431</c:v>
                </c:pt>
                <c:pt idx="563">
                  <c:v>16.9374488591431</c:v>
                </c:pt>
                <c:pt idx="564">
                  <c:v>16.9374488591431</c:v>
                </c:pt>
                <c:pt idx="565">
                  <c:v>16.9374488591431</c:v>
                </c:pt>
                <c:pt idx="566">
                  <c:v>16.9374488591431</c:v>
                </c:pt>
                <c:pt idx="567">
                  <c:v>16.9374488591431</c:v>
                </c:pt>
                <c:pt idx="568">
                  <c:v>16.9374488591431</c:v>
                </c:pt>
                <c:pt idx="569">
                  <c:v>16.9374488591431</c:v>
                </c:pt>
                <c:pt idx="570">
                  <c:v>16.9374488591431</c:v>
                </c:pt>
                <c:pt idx="571">
                  <c:v>16.9374488591431</c:v>
                </c:pt>
                <c:pt idx="572">
                  <c:v>16.9374488591431</c:v>
                </c:pt>
                <c:pt idx="573">
                  <c:v>16.9374488591431</c:v>
                </c:pt>
                <c:pt idx="574">
                  <c:v>16.9374488591431</c:v>
                </c:pt>
                <c:pt idx="575">
                  <c:v>16.9374488591431</c:v>
                </c:pt>
                <c:pt idx="576">
                  <c:v>16.9374488591431</c:v>
                </c:pt>
                <c:pt idx="577">
                  <c:v>16.9374488591431</c:v>
                </c:pt>
                <c:pt idx="578">
                  <c:v>16.9374488591431</c:v>
                </c:pt>
                <c:pt idx="579">
                  <c:v>16.9374488591431</c:v>
                </c:pt>
                <c:pt idx="580">
                  <c:v>16.9374488591431</c:v>
                </c:pt>
                <c:pt idx="581">
                  <c:v>16.9374488591431</c:v>
                </c:pt>
                <c:pt idx="582">
                  <c:v>16.9374488591431</c:v>
                </c:pt>
                <c:pt idx="583">
                  <c:v>16.9374488591431</c:v>
                </c:pt>
                <c:pt idx="584">
                  <c:v>16.9374488591431</c:v>
                </c:pt>
                <c:pt idx="585">
                  <c:v>16.9374488591431</c:v>
                </c:pt>
                <c:pt idx="586">
                  <c:v>16.9374488591431</c:v>
                </c:pt>
                <c:pt idx="587">
                  <c:v>16.9374488591431</c:v>
                </c:pt>
                <c:pt idx="588">
                  <c:v>16.9374488591431</c:v>
                </c:pt>
                <c:pt idx="589">
                  <c:v>16.9374488591431</c:v>
                </c:pt>
                <c:pt idx="590">
                  <c:v>16.9374488591431</c:v>
                </c:pt>
                <c:pt idx="591">
                  <c:v>16.9374488591431</c:v>
                </c:pt>
                <c:pt idx="592">
                  <c:v>16.9374488591431</c:v>
                </c:pt>
                <c:pt idx="593">
                  <c:v>16.9374488591431</c:v>
                </c:pt>
                <c:pt idx="594">
                  <c:v>16.9374488591431</c:v>
                </c:pt>
                <c:pt idx="595">
                  <c:v>16.9374488591431</c:v>
                </c:pt>
                <c:pt idx="596">
                  <c:v>16.9374488591431</c:v>
                </c:pt>
                <c:pt idx="597">
                  <c:v>16.9374488591431</c:v>
                </c:pt>
                <c:pt idx="598">
                  <c:v>16.9374488591431</c:v>
                </c:pt>
                <c:pt idx="599">
                  <c:v>16.9374488591431</c:v>
                </c:pt>
                <c:pt idx="600">
                  <c:v>16.9374488591431</c:v>
                </c:pt>
                <c:pt idx="601">
                  <c:v>16.9374488591431</c:v>
                </c:pt>
                <c:pt idx="602">
                  <c:v>16.9374488591431</c:v>
                </c:pt>
                <c:pt idx="603">
                  <c:v>16.9374488591431</c:v>
                </c:pt>
                <c:pt idx="604">
                  <c:v>16.9374488591431</c:v>
                </c:pt>
                <c:pt idx="605">
                  <c:v>16.9374488591431</c:v>
                </c:pt>
                <c:pt idx="606">
                  <c:v>16.9374488591431</c:v>
                </c:pt>
                <c:pt idx="607">
                  <c:v>16.9374488591431</c:v>
                </c:pt>
                <c:pt idx="608">
                  <c:v>16.9374488591431</c:v>
                </c:pt>
                <c:pt idx="609">
                  <c:v>16.9374488591431</c:v>
                </c:pt>
                <c:pt idx="610">
                  <c:v>16.9374488591431</c:v>
                </c:pt>
                <c:pt idx="611">
                  <c:v>16.9374488591431</c:v>
                </c:pt>
                <c:pt idx="612">
                  <c:v>16.9374488591431</c:v>
                </c:pt>
                <c:pt idx="613">
                  <c:v>16.9374488591431</c:v>
                </c:pt>
                <c:pt idx="614">
                  <c:v>16.9374488591431</c:v>
                </c:pt>
                <c:pt idx="615">
                  <c:v>16.9374488591431</c:v>
                </c:pt>
                <c:pt idx="616">
                  <c:v>16.9374488591431</c:v>
                </c:pt>
                <c:pt idx="617">
                  <c:v>16.9374488591431</c:v>
                </c:pt>
                <c:pt idx="618">
                  <c:v>16.9374488591431</c:v>
                </c:pt>
                <c:pt idx="619">
                  <c:v>16.9374488591431</c:v>
                </c:pt>
                <c:pt idx="620">
                  <c:v>16.9374488591431</c:v>
                </c:pt>
                <c:pt idx="621">
                  <c:v>16.9374488591431</c:v>
                </c:pt>
                <c:pt idx="622">
                  <c:v>16.9374488591431</c:v>
                </c:pt>
                <c:pt idx="623">
                  <c:v>16.9374488591431</c:v>
                </c:pt>
                <c:pt idx="624">
                  <c:v>16.9374488591431</c:v>
                </c:pt>
                <c:pt idx="625">
                  <c:v>16.9374488591431</c:v>
                </c:pt>
                <c:pt idx="626">
                  <c:v>16.9374488591431</c:v>
                </c:pt>
                <c:pt idx="627">
                  <c:v>16.9374488591431</c:v>
                </c:pt>
                <c:pt idx="628">
                  <c:v>16.9374488591431</c:v>
                </c:pt>
                <c:pt idx="629">
                  <c:v>16.9374488591431</c:v>
                </c:pt>
                <c:pt idx="630">
                  <c:v>16.9374488591431</c:v>
                </c:pt>
                <c:pt idx="631">
                  <c:v>16.9374488591431</c:v>
                </c:pt>
                <c:pt idx="632">
                  <c:v>16.9374488591431</c:v>
                </c:pt>
                <c:pt idx="633">
                  <c:v>16.9374488591431</c:v>
                </c:pt>
                <c:pt idx="634">
                  <c:v>16.9374488591431</c:v>
                </c:pt>
                <c:pt idx="635">
                  <c:v>16.9374488591431</c:v>
                </c:pt>
                <c:pt idx="636">
                  <c:v>16.9374488591431</c:v>
                </c:pt>
                <c:pt idx="637">
                  <c:v>16.9374488591431</c:v>
                </c:pt>
                <c:pt idx="638">
                  <c:v>16.9374488591431</c:v>
                </c:pt>
                <c:pt idx="639">
                  <c:v>16.9374488591431</c:v>
                </c:pt>
                <c:pt idx="640">
                  <c:v>16.9374488591431</c:v>
                </c:pt>
                <c:pt idx="641">
                  <c:v>16.9374488591431</c:v>
                </c:pt>
                <c:pt idx="642">
                  <c:v>16.9374488591431</c:v>
                </c:pt>
                <c:pt idx="643">
                  <c:v>16.9374488591431</c:v>
                </c:pt>
                <c:pt idx="644">
                  <c:v>16.9374488591431</c:v>
                </c:pt>
                <c:pt idx="645">
                  <c:v>16.9374488591431</c:v>
                </c:pt>
                <c:pt idx="646">
                  <c:v>16.9374488591431</c:v>
                </c:pt>
                <c:pt idx="647">
                  <c:v>16.9374488591431</c:v>
                </c:pt>
                <c:pt idx="648">
                  <c:v>16.9374488591431</c:v>
                </c:pt>
                <c:pt idx="649">
                  <c:v>16.9374488591431</c:v>
                </c:pt>
                <c:pt idx="650">
                  <c:v>16.9374488591431</c:v>
                </c:pt>
                <c:pt idx="651">
                  <c:v>16.9374488591431</c:v>
                </c:pt>
                <c:pt idx="652">
                  <c:v>16.9374488591431</c:v>
                </c:pt>
                <c:pt idx="653">
                  <c:v>16.9374488591431</c:v>
                </c:pt>
                <c:pt idx="654">
                  <c:v>16.9374488591431</c:v>
                </c:pt>
                <c:pt idx="655">
                  <c:v>16.9374488591431</c:v>
                </c:pt>
                <c:pt idx="656">
                  <c:v>16.9374488591431</c:v>
                </c:pt>
                <c:pt idx="657">
                  <c:v>16.9374488591431</c:v>
                </c:pt>
                <c:pt idx="658">
                  <c:v>16.9374488591431</c:v>
                </c:pt>
                <c:pt idx="659">
                  <c:v>16.9374488591431</c:v>
                </c:pt>
                <c:pt idx="660">
                  <c:v>16.9374488591431</c:v>
                </c:pt>
                <c:pt idx="661">
                  <c:v>16.9374488591431</c:v>
                </c:pt>
                <c:pt idx="662">
                  <c:v>16.9374488591431</c:v>
                </c:pt>
                <c:pt idx="663">
                  <c:v>16.9374488591431</c:v>
                </c:pt>
                <c:pt idx="664">
                  <c:v>16.9374488591431</c:v>
                </c:pt>
                <c:pt idx="665">
                  <c:v>16.9374488591431</c:v>
                </c:pt>
                <c:pt idx="666">
                  <c:v>16.9374488591431</c:v>
                </c:pt>
                <c:pt idx="667">
                  <c:v>16.9374488591431</c:v>
                </c:pt>
                <c:pt idx="668">
                  <c:v>16.9374488591431</c:v>
                </c:pt>
                <c:pt idx="669">
                  <c:v>16.9374488591431</c:v>
                </c:pt>
                <c:pt idx="670">
                  <c:v>16.9374488591431</c:v>
                </c:pt>
                <c:pt idx="671">
                  <c:v>16.9374488591431</c:v>
                </c:pt>
                <c:pt idx="672">
                  <c:v>16.9374488591431</c:v>
                </c:pt>
                <c:pt idx="673">
                  <c:v>16.9374488591431</c:v>
                </c:pt>
                <c:pt idx="674">
                  <c:v>16.9374488591431</c:v>
                </c:pt>
                <c:pt idx="675">
                  <c:v>16.9374488591431</c:v>
                </c:pt>
                <c:pt idx="676">
                  <c:v>16.9374488591431</c:v>
                </c:pt>
                <c:pt idx="677">
                  <c:v>16.9374488591431</c:v>
                </c:pt>
                <c:pt idx="678">
                  <c:v>16.9374488591431</c:v>
                </c:pt>
                <c:pt idx="679">
                  <c:v>16.9374488591431</c:v>
                </c:pt>
                <c:pt idx="680">
                  <c:v>16.9374488591431</c:v>
                </c:pt>
                <c:pt idx="681">
                  <c:v>16.9374488591431</c:v>
                </c:pt>
                <c:pt idx="682">
                  <c:v>16.9374488591431</c:v>
                </c:pt>
                <c:pt idx="683">
                  <c:v>16.9374488591431</c:v>
                </c:pt>
                <c:pt idx="684">
                  <c:v>16.9374488591431</c:v>
                </c:pt>
                <c:pt idx="685">
                  <c:v>16.9374488591431</c:v>
                </c:pt>
                <c:pt idx="686">
                  <c:v>16.9374488591431</c:v>
                </c:pt>
                <c:pt idx="687">
                  <c:v>16.9374488591431</c:v>
                </c:pt>
                <c:pt idx="688">
                  <c:v>16.9374488591431</c:v>
                </c:pt>
                <c:pt idx="689">
                  <c:v>16.9374488591431</c:v>
                </c:pt>
                <c:pt idx="690">
                  <c:v>16.9374488591431</c:v>
                </c:pt>
                <c:pt idx="691">
                  <c:v>16.9374488591431</c:v>
                </c:pt>
                <c:pt idx="692">
                  <c:v>16.9374488591431</c:v>
                </c:pt>
                <c:pt idx="693">
                  <c:v>16.9374488591431</c:v>
                </c:pt>
                <c:pt idx="694">
                  <c:v>16.9374488591431</c:v>
                </c:pt>
                <c:pt idx="695">
                  <c:v>16.9374488591431</c:v>
                </c:pt>
                <c:pt idx="696">
                  <c:v>16.9374488591431</c:v>
                </c:pt>
                <c:pt idx="697">
                  <c:v>16.9374488591431</c:v>
                </c:pt>
                <c:pt idx="698">
                  <c:v>16.9374488591431</c:v>
                </c:pt>
                <c:pt idx="699">
                  <c:v>16.9374488591431</c:v>
                </c:pt>
                <c:pt idx="700">
                  <c:v>16.9374488591431</c:v>
                </c:pt>
                <c:pt idx="701">
                  <c:v>16.9374488591431</c:v>
                </c:pt>
                <c:pt idx="702">
                  <c:v>16.9374488591431</c:v>
                </c:pt>
                <c:pt idx="703">
                  <c:v>16.9374488591431</c:v>
                </c:pt>
                <c:pt idx="704">
                  <c:v>16.9374488591431</c:v>
                </c:pt>
                <c:pt idx="705">
                  <c:v>16.9374488591431</c:v>
                </c:pt>
                <c:pt idx="706">
                  <c:v>16.9374488591431</c:v>
                </c:pt>
                <c:pt idx="707">
                  <c:v>16.9374488591431</c:v>
                </c:pt>
                <c:pt idx="708">
                  <c:v>16.9374488591431</c:v>
                </c:pt>
                <c:pt idx="709">
                  <c:v>16.9374488591431</c:v>
                </c:pt>
                <c:pt idx="710">
                  <c:v>16.9374488591431</c:v>
                </c:pt>
                <c:pt idx="711">
                  <c:v>16.9374488591431</c:v>
                </c:pt>
                <c:pt idx="712">
                  <c:v>16.9374488591431</c:v>
                </c:pt>
                <c:pt idx="713">
                  <c:v>16.9374488591431</c:v>
                </c:pt>
                <c:pt idx="714">
                  <c:v>16.9374488591431</c:v>
                </c:pt>
                <c:pt idx="715">
                  <c:v>16.9374488591431</c:v>
                </c:pt>
                <c:pt idx="716">
                  <c:v>16.9374488591431</c:v>
                </c:pt>
                <c:pt idx="717">
                  <c:v>16.9374488591431</c:v>
                </c:pt>
                <c:pt idx="718">
                  <c:v>16.9374488591431</c:v>
                </c:pt>
                <c:pt idx="719">
                  <c:v>16.9374488591431</c:v>
                </c:pt>
                <c:pt idx="720">
                  <c:v>16.9374488591431</c:v>
                </c:pt>
                <c:pt idx="721">
                  <c:v>16.9374488591431</c:v>
                </c:pt>
                <c:pt idx="722">
                  <c:v>16.9374488591431</c:v>
                </c:pt>
                <c:pt idx="723">
                  <c:v>16.9374488591431</c:v>
                </c:pt>
                <c:pt idx="724">
                  <c:v>16.9374488591431</c:v>
                </c:pt>
                <c:pt idx="725">
                  <c:v>16.9374488591431</c:v>
                </c:pt>
                <c:pt idx="726">
                  <c:v>16.9374488591431</c:v>
                </c:pt>
                <c:pt idx="727">
                  <c:v>16.9374488591431</c:v>
                </c:pt>
                <c:pt idx="728">
                  <c:v>16.9374488591431</c:v>
                </c:pt>
                <c:pt idx="729">
                  <c:v>16.9374488591431</c:v>
                </c:pt>
                <c:pt idx="730">
                  <c:v>16.9374488591431</c:v>
                </c:pt>
                <c:pt idx="731">
                  <c:v>16.9374488591431</c:v>
                </c:pt>
                <c:pt idx="732">
                  <c:v>16.9374488591431</c:v>
                </c:pt>
                <c:pt idx="733">
                  <c:v>16.9374488591431</c:v>
                </c:pt>
                <c:pt idx="734">
                  <c:v>16.9374488591431</c:v>
                </c:pt>
                <c:pt idx="735">
                  <c:v>16.9374488591431</c:v>
                </c:pt>
                <c:pt idx="736">
                  <c:v>16.9374488591431</c:v>
                </c:pt>
                <c:pt idx="737">
                  <c:v>16.9374488591431</c:v>
                </c:pt>
                <c:pt idx="738">
                  <c:v>16.9374488591431</c:v>
                </c:pt>
                <c:pt idx="739">
                  <c:v>16.9374488591431</c:v>
                </c:pt>
                <c:pt idx="740">
                  <c:v>16.9374488591431</c:v>
                </c:pt>
                <c:pt idx="741">
                  <c:v>16.9374488591431</c:v>
                </c:pt>
                <c:pt idx="742">
                  <c:v>16.9374488591431</c:v>
                </c:pt>
                <c:pt idx="743">
                  <c:v>16.9374488591431</c:v>
                </c:pt>
                <c:pt idx="744">
                  <c:v>16.9374488591431</c:v>
                </c:pt>
                <c:pt idx="745">
                  <c:v>16.9374488591431</c:v>
                </c:pt>
                <c:pt idx="746">
                  <c:v>16.9374488591431</c:v>
                </c:pt>
                <c:pt idx="747">
                  <c:v>16.9374488591431</c:v>
                </c:pt>
                <c:pt idx="748">
                  <c:v>16.9374488591431</c:v>
                </c:pt>
                <c:pt idx="749">
                  <c:v>16.9374488591431</c:v>
                </c:pt>
                <c:pt idx="750">
                  <c:v>16.9374488591431</c:v>
                </c:pt>
                <c:pt idx="751">
                  <c:v>16.9374488591431</c:v>
                </c:pt>
                <c:pt idx="752">
                  <c:v>16.9374488591431</c:v>
                </c:pt>
                <c:pt idx="753">
                  <c:v>16.9374488591431</c:v>
                </c:pt>
                <c:pt idx="754">
                  <c:v>16.9374488591431</c:v>
                </c:pt>
                <c:pt idx="755">
                  <c:v>16.9374488591431</c:v>
                </c:pt>
                <c:pt idx="756">
                  <c:v>16.9374488591431</c:v>
                </c:pt>
                <c:pt idx="757">
                  <c:v>16.9374488591431</c:v>
                </c:pt>
                <c:pt idx="758">
                  <c:v>16.9374488591431</c:v>
                </c:pt>
                <c:pt idx="759">
                  <c:v>16.9374488591431</c:v>
                </c:pt>
                <c:pt idx="760">
                  <c:v>16.9374488591431</c:v>
                </c:pt>
                <c:pt idx="761">
                  <c:v>16.9374488591431</c:v>
                </c:pt>
                <c:pt idx="762">
                  <c:v>16.9374488591431</c:v>
                </c:pt>
                <c:pt idx="763">
                  <c:v>16.9374488591431</c:v>
                </c:pt>
                <c:pt idx="764">
                  <c:v>16.9374488591431</c:v>
                </c:pt>
                <c:pt idx="765">
                  <c:v>16.9374488591431</c:v>
                </c:pt>
                <c:pt idx="766">
                  <c:v>16.9374488591431</c:v>
                </c:pt>
                <c:pt idx="767">
                  <c:v>16.9374488591431</c:v>
                </c:pt>
                <c:pt idx="768">
                  <c:v>16.9374488591431</c:v>
                </c:pt>
                <c:pt idx="769">
                  <c:v>16.9374488591431</c:v>
                </c:pt>
                <c:pt idx="770">
                  <c:v>16.9374488591431</c:v>
                </c:pt>
                <c:pt idx="771">
                  <c:v>16.9374488591431</c:v>
                </c:pt>
                <c:pt idx="772">
                  <c:v>16.9374488591431</c:v>
                </c:pt>
                <c:pt idx="773">
                  <c:v>16.9374488591431</c:v>
                </c:pt>
                <c:pt idx="774">
                  <c:v>16.9374488591431</c:v>
                </c:pt>
                <c:pt idx="775">
                  <c:v>16.9374488591431</c:v>
                </c:pt>
                <c:pt idx="776">
                  <c:v>16.9374488591431</c:v>
                </c:pt>
                <c:pt idx="777">
                  <c:v>16.9374488591431</c:v>
                </c:pt>
                <c:pt idx="778">
                  <c:v>16.9374488591431</c:v>
                </c:pt>
                <c:pt idx="779">
                  <c:v>16.9374488591431</c:v>
                </c:pt>
                <c:pt idx="780">
                  <c:v>16.9374488591431</c:v>
                </c:pt>
                <c:pt idx="781">
                  <c:v>16.9374488591431</c:v>
                </c:pt>
                <c:pt idx="782">
                  <c:v>16.9374488591431</c:v>
                </c:pt>
                <c:pt idx="783">
                  <c:v>16.9374488591431</c:v>
                </c:pt>
                <c:pt idx="784">
                  <c:v>16.9374488591431</c:v>
                </c:pt>
                <c:pt idx="785">
                  <c:v>16.9374488591431</c:v>
                </c:pt>
                <c:pt idx="786">
                  <c:v>16.9374488591431</c:v>
                </c:pt>
                <c:pt idx="787">
                  <c:v>16.9374488591431</c:v>
                </c:pt>
                <c:pt idx="788">
                  <c:v>16.9374488591431</c:v>
                </c:pt>
                <c:pt idx="789">
                  <c:v>16.9374488591431</c:v>
                </c:pt>
                <c:pt idx="790">
                  <c:v>16.9374488591431</c:v>
                </c:pt>
                <c:pt idx="791">
                  <c:v>16.9374488591431</c:v>
                </c:pt>
                <c:pt idx="792">
                  <c:v>16.9374488591431</c:v>
                </c:pt>
                <c:pt idx="793">
                  <c:v>16.9374488591431</c:v>
                </c:pt>
                <c:pt idx="794">
                  <c:v>16.9374488591431</c:v>
                </c:pt>
                <c:pt idx="795">
                  <c:v>16.9374488591431</c:v>
                </c:pt>
                <c:pt idx="796">
                  <c:v>16.9374488591431</c:v>
                </c:pt>
                <c:pt idx="797">
                  <c:v>16.9374488591431</c:v>
                </c:pt>
                <c:pt idx="798">
                  <c:v>16.9374488591431</c:v>
                </c:pt>
                <c:pt idx="799">
                  <c:v>16.9374488591431</c:v>
                </c:pt>
                <c:pt idx="800">
                  <c:v>16.9374488591431</c:v>
                </c:pt>
                <c:pt idx="801">
                  <c:v>16.9374488591431</c:v>
                </c:pt>
                <c:pt idx="802">
                  <c:v>16.9374488591431</c:v>
                </c:pt>
                <c:pt idx="803">
                  <c:v>16.9374488591431</c:v>
                </c:pt>
                <c:pt idx="804">
                  <c:v>16.9374488591431</c:v>
                </c:pt>
                <c:pt idx="805">
                  <c:v>16.9374488591431</c:v>
                </c:pt>
                <c:pt idx="806">
                  <c:v>16.9374488591431</c:v>
                </c:pt>
                <c:pt idx="807">
                  <c:v>16.9374488591431</c:v>
                </c:pt>
                <c:pt idx="808">
                  <c:v>16.9374488591431</c:v>
                </c:pt>
                <c:pt idx="809">
                  <c:v>16.9374488591431</c:v>
                </c:pt>
                <c:pt idx="810">
                  <c:v>16.9374488591431</c:v>
                </c:pt>
                <c:pt idx="811">
                  <c:v>16.9374488591431</c:v>
                </c:pt>
                <c:pt idx="812">
                  <c:v>16.9374488591431</c:v>
                </c:pt>
                <c:pt idx="813">
                  <c:v>16.9374488591431</c:v>
                </c:pt>
                <c:pt idx="814">
                  <c:v>16.9374488591431</c:v>
                </c:pt>
                <c:pt idx="815">
                  <c:v>16.9374488591431</c:v>
                </c:pt>
                <c:pt idx="816">
                  <c:v>16.9374488591431</c:v>
                </c:pt>
                <c:pt idx="817">
                  <c:v>16.9374488591431</c:v>
                </c:pt>
                <c:pt idx="818">
                  <c:v>16.9374488591431</c:v>
                </c:pt>
                <c:pt idx="819">
                  <c:v>16.9374488591431</c:v>
                </c:pt>
                <c:pt idx="820">
                  <c:v>16.9374488591431</c:v>
                </c:pt>
                <c:pt idx="821">
                  <c:v>16.9374488591431</c:v>
                </c:pt>
                <c:pt idx="822">
                  <c:v>16.9374488591431</c:v>
                </c:pt>
                <c:pt idx="823">
                  <c:v>16.9374488591431</c:v>
                </c:pt>
                <c:pt idx="824">
                  <c:v>16.9374488591431</c:v>
                </c:pt>
                <c:pt idx="825">
                  <c:v>16.9374488591431</c:v>
                </c:pt>
                <c:pt idx="826">
                  <c:v>16.9374488591431</c:v>
                </c:pt>
                <c:pt idx="827">
                  <c:v>16.9374488591431</c:v>
                </c:pt>
                <c:pt idx="828">
                  <c:v>16.9374488591431</c:v>
                </c:pt>
                <c:pt idx="829">
                  <c:v>16.9374488591431</c:v>
                </c:pt>
                <c:pt idx="830">
                  <c:v>16.9374488591431</c:v>
                </c:pt>
                <c:pt idx="831">
                  <c:v>16.9374488591431</c:v>
                </c:pt>
                <c:pt idx="832">
                  <c:v>16.9374488591431</c:v>
                </c:pt>
                <c:pt idx="833">
                  <c:v>16.9374488591431</c:v>
                </c:pt>
                <c:pt idx="834">
                  <c:v>16.9374488591431</c:v>
                </c:pt>
                <c:pt idx="835">
                  <c:v>16.9374488591431</c:v>
                </c:pt>
                <c:pt idx="836">
                  <c:v>16.9374488591431</c:v>
                </c:pt>
                <c:pt idx="837">
                  <c:v>16.9374488591431</c:v>
                </c:pt>
                <c:pt idx="838">
                  <c:v>16.9374488591431</c:v>
                </c:pt>
                <c:pt idx="839">
                  <c:v>16.9374488591431</c:v>
                </c:pt>
                <c:pt idx="840">
                  <c:v>16.9374488591431</c:v>
                </c:pt>
                <c:pt idx="841">
                  <c:v>16.9374488591431</c:v>
                </c:pt>
                <c:pt idx="842">
                  <c:v>16.9374488591431</c:v>
                </c:pt>
                <c:pt idx="843">
                  <c:v>16.9374488591431</c:v>
                </c:pt>
                <c:pt idx="844">
                  <c:v>16.9374488591431</c:v>
                </c:pt>
                <c:pt idx="845">
                  <c:v>16.9374488591431</c:v>
                </c:pt>
                <c:pt idx="846">
                  <c:v>16.9374488591431</c:v>
                </c:pt>
                <c:pt idx="847">
                  <c:v>16.9374488591431</c:v>
                </c:pt>
                <c:pt idx="848">
                  <c:v>16.9374488591431</c:v>
                </c:pt>
                <c:pt idx="849">
                  <c:v>16.9374488591431</c:v>
                </c:pt>
                <c:pt idx="850">
                  <c:v>16.9374488591431</c:v>
                </c:pt>
                <c:pt idx="851">
                  <c:v>16.9374488591431</c:v>
                </c:pt>
                <c:pt idx="852">
                  <c:v>16.9374488591431</c:v>
                </c:pt>
                <c:pt idx="853">
                  <c:v>16.9374488591431</c:v>
                </c:pt>
                <c:pt idx="854">
                  <c:v>16.9374488591431</c:v>
                </c:pt>
                <c:pt idx="855">
                  <c:v>16.9374488591431</c:v>
                </c:pt>
                <c:pt idx="856">
                  <c:v>16.9374488591431</c:v>
                </c:pt>
                <c:pt idx="857">
                  <c:v>16.9374488591431</c:v>
                </c:pt>
                <c:pt idx="858">
                  <c:v>16.9374488591431</c:v>
                </c:pt>
                <c:pt idx="859">
                  <c:v>16.9374488591431</c:v>
                </c:pt>
                <c:pt idx="860">
                  <c:v>16.9374488591431</c:v>
                </c:pt>
                <c:pt idx="861">
                  <c:v>16.9374488591431</c:v>
                </c:pt>
                <c:pt idx="862">
                  <c:v>16.9374488591431</c:v>
                </c:pt>
                <c:pt idx="863">
                  <c:v>16.9374488591431</c:v>
                </c:pt>
                <c:pt idx="864">
                  <c:v>16.9374488591431</c:v>
                </c:pt>
                <c:pt idx="865">
                  <c:v>16.9374488591431</c:v>
                </c:pt>
                <c:pt idx="866">
                  <c:v>16.9374488591431</c:v>
                </c:pt>
                <c:pt idx="867">
                  <c:v>16.9374488591431</c:v>
                </c:pt>
                <c:pt idx="868">
                  <c:v>16.9374488591431</c:v>
                </c:pt>
                <c:pt idx="869">
                  <c:v>16.9374488591431</c:v>
                </c:pt>
                <c:pt idx="870">
                  <c:v>16.9374488591431</c:v>
                </c:pt>
                <c:pt idx="871">
                  <c:v>16.9374488591431</c:v>
                </c:pt>
                <c:pt idx="872">
                  <c:v>16.9374488591431</c:v>
                </c:pt>
                <c:pt idx="873">
                  <c:v>16.9374488591431</c:v>
                </c:pt>
                <c:pt idx="874">
                  <c:v>16.9374488591431</c:v>
                </c:pt>
                <c:pt idx="875">
                  <c:v>16.9374488591431</c:v>
                </c:pt>
                <c:pt idx="876">
                  <c:v>16.9374488591431</c:v>
                </c:pt>
                <c:pt idx="877">
                  <c:v>16.9374488591431</c:v>
                </c:pt>
                <c:pt idx="878">
                  <c:v>16.9374488591431</c:v>
                </c:pt>
                <c:pt idx="879">
                  <c:v>16.9374488591431</c:v>
                </c:pt>
                <c:pt idx="880">
                  <c:v>16.9374488591431</c:v>
                </c:pt>
                <c:pt idx="881">
                  <c:v>16.9374488591431</c:v>
                </c:pt>
                <c:pt idx="882">
                  <c:v>16.9374488591431</c:v>
                </c:pt>
                <c:pt idx="883">
                  <c:v>16.9374488591431</c:v>
                </c:pt>
                <c:pt idx="884">
                  <c:v>16.9374488591431</c:v>
                </c:pt>
                <c:pt idx="885">
                  <c:v>16.9374488591431</c:v>
                </c:pt>
                <c:pt idx="886">
                  <c:v>16.9374488591431</c:v>
                </c:pt>
                <c:pt idx="887">
                  <c:v>16.9374488591431</c:v>
                </c:pt>
                <c:pt idx="888">
                  <c:v>16.9374488591431</c:v>
                </c:pt>
                <c:pt idx="889">
                  <c:v>16.9374488591431</c:v>
                </c:pt>
                <c:pt idx="890">
                  <c:v>16.9374488591431</c:v>
                </c:pt>
                <c:pt idx="891">
                  <c:v>16.9374488591431</c:v>
                </c:pt>
                <c:pt idx="892">
                  <c:v>16.9374488591431</c:v>
                </c:pt>
                <c:pt idx="893">
                  <c:v>16.9374488591431</c:v>
                </c:pt>
                <c:pt idx="894">
                  <c:v>16.9374488591431</c:v>
                </c:pt>
                <c:pt idx="895">
                  <c:v>16.9374488591431</c:v>
                </c:pt>
                <c:pt idx="896">
                  <c:v>16.9374488591431</c:v>
                </c:pt>
                <c:pt idx="897">
                  <c:v>16.9374488591431</c:v>
                </c:pt>
                <c:pt idx="898">
                  <c:v>16.9374488591431</c:v>
                </c:pt>
                <c:pt idx="899">
                  <c:v>16.9374488591431</c:v>
                </c:pt>
                <c:pt idx="900">
                  <c:v>16.9374488591431</c:v>
                </c:pt>
                <c:pt idx="901">
                  <c:v>16.9374488591431</c:v>
                </c:pt>
                <c:pt idx="902">
                  <c:v>16.9374488591431</c:v>
                </c:pt>
                <c:pt idx="903">
                  <c:v>16.9374488591431</c:v>
                </c:pt>
                <c:pt idx="904">
                  <c:v>16.9374488591431</c:v>
                </c:pt>
                <c:pt idx="905">
                  <c:v>16.9374488591431</c:v>
                </c:pt>
                <c:pt idx="906">
                  <c:v>16.9374488591431</c:v>
                </c:pt>
                <c:pt idx="907">
                  <c:v>16.9374488591431</c:v>
                </c:pt>
                <c:pt idx="908">
                  <c:v>16.9374488591431</c:v>
                </c:pt>
                <c:pt idx="909">
                  <c:v>16.9374488591431</c:v>
                </c:pt>
                <c:pt idx="910">
                  <c:v>16.9374488591431</c:v>
                </c:pt>
                <c:pt idx="911">
                  <c:v>16.9374488591431</c:v>
                </c:pt>
                <c:pt idx="912">
                  <c:v>16.9374488591431</c:v>
                </c:pt>
                <c:pt idx="913">
                  <c:v>16.9374488591431</c:v>
                </c:pt>
                <c:pt idx="914">
                  <c:v>16.9374488591431</c:v>
                </c:pt>
                <c:pt idx="915">
                  <c:v>16.9374488591431</c:v>
                </c:pt>
                <c:pt idx="916">
                  <c:v>16.9374488591431</c:v>
                </c:pt>
                <c:pt idx="917">
                  <c:v>16.9374488591431</c:v>
                </c:pt>
                <c:pt idx="918">
                  <c:v>16.9374488591431</c:v>
                </c:pt>
                <c:pt idx="919">
                  <c:v>16.9374488591431</c:v>
                </c:pt>
                <c:pt idx="920">
                  <c:v>16.9374488591431</c:v>
                </c:pt>
                <c:pt idx="921">
                  <c:v>16.9374488591431</c:v>
                </c:pt>
                <c:pt idx="922">
                  <c:v>16.9374488591431</c:v>
                </c:pt>
                <c:pt idx="923">
                  <c:v>16.9374488591431</c:v>
                </c:pt>
                <c:pt idx="924">
                  <c:v>16.9374488591431</c:v>
                </c:pt>
                <c:pt idx="925">
                  <c:v>16.9374488591431</c:v>
                </c:pt>
                <c:pt idx="926">
                  <c:v>16.9374488591431</c:v>
                </c:pt>
                <c:pt idx="927">
                  <c:v>16.9374488591431</c:v>
                </c:pt>
                <c:pt idx="928">
                  <c:v>16.9374488591431</c:v>
                </c:pt>
                <c:pt idx="929">
                  <c:v>16.9374488591431</c:v>
                </c:pt>
                <c:pt idx="930">
                  <c:v>16.9374488591431</c:v>
                </c:pt>
                <c:pt idx="931">
                  <c:v>16.9374488591431</c:v>
                </c:pt>
                <c:pt idx="932">
                  <c:v>16.9374488591431</c:v>
                </c:pt>
                <c:pt idx="933">
                  <c:v>16.9374488591431</c:v>
                </c:pt>
                <c:pt idx="934">
                  <c:v>16.9374488591431</c:v>
                </c:pt>
                <c:pt idx="935">
                  <c:v>16.9374488591431</c:v>
                </c:pt>
                <c:pt idx="936">
                  <c:v>16.9374488591431</c:v>
                </c:pt>
                <c:pt idx="937">
                  <c:v>16.9374488591431</c:v>
                </c:pt>
                <c:pt idx="938">
                  <c:v>16.9374488591431</c:v>
                </c:pt>
                <c:pt idx="939">
                  <c:v>16.9374488591431</c:v>
                </c:pt>
                <c:pt idx="940">
                  <c:v>16.9374488591431</c:v>
                </c:pt>
                <c:pt idx="941">
                  <c:v>16.9374488591431</c:v>
                </c:pt>
                <c:pt idx="942">
                  <c:v>16.9374488591431</c:v>
                </c:pt>
                <c:pt idx="943">
                  <c:v>16.9374488591431</c:v>
                </c:pt>
                <c:pt idx="944">
                  <c:v>16.9374488591431</c:v>
                </c:pt>
                <c:pt idx="945">
                  <c:v>16.9374488591431</c:v>
                </c:pt>
                <c:pt idx="946">
                  <c:v>16.9374488591431</c:v>
                </c:pt>
                <c:pt idx="947">
                  <c:v>16.9374488591431</c:v>
                </c:pt>
                <c:pt idx="948">
                  <c:v>16.9374488591431</c:v>
                </c:pt>
                <c:pt idx="949">
                  <c:v>16.9374488591431</c:v>
                </c:pt>
                <c:pt idx="950">
                  <c:v>16.9374488591431</c:v>
                </c:pt>
                <c:pt idx="951">
                  <c:v>16.9374488591431</c:v>
                </c:pt>
                <c:pt idx="952">
                  <c:v>16.9374488591431</c:v>
                </c:pt>
                <c:pt idx="953">
                  <c:v>16.9374488591431</c:v>
                </c:pt>
                <c:pt idx="954">
                  <c:v>16.9374488591431</c:v>
                </c:pt>
                <c:pt idx="955">
                  <c:v>16.9374488591431</c:v>
                </c:pt>
                <c:pt idx="956">
                  <c:v>16.9374488591431</c:v>
                </c:pt>
                <c:pt idx="957">
                  <c:v>16.9374488591431</c:v>
                </c:pt>
                <c:pt idx="958">
                  <c:v>16.9374488591431</c:v>
                </c:pt>
                <c:pt idx="959">
                  <c:v>16.9374488591431</c:v>
                </c:pt>
                <c:pt idx="960">
                  <c:v>16.9374488591431</c:v>
                </c:pt>
                <c:pt idx="961">
                  <c:v>16.9374488591431</c:v>
                </c:pt>
                <c:pt idx="962">
                  <c:v>16.9374488591431</c:v>
                </c:pt>
                <c:pt idx="963">
                  <c:v>16.9374488591431</c:v>
                </c:pt>
                <c:pt idx="964">
                  <c:v>16.9374488591431</c:v>
                </c:pt>
                <c:pt idx="965">
                  <c:v>16.9374488591431</c:v>
                </c:pt>
                <c:pt idx="966">
                  <c:v>16.9374488591431</c:v>
                </c:pt>
                <c:pt idx="967">
                  <c:v>16.9374488591431</c:v>
                </c:pt>
                <c:pt idx="968">
                  <c:v>16.9374488591431</c:v>
                </c:pt>
                <c:pt idx="969">
                  <c:v>16.9374488591431</c:v>
                </c:pt>
                <c:pt idx="970">
                  <c:v>16.9374488591431</c:v>
                </c:pt>
                <c:pt idx="971">
                  <c:v>16.9374488591431</c:v>
                </c:pt>
                <c:pt idx="972">
                  <c:v>16.9374488591431</c:v>
                </c:pt>
                <c:pt idx="973">
                  <c:v>16.9374488591431</c:v>
                </c:pt>
                <c:pt idx="974">
                  <c:v>16.9374488591431</c:v>
                </c:pt>
                <c:pt idx="975">
                  <c:v>16.9374488591431</c:v>
                </c:pt>
                <c:pt idx="976">
                  <c:v>16.9374488591431</c:v>
                </c:pt>
                <c:pt idx="977">
                  <c:v>16.9374488591431</c:v>
                </c:pt>
                <c:pt idx="978">
                  <c:v>16.9374488591431</c:v>
                </c:pt>
                <c:pt idx="979">
                  <c:v>16.9374488591431</c:v>
                </c:pt>
                <c:pt idx="980">
                  <c:v>16.9374488591431</c:v>
                </c:pt>
                <c:pt idx="981">
                  <c:v>16.9374488591431</c:v>
                </c:pt>
                <c:pt idx="982">
                  <c:v>16.9374488591431</c:v>
                </c:pt>
                <c:pt idx="983">
                  <c:v>16.9374488591431</c:v>
                </c:pt>
                <c:pt idx="984">
                  <c:v>16.9374488591431</c:v>
                </c:pt>
                <c:pt idx="985">
                  <c:v>16.9374488591431</c:v>
                </c:pt>
                <c:pt idx="986">
                  <c:v>16.9374488591431</c:v>
                </c:pt>
                <c:pt idx="987">
                  <c:v>16.9374488591431</c:v>
                </c:pt>
                <c:pt idx="988">
                  <c:v>16.9374488591431</c:v>
                </c:pt>
                <c:pt idx="989">
                  <c:v>16.9374488591431</c:v>
                </c:pt>
                <c:pt idx="990">
                  <c:v>16.9374488591431</c:v>
                </c:pt>
                <c:pt idx="991">
                  <c:v>16.9374488591431</c:v>
                </c:pt>
                <c:pt idx="992">
                  <c:v>16.9374488591431</c:v>
                </c:pt>
                <c:pt idx="993">
                  <c:v>16.9374488591431</c:v>
                </c:pt>
                <c:pt idx="994">
                  <c:v>16.9374488591431</c:v>
                </c:pt>
                <c:pt idx="995">
                  <c:v>16.9374488591431</c:v>
                </c:pt>
                <c:pt idx="996">
                  <c:v>16.9374488591431</c:v>
                </c:pt>
                <c:pt idx="997">
                  <c:v>16.9374488591431</c:v>
                </c:pt>
                <c:pt idx="998">
                  <c:v>16.9374488591431</c:v>
                </c:pt>
                <c:pt idx="999">
                  <c:v>16.9374488591431</c:v>
                </c:pt>
                <c:pt idx="1000">
                  <c:v>16.9374488591431</c:v>
                </c:pt>
                <c:pt idx="1001">
                  <c:v>16.9374488591431</c:v>
                </c:pt>
                <c:pt idx="1002">
                  <c:v>16.9374488591431</c:v>
                </c:pt>
                <c:pt idx="1003">
                  <c:v>16.9374488591431</c:v>
                </c:pt>
                <c:pt idx="1004">
                  <c:v>16.9374488591431</c:v>
                </c:pt>
                <c:pt idx="1005">
                  <c:v>16.9374488591431</c:v>
                </c:pt>
                <c:pt idx="1006">
                  <c:v>16.9374488591431</c:v>
                </c:pt>
                <c:pt idx="1007">
                  <c:v>16.9374488591431</c:v>
                </c:pt>
                <c:pt idx="1008">
                  <c:v>16.9374488591431</c:v>
                </c:pt>
                <c:pt idx="1009">
                  <c:v>16.9374488591431</c:v>
                </c:pt>
                <c:pt idx="1010">
                  <c:v>16.9374488591431</c:v>
                </c:pt>
                <c:pt idx="1011">
                  <c:v>16.9374488591431</c:v>
                </c:pt>
                <c:pt idx="1012">
                  <c:v>16.9374488591431</c:v>
                </c:pt>
                <c:pt idx="1013">
                  <c:v>16.9374488591431</c:v>
                </c:pt>
                <c:pt idx="1014">
                  <c:v>16.9374488591431</c:v>
                </c:pt>
                <c:pt idx="1015">
                  <c:v>16.9374488591431</c:v>
                </c:pt>
                <c:pt idx="1016">
                  <c:v>16.9374488591431</c:v>
                </c:pt>
                <c:pt idx="1017">
                  <c:v>16.9374488591431</c:v>
                </c:pt>
                <c:pt idx="1018">
                  <c:v>16.9374488591431</c:v>
                </c:pt>
                <c:pt idx="1019">
                  <c:v>16.9374488591431</c:v>
                </c:pt>
                <c:pt idx="1020">
                  <c:v>16.9374488591431</c:v>
                </c:pt>
                <c:pt idx="1021">
                  <c:v>16.9374488591431</c:v>
                </c:pt>
                <c:pt idx="1022">
                  <c:v>16.9374488591431</c:v>
                </c:pt>
                <c:pt idx="1023">
                  <c:v>16.9374488591431</c:v>
                </c:pt>
                <c:pt idx="1024">
                  <c:v>16.9374488591431</c:v>
                </c:pt>
                <c:pt idx="1025">
                  <c:v>16.9374488591431</c:v>
                </c:pt>
                <c:pt idx="1026">
                  <c:v>16.9374488591431</c:v>
                </c:pt>
                <c:pt idx="1027">
                  <c:v>16.9374488591431</c:v>
                </c:pt>
                <c:pt idx="1028">
                  <c:v>16.9374488591431</c:v>
                </c:pt>
                <c:pt idx="1029">
                  <c:v>16.9374488591431</c:v>
                </c:pt>
                <c:pt idx="1030">
                  <c:v>16.9374488591431</c:v>
                </c:pt>
                <c:pt idx="1031">
                  <c:v>16.9374488591431</c:v>
                </c:pt>
                <c:pt idx="1032">
                  <c:v>16.9374488591431</c:v>
                </c:pt>
                <c:pt idx="1033">
                  <c:v>16.9374488591431</c:v>
                </c:pt>
                <c:pt idx="1034">
                  <c:v>16.9374488591431</c:v>
                </c:pt>
                <c:pt idx="1035">
                  <c:v>16.9374488591431</c:v>
                </c:pt>
                <c:pt idx="1036">
                  <c:v>16.9374488591431</c:v>
                </c:pt>
                <c:pt idx="1037">
                  <c:v>16.9374488591431</c:v>
                </c:pt>
                <c:pt idx="1038">
                  <c:v>16.9374488591431</c:v>
                </c:pt>
                <c:pt idx="1039">
                  <c:v>16.9374488591431</c:v>
                </c:pt>
                <c:pt idx="1040">
                  <c:v>16.9374488591431</c:v>
                </c:pt>
                <c:pt idx="1041">
                  <c:v>16.9374488591431</c:v>
                </c:pt>
                <c:pt idx="1042">
                  <c:v>16.9374488591431</c:v>
                </c:pt>
                <c:pt idx="1043">
                  <c:v>16.9374488591431</c:v>
                </c:pt>
                <c:pt idx="1044">
                  <c:v>16.9374488591431</c:v>
                </c:pt>
                <c:pt idx="1045">
                  <c:v>16.9374488591431</c:v>
                </c:pt>
                <c:pt idx="1046">
                  <c:v>16.9374488591431</c:v>
                </c:pt>
                <c:pt idx="1047">
                  <c:v>16.9374488591431</c:v>
                </c:pt>
                <c:pt idx="1048">
                  <c:v>16.9374488591431</c:v>
                </c:pt>
                <c:pt idx="1049">
                  <c:v>16.9374488591431</c:v>
                </c:pt>
                <c:pt idx="1050">
                  <c:v>16.9374488591431</c:v>
                </c:pt>
                <c:pt idx="1051">
                  <c:v>16.9374488591431</c:v>
                </c:pt>
                <c:pt idx="1052">
                  <c:v>16.9374488591431</c:v>
                </c:pt>
                <c:pt idx="1053">
                  <c:v>16.9374488591431</c:v>
                </c:pt>
                <c:pt idx="1054">
                  <c:v>16.9374488591431</c:v>
                </c:pt>
                <c:pt idx="1055">
                  <c:v>16.9374488591431</c:v>
                </c:pt>
                <c:pt idx="1056">
                  <c:v>16.9374488591431</c:v>
                </c:pt>
                <c:pt idx="1057">
                  <c:v>16.9374488591431</c:v>
                </c:pt>
                <c:pt idx="1058">
                  <c:v>16.9374488591431</c:v>
                </c:pt>
                <c:pt idx="1059">
                  <c:v>16.9374488591431</c:v>
                </c:pt>
                <c:pt idx="1060">
                  <c:v>16.9374488591431</c:v>
                </c:pt>
                <c:pt idx="1061">
                  <c:v>16.9374488591431</c:v>
                </c:pt>
                <c:pt idx="1062">
                  <c:v>16.9374488591431</c:v>
                </c:pt>
                <c:pt idx="1063">
                  <c:v>16.9374488591431</c:v>
                </c:pt>
                <c:pt idx="1064">
                  <c:v>16.9374488591431</c:v>
                </c:pt>
                <c:pt idx="1065">
                  <c:v>16.9374488591431</c:v>
                </c:pt>
                <c:pt idx="1066">
                  <c:v>16.9374488591431</c:v>
                </c:pt>
                <c:pt idx="1067">
                  <c:v>16.9374488591431</c:v>
                </c:pt>
                <c:pt idx="1068">
                  <c:v>16.9374488591431</c:v>
                </c:pt>
                <c:pt idx="1069">
                  <c:v>16.9374488591431</c:v>
                </c:pt>
                <c:pt idx="1070">
                  <c:v>16.9374488591431</c:v>
                </c:pt>
                <c:pt idx="1071">
                  <c:v>16.9374488591431</c:v>
                </c:pt>
                <c:pt idx="1072">
                  <c:v>16.9374488591431</c:v>
                </c:pt>
                <c:pt idx="1073">
                  <c:v>16.9374488591431</c:v>
                </c:pt>
                <c:pt idx="1074">
                  <c:v>16.9374488591431</c:v>
                </c:pt>
                <c:pt idx="1075">
                  <c:v>16.9374488591431</c:v>
                </c:pt>
                <c:pt idx="1076">
                  <c:v>16.9374488591431</c:v>
                </c:pt>
                <c:pt idx="1077">
                  <c:v>16.9374488591431</c:v>
                </c:pt>
                <c:pt idx="1078">
                  <c:v>16.9374488591431</c:v>
                </c:pt>
                <c:pt idx="1079">
                  <c:v>16.9374488591431</c:v>
                </c:pt>
                <c:pt idx="1080">
                  <c:v>16.9374488591431</c:v>
                </c:pt>
                <c:pt idx="1081">
                  <c:v>16.9374488591431</c:v>
                </c:pt>
                <c:pt idx="1082">
                  <c:v>16.9374488591431</c:v>
                </c:pt>
                <c:pt idx="1083">
                  <c:v>16.9374488591431</c:v>
                </c:pt>
                <c:pt idx="1084">
                  <c:v>16.9374488591431</c:v>
                </c:pt>
                <c:pt idx="1085">
                  <c:v>16.9374488591431</c:v>
                </c:pt>
                <c:pt idx="1086">
                  <c:v>16.9374488591431</c:v>
                </c:pt>
                <c:pt idx="1087">
                  <c:v>16.9374488591431</c:v>
                </c:pt>
                <c:pt idx="1088">
                  <c:v>16.9374488591431</c:v>
                </c:pt>
                <c:pt idx="1089">
                  <c:v>16.9374488591431</c:v>
                </c:pt>
                <c:pt idx="1090">
                  <c:v>16.9374488591431</c:v>
                </c:pt>
                <c:pt idx="1091">
                  <c:v>16.9374488591431</c:v>
                </c:pt>
                <c:pt idx="1092">
                  <c:v>16.9374488591431</c:v>
                </c:pt>
                <c:pt idx="1093">
                  <c:v>16.9374488591431</c:v>
                </c:pt>
                <c:pt idx="1094">
                  <c:v>16.9374488591431</c:v>
                </c:pt>
                <c:pt idx="1095">
                  <c:v>16.9374488591431</c:v>
                </c:pt>
                <c:pt idx="1096">
                  <c:v>16.9374488591431</c:v>
                </c:pt>
                <c:pt idx="1097">
                  <c:v>16.9374488591431</c:v>
                </c:pt>
                <c:pt idx="1098">
                  <c:v>16.9374488591431</c:v>
                </c:pt>
                <c:pt idx="1099">
                  <c:v>16.9374488591431</c:v>
                </c:pt>
                <c:pt idx="1100">
                  <c:v>16.9374488591431</c:v>
                </c:pt>
                <c:pt idx="1101">
                  <c:v>16.9374488591431</c:v>
                </c:pt>
                <c:pt idx="1102">
                  <c:v>16.9374488591431</c:v>
                </c:pt>
                <c:pt idx="1103">
                  <c:v>16.9374488591431</c:v>
                </c:pt>
                <c:pt idx="1104">
                  <c:v>16.9374488591431</c:v>
                </c:pt>
                <c:pt idx="1105">
                  <c:v>16.9374488591431</c:v>
                </c:pt>
                <c:pt idx="1106">
                  <c:v>16.9374488591431</c:v>
                </c:pt>
                <c:pt idx="1107">
                  <c:v>16.9374488591431</c:v>
                </c:pt>
                <c:pt idx="1108">
                  <c:v>16.9374488591431</c:v>
                </c:pt>
                <c:pt idx="1109">
                  <c:v>16.9374488591431</c:v>
                </c:pt>
                <c:pt idx="1110">
                  <c:v>16.9374488591431</c:v>
                </c:pt>
                <c:pt idx="1111">
                  <c:v>16.9374488591431</c:v>
                </c:pt>
                <c:pt idx="1112">
                  <c:v>16.9374488591431</c:v>
                </c:pt>
                <c:pt idx="1113">
                  <c:v>16.9374488591431</c:v>
                </c:pt>
                <c:pt idx="1114">
                  <c:v>16.9374488591431</c:v>
                </c:pt>
                <c:pt idx="1115">
                  <c:v>16.9374488591431</c:v>
                </c:pt>
                <c:pt idx="1116">
                  <c:v>16.9374488591431</c:v>
                </c:pt>
                <c:pt idx="1117">
                  <c:v>16.9374488591431</c:v>
                </c:pt>
                <c:pt idx="1118">
                  <c:v>16.9374488591431</c:v>
                </c:pt>
                <c:pt idx="1119">
                  <c:v>16.9374488591431</c:v>
                </c:pt>
                <c:pt idx="1120">
                  <c:v>16.9374488591431</c:v>
                </c:pt>
                <c:pt idx="1121">
                  <c:v>16.9374488591431</c:v>
                </c:pt>
                <c:pt idx="1122">
                  <c:v>16.9374488591431</c:v>
                </c:pt>
                <c:pt idx="1123">
                  <c:v>16.9374488591431</c:v>
                </c:pt>
                <c:pt idx="1124">
                  <c:v>16.9374488591431</c:v>
                </c:pt>
                <c:pt idx="1125">
                  <c:v>16.9374488591431</c:v>
                </c:pt>
                <c:pt idx="1126">
                  <c:v>16.9374488591431</c:v>
                </c:pt>
                <c:pt idx="1127">
                  <c:v>16.9374488591431</c:v>
                </c:pt>
                <c:pt idx="1128">
                  <c:v>16.9374488591431</c:v>
                </c:pt>
                <c:pt idx="1129">
                  <c:v>16.9374488591431</c:v>
                </c:pt>
                <c:pt idx="1130">
                  <c:v>16.9374488591431</c:v>
                </c:pt>
                <c:pt idx="1131">
                  <c:v>16.9374488591431</c:v>
                </c:pt>
                <c:pt idx="1132">
                  <c:v>16.9374488591431</c:v>
                </c:pt>
                <c:pt idx="1133">
                  <c:v>16.9374488591431</c:v>
                </c:pt>
                <c:pt idx="1134">
                  <c:v>16.9374488591431</c:v>
                </c:pt>
                <c:pt idx="1135">
                  <c:v>16.9374488591431</c:v>
                </c:pt>
                <c:pt idx="1136">
                  <c:v>16.9374488591431</c:v>
                </c:pt>
                <c:pt idx="1137">
                  <c:v>16.9374488591431</c:v>
                </c:pt>
                <c:pt idx="1138">
                  <c:v>16.9374488591431</c:v>
                </c:pt>
                <c:pt idx="1139">
                  <c:v>16.9374488591431</c:v>
                </c:pt>
                <c:pt idx="1140">
                  <c:v>16.9374488591431</c:v>
                </c:pt>
                <c:pt idx="1141">
                  <c:v>16.9374488591431</c:v>
                </c:pt>
                <c:pt idx="1142">
                  <c:v>16.9374488591431</c:v>
                </c:pt>
                <c:pt idx="1143">
                  <c:v>16.9374488591431</c:v>
                </c:pt>
                <c:pt idx="1144">
                  <c:v>16.9374488591431</c:v>
                </c:pt>
                <c:pt idx="1145">
                  <c:v>16.9374488591431</c:v>
                </c:pt>
                <c:pt idx="1146">
                  <c:v>16.9374488591431</c:v>
                </c:pt>
                <c:pt idx="1147">
                  <c:v>16.9374488591431</c:v>
                </c:pt>
                <c:pt idx="1148">
                  <c:v>16.9374488591431</c:v>
                </c:pt>
                <c:pt idx="1149">
                  <c:v>16.9374488591431</c:v>
                </c:pt>
                <c:pt idx="1150">
                  <c:v>16.9374488591431</c:v>
                </c:pt>
                <c:pt idx="1151">
                  <c:v>16.9374488591431</c:v>
                </c:pt>
                <c:pt idx="1152">
                  <c:v>16.9374488591431</c:v>
                </c:pt>
                <c:pt idx="1153">
                  <c:v>16.9374488591431</c:v>
                </c:pt>
                <c:pt idx="1154">
                  <c:v>16.9374488591431</c:v>
                </c:pt>
                <c:pt idx="1155">
                  <c:v>16.9374488591431</c:v>
                </c:pt>
                <c:pt idx="1156">
                  <c:v>16.9374488591431</c:v>
                </c:pt>
                <c:pt idx="1157">
                  <c:v>16.9374488591431</c:v>
                </c:pt>
                <c:pt idx="1158">
                  <c:v>16.9374488591431</c:v>
                </c:pt>
                <c:pt idx="1159">
                  <c:v>16.9374488591431</c:v>
                </c:pt>
                <c:pt idx="1160">
                  <c:v>16.9374488591431</c:v>
                </c:pt>
                <c:pt idx="1161">
                  <c:v>16.9374488591431</c:v>
                </c:pt>
                <c:pt idx="1162">
                  <c:v>16.9374488591431</c:v>
                </c:pt>
                <c:pt idx="1163">
                  <c:v>16.9374488591431</c:v>
                </c:pt>
                <c:pt idx="1164">
                  <c:v>16.9374488591431</c:v>
                </c:pt>
                <c:pt idx="1165">
                  <c:v>16.9374488591431</c:v>
                </c:pt>
                <c:pt idx="1166">
                  <c:v>16.9374488591431</c:v>
                </c:pt>
                <c:pt idx="1167">
                  <c:v>16.9374488591431</c:v>
                </c:pt>
                <c:pt idx="1168">
                  <c:v>16.9374488591431</c:v>
                </c:pt>
                <c:pt idx="1169">
                  <c:v>16.9374488591431</c:v>
                </c:pt>
                <c:pt idx="1170">
                  <c:v>16.9374488591431</c:v>
                </c:pt>
                <c:pt idx="1171">
                  <c:v>16.9374488591431</c:v>
                </c:pt>
                <c:pt idx="1172">
                  <c:v>16.9374488591431</c:v>
                </c:pt>
                <c:pt idx="1173">
                  <c:v>16.9374488591431</c:v>
                </c:pt>
                <c:pt idx="1174">
                  <c:v>16.9374488591431</c:v>
                </c:pt>
                <c:pt idx="1175">
                  <c:v>16.9374488591431</c:v>
                </c:pt>
                <c:pt idx="1176">
                  <c:v>16.9374488591431</c:v>
                </c:pt>
                <c:pt idx="1177">
                  <c:v>16.9374488591431</c:v>
                </c:pt>
                <c:pt idx="1178">
                  <c:v>16.9374488591431</c:v>
                </c:pt>
                <c:pt idx="1179">
                  <c:v>16.9374488591431</c:v>
                </c:pt>
                <c:pt idx="1180">
                  <c:v>16.9374488591431</c:v>
                </c:pt>
                <c:pt idx="1181">
                  <c:v>16.9374488591431</c:v>
                </c:pt>
                <c:pt idx="1182">
                  <c:v>16.9374488591431</c:v>
                </c:pt>
                <c:pt idx="1183">
                  <c:v>16.9374488591431</c:v>
                </c:pt>
                <c:pt idx="1184">
                  <c:v>16.9374488591431</c:v>
                </c:pt>
                <c:pt idx="1185">
                  <c:v>16.9374488591431</c:v>
                </c:pt>
                <c:pt idx="1186">
                  <c:v>16.9374488591431</c:v>
                </c:pt>
                <c:pt idx="1187">
                  <c:v>16.9374488591431</c:v>
                </c:pt>
                <c:pt idx="1188">
                  <c:v>16.9374488591431</c:v>
                </c:pt>
                <c:pt idx="1189">
                  <c:v>16.9374488591431</c:v>
                </c:pt>
                <c:pt idx="1190">
                  <c:v>16.9374488591431</c:v>
                </c:pt>
                <c:pt idx="1191">
                  <c:v>16.9374488591431</c:v>
                </c:pt>
                <c:pt idx="1192">
                  <c:v>16.9374488591431</c:v>
                </c:pt>
                <c:pt idx="1193">
                  <c:v>16.9374488591431</c:v>
                </c:pt>
                <c:pt idx="1194">
                  <c:v>16.9374488591431</c:v>
                </c:pt>
                <c:pt idx="1195">
                  <c:v>16.9374488591431</c:v>
                </c:pt>
                <c:pt idx="1196">
                  <c:v>16.9374488591431</c:v>
                </c:pt>
                <c:pt idx="1197">
                  <c:v>16.9374488591431</c:v>
                </c:pt>
                <c:pt idx="1198">
                  <c:v>16.9374488591431</c:v>
                </c:pt>
                <c:pt idx="1199">
                  <c:v>16.9374488591431</c:v>
                </c:pt>
                <c:pt idx="1200">
                  <c:v>16.9374488591431</c:v>
                </c:pt>
                <c:pt idx="1201">
                  <c:v>16.9374488591431</c:v>
                </c:pt>
                <c:pt idx="1202">
                  <c:v>16.9374488591431</c:v>
                </c:pt>
                <c:pt idx="1203">
                  <c:v>16.9374488591431</c:v>
                </c:pt>
                <c:pt idx="1204">
                  <c:v>16.9374488591431</c:v>
                </c:pt>
                <c:pt idx="1205">
                  <c:v>16.9374488591431</c:v>
                </c:pt>
                <c:pt idx="1206">
                  <c:v>16.9374488591431</c:v>
                </c:pt>
                <c:pt idx="1207">
                  <c:v>16.9374488591431</c:v>
                </c:pt>
                <c:pt idx="1208">
                  <c:v>16.9374488591431</c:v>
                </c:pt>
                <c:pt idx="1209">
                  <c:v>16.9374488591431</c:v>
                </c:pt>
                <c:pt idx="1210">
                  <c:v>16.9374488591431</c:v>
                </c:pt>
                <c:pt idx="1211">
                  <c:v>16.9374488591431</c:v>
                </c:pt>
                <c:pt idx="1212">
                  <c:v>16.9374488591431</c:v>
                </c:pt>
                <c:pt idx="1213">
                  <c:v>16.9374488591431</c:v>
                </c:pt>
                <c:pt idx="1214">
                  <c:v>16.9374488591431</c:v>
                </c:pt>
                <c:pt idx="1215">
                  <c:v>16.9374488591431</c:v>
                </c:pt>
                <c:pt idx="1216">
                  <c:v>16.9374488591431</c:v>
                </c:pt>
                <c:pt idx="1217">
                  <c:v>16.9374488591431</c:v>
                </c:pt>
                <c:pt idx="1218">
                  <c:v>16.9374488591431</c:v>
                </c:pt>
                <c:pt idx="1219">
                  <c:v>16.9374488591431</c:v>
                </c:pt>
                <c:pt idx="1220">
                  <c:v>16.9374488591431</c:v>
                </c:pt>
                <c:pt idx="1221">
                  <c:v>16.9374488591431</c:v>
                </c:pt>
                <c:pt idx="1222">
                  <c:v>16.9374488591431</c:v>
                </c:pt>
                <c:pt idx="1223">
                  <c:v>16.9374488591431</c:v>
                </c:pt>
                <c:pt idx="1224">
                  <c:v>16.9374488591431</c:v>
                </c:pt>
                <c:pt idx="1225">
                  <c:v>16.9374488591431</c:v>
                </c:pt>
                <c:pt idx="1226">
                  <c:v>16.9374488591431</c:v>
                </c:pt>
                <c:pt idx="1227">
                  <c:v>16.9374488591431</c:v>
                </c:pt>
                <c:pt idx="1228">
                  <c:v>16.9374488591431</c:v>
                </c:pt>
                <c:pt idx="1229">
                  <c:v>16.9374488591431</c:v>
                </c:pt>
                <c:pt idx="1230">
                  <c:v>16.9374488591431</c:v>
                </c:pt>
                <c:pt idx="1231">
                  <c:v>16.9374488591431</c:v>
                </c:pt>
                <c:pt idx="1232">
                  <c:v>16.9374488591431</c:v>
                </c:pt>
                <c:pt idx="1233">
                  <c:v>16.9374488591431</c:v>
                </c:pt>
                <c:pt idx="1234">
                  <c:v>16.9374488591431</c:v>
                </c:pt>
                <c:pt idx="1235">
                  <c:v>16.9374488591431</c:v>
                </c:pt>
                <c:pt idx="1236">
                  <c:v>16.9374488591431</c:v>
                </c:pt>
                <c:pt idx="1237">
                  <c:v>16.9374488591431</c:v>
                </c:pt>
                <c:pt idx="1238">
                  <c:v>16.9374488591431</c:v>
                </c:pt>
                <c:pt idx="1239">
                  <c:v>16.9374488591431</c:v>
                </c:pt>
                <c:pt idx="1240">
                  <c:v>16.9374488591431</c:v>
                </c:pt>
                <c:pt idx="1241">
                  <c:v>16.9374488591431</c:v>
                </c:pt>
                <c:pt idx="1242">
                  <c:v>16.9374488591431</c:v>
                </c:pt>
                <c:pt idx="1243">
                  <c:v>16.9374488591431</c:v>
                </c:pt>
                <c:pt idx="1244">
                  <c:v>16.9374488591431</c:v>
                </c:pt>
                <c:pt idx="1245">
                  <c:v>16.9374488591431</c:v>
                </c:pt>
                <c:pt idx="1246">
                  <c:v>16.9374488591431</c:v>
                </c:pt>
                <c:pt idx="1247">
                  <c:v>16.9374488591431</c:v>
                </c:pt>
                <c:pt idx="1248">
                  <c:v>16.9374488591431</c:v>
                </c:pt>
                <c:pt idx="1249">
                  <c:v>16.9374488591431</c:v>
                </c:pt>
                <c:pt idx="1250">
                  <c:v>16.9374488591431</c:v>
                </c:pt>
                <c:pt idx="1251">
                  <c:v>16.9374488591431</c:v>
                </c:pt>
                <c:pt idx="1252">
                  <c:v>16.9374488591431</c:v>
                </c:pt>
                <c:pt idx="1253">
                  <c:v>16.9374488591431</c:v>
                </c:pt>
                <c:pt idx="1254">
                  <c:v>16.9374488591431</c:v>
                </c:pt>
                <c:pt idx="1255">
                  <c:v>16.9374488591431</c:v>
                </c:pt>
                <c:pt idx="1256">
                  <c:v>16.9374488591431</c:v>
                </c:pt>
                <c:pt idx="1257">
                  <c:v>16.9374488591431</c:v>
                </c:pt>
                <c:pt idx="1258">
                  <c:v>16.9374488591431</c:v>
                </c:pt>
                <c:pt idx="1259">
                  <c:v>16.9374488591431</c:v>
                </c:pt>
                <c:pt idx="1260">
                  <c:v>16.9374488591431</c:v>
                </c:pt>
                <c:pt idx="1261">
                  <c:v>16.9374488591431</c:v>
                </c:pt>
                <c:pt idx="1262">
                  <c:v>16.9374488591431</c:v>
                </c:pt>
                <c:pt idx="1263">
                  <c:v>16.9374488591431</c:v>
                </c:pt>
                <c:pt idx="1264">
                  <c:v>16.9374488591431</c:v>
                </c:pt>
                <c:pt idx="1265">
                  <c:v>16.9374488591431</c:v>
                </c:pt>
                <c:pt idx="1266">
                  <c:v>16.9374488591431</c:v>
                </c:pt>
                <c:pt idx="1267">
                  <c:v>16.9374488591431</c:v>
                </c:pt>
                <c:pt idx="1268">
                  <c:v>16.9374488591431</c:v>
                </c:pt>
                <c:pt idx="1269">
                  <c:v>16.9374488591431</c:v>
                </c:pt>
                <c:pt idx="1270">
                  <c:v>16.9374488591431</c:v>
                </c:pt>
                <c:pt idx="1271">
                  <c:v>16.9374488591431</c:v>
                </c:pt>
                <c:pt idx="1272">
                  <c:v>16.9374488591431</c:v>
                </c:pt>
                <c:pt idx="1273">
                  <c:v>16.9374488591431</c:v>
                </c:pt>
                <c:pt idx="1274">
                  <c:v>16.9374488591431</c:v>
                </c:pt>
                <c:pt idx="1275">
                  <c:v>16.9374488591431</c:v>
                </c:pt>
                <c:pt idx="1276">
                  <c:v>16.9374488591431</c:v>
                </c:pt>
                <c:pt idx="1277">
                  <c:v>16.9374488591431</c:v>
                </c:pt>
                <c:pt idx="1278">
                  <c:v>16.9374488591431</c:v>
                </c:pt>
                <c:pt idx="1279">
                  <c:v>16.9374488591431</c:v>
                </c:pt>
                <c:pt idx="1280">
                  <c:v>16.9374488591431</c:v>
                </c:pt>
                <c:pt idx="1281">
                  <c:v>16.9374488591431</c:v>
                </c:pt>
                <c:pt idx="1282">
                  <c:v>16.9374488591431</c:v>
                </c:pt>
                <c:pt idx="1283">
                  <c:v>16.9374488591431</c:v>
                </c:pt>
                <c:pt idx="1284">
                  <c:v>16.9374488591431</c:v>
                </c:pt>
                <c:pt idx="1285">
                  <c:v>16.9374488591431</c:v>
                </c:pt>
                <c:pt idx="1286">
                  <c:v>16.9374488591431</c:v>
                </c:pt>
                <c:pt idx="1287">
                  <c:v>16.9374488591431</c:v>
                </c:pt>
                <c:pt idx="1288">
                  <c:v>16.9374488591431</c:v>
                </c:pt>
                <c:pt idx="1289">
                  <c:v>16.9374488591431</c:v>
                </c:pt>
                <c:pt idx="1290">
                  <c:v>16.9374488591431</c:v>
                </c:pt>
                <c:pt idx="1291">
                  <c:v>16.9374488591431</c:v>
                </c:pt>
                <c:pt idx="1292">
                  <c:v>16.9374488591431</c:v>
                </c:pt>
                <c:pt idx="1293">
                  <c:v>16.9374488591431</c:v>
                </c:pt>
                <c:pt idx="1294">
                  <c:v>16.9374488591431</c:v>
                </c:pt>
                <c:pt idx="1295">
                  <c:v>16.9374488591431</c:v>
                </c:pt>
                <c:pt idx="1296">
                  <c:v>16.9374488591431</c:v>
                </c:pt>
                <c:pt idx="1297">
                  <c:v>16.9374488591431</c:v>
                </c:pt>
                <c:pt idx="1298">
                  <c:v>16.9374488591431</c:v>
                </c:pt>
                <c:pt idx="1299">
                  <c:v>16.9374488591431</c:v>
                </c:pt>
                <c:pt idx="1300">
                  <c:v>16.9374488591431</c:v>
                </c:pt>
                <c:pt idx="1301">
                  <c:v>16.9374488591431</c:v>
                </c:pt>
                <c:pt idx="1302">
                  <c:v>16.9374488591431</c:v>
                </c:pt>
                <c:pt idx="1303">
                  <c:v>16.9374488591431</c:v>
                </c:pt>
                <c:pt idx="1304">
                  <c:v>16.9374488591431</c:v>
                </c:pt>
                <c:pt idx="1305">
                  <c:v>16.9374488591431</c:v>
                </c:pt>
                <c:pt idx="1306">
                  <c:v>16.9374488591431</c:v>
                </c:pt>
                <c:pt idx="1307">
                  <c:v>16.9374488591431</c:v>
                </c:pt>
                <c:pt idx="1308">
                  <c:v>16.9374488591431</c:v>
                </c:pt>
                <c:pt idx="1309">
                  <c:v>16.9374488591431</c:v>
                </c:pt>
                <c:pt idx="1310">
                  <c:v>16.9374488591431</c:v>
                </c:pt>
                <c:pt idx="1311">
                  <c:v>16.9374488591431</c:v>
                </c:pt>
                <c:pt idx="1312">
                  <c:v>16.9374488591431</c:v>
                </c:pt>
                <c:pt idx="1313">
                  <c:v>16.9374488591431</c:v>
                </c:pt>
                <c:pt idx="1314">
                  <c:v>16.9374488591431</c:v>
                </c:pt>
                <c:pt idx="1315">
                  <c:v>16.9374488591431</c:v>
                </c:pt>
                <c:pt idx="1316">
                  <c:v>16.9374488591431</c:v>
                </c:pt>
                <c:pt idx="1317">
                  <c:v>16.9374488591431</c:v>
                </c:pt>
                <c:pt idx="1318">
                  <c:v>16.9374488591431</c:v>
                </c:pt>
                <c:pt idx="1319">
                  <c:v>16.9374488591431</c:v>
                </c:pt>
                <c:pt idx="1320">
                  <c:v>16.9374488591431</c:v>
                </c:pt>
                <c:pt idx="1321">
                  <c:v>16.9374488591431</c:v>
                </c:pt>
                <c:pt idx="1322">
                  <c:v>16.9374488591431</c:v>
                </c:pt>
                <c:pt idx="1323">
                  <c:v>16.9374488591431</c:v>
                </c:pt>
                <c:pt idx="1324">
                  <c:v>16.9374488591431</c:v>
                </c:pt>
                <c:pt idx="1325">
                  <c:v>16.9374488591431</c:v>
                </c:pt>
                <c:pt idx="1326">
                  <c:v>16.9374488591431</c:v>
                </c:pt>
                <c:pt idx="1327">
                  <c:v>16.9374488591431</c:v>
                </c:pt>
                <c:pt idx="1328">
                  <c:v>16.9374488591431</c:v>
                </c:pt>
                <c:pt idx="1329">
                  <c:v>16.9374488591431</c:v>
                </c:pt>
                <c:pt idx="1330">
                  <c:v>16.9374488591431</c:v>
                </c:pt>
                <c:pt idx="1331">
                  <c:v>16.9374488591431</c:v>
                </c:pt>
                <c:pt idx="1332">
                  <c:v>16.9374488591431</c:v>
                </c:pt>
                <c:pt idx="1333">
                  <c:v>16.9374488591431</c:v>
                </c:pt>
                <c:pt idx="1334">
                  <c:v>16.9374488591431</c:v>
                </c:pt>
                <c:pt idx="1335">
                  <c:v>16.9374488591431</c:v>
                </c:pt>
                <c:pt idx="1336">
                  <c:v>16.9374488591431</c:v>
                </c:pt>
                <c:pt idx="1337">
                  <c:v>16.9374488591431</c:v>
                </c:pt>
                <c:pt idx="1338">
                  <c:v>16.9374488591431</c:v>
                </c:pt>
                <c:pt idx="1339">
                  <c:v>16.9374488591431</c:v>
                </c:pt>
                <c:pt idx="1340">
                  <c:v>16.9374488591431</c:v>
                </c:pt>
                <c:pt idx="1341">
                  <c:v>16.9374488591431</c:v>
                </c:pt>
                <c:pt idx="1342">
                  <c:v>16.9374488591431</c:v>
                </c:pt>
                <c:pt idx="1343">
                  <c:v>16.9374488591431</c:v>
                </c:pt>
                <c:pt idx="1344">
                  <c:v>16.9374488591431</c:v>
                </c:pt>
                <c:pt idx="1345">
                  <c:v>16.9374488591431</c:v>
                </c:pt>
                <c:pt idx="1346">
                  <c:v>16.9374488591431</c:v>
                </c:pt>
                <c:pt idx="1347">
                  <c:v>16.9374488591431</c:v>
                </c:pt>
                <c:pt idx="1348">
                  <c:v>16.9374488591431</c:v>
                </c:pt>
                <c:pt idx="1349">
                  <c:v>16.9374488591431</c:v>
                </c:pt>
                <c:pt idx="1350">
                  <c:v>16.9374488591431</c:v>
                </c:pt>
                <c:pt idx="1351">
                  <c:v>16.9374488591431</c:v>
                </c:pt>
                <c:pt idx="1352">
                  <c:v>16.9374488591431</c:v>
                </c:pt>
                <c:pt idx="1353">
                  <c:v>16.9374488591431</c:v>
                </c:pt>
                <c:pt idx="1354">
                  <c:v>16.9374488591431</c:v>
                </c:pt>
                <c:pt idx="1355">
                  <c:v>16.9374488591431</c:v>
                </c:pt>
                <c:pt idx="1356">
                  <c:v>16.9374488591431</c:v>
                </c:pt>
                <c:pt idx="1357">
                  <c:v>16.9374488591431</c:v>
                </c:pt>
                <c:pt idx="1358">
                  <c:v>16.9374488591431</c:v>
                </c:pt>
                <c:pt idx="1359">
                  <c:v>16.9374488591431</c:v>
                </c:pt>
                <c:pt idx="1360">
                  <c:v>16.9374488591431</c:v>
                </c:pt>
                <c:pt idx="1361">
                  <c:v>16.9374488591431</c:v>
                </c:pt>
                <c:pt idx="1362">
                  <c:v>16.9374488591431</c:v>
                </c:pt>
                <c:pt idx="1363">
                  <c:v>16.9374488591431</c:v>
                </c:pt>
                <c:pt idx="1364">
                  <c:v>16.9374488591431</c:v>
                </c:pt>
                <c:pt idx="1365">
                  <c:v>16.9374488591431</c:v>
                </c:pt>
                <c:pt idx="1366">
                  <c:v>16.9374488591431</c:v>
                </c:pt>
                <c:pt idx="1367">
                  <c:v>16.9374488591431</c:v>
                </c:pt>
                <c:pt idx="1368">
                  <c:v>16.9374488591431</c:v>
                </c:pt>
                <c:pt idx="1369">
                  <c:v>16.9374488591431</c:v>
                </c:pt>
                <c:pt idx="1370">
                  <c:v>16.9374488591431</c:v>
                </c:pt>
                <c:pt idx="1371">
                  <c:v>16.9374488591431</c:v>
                </c:pt>
                <c:pt idx="1372">
                  <c:v>16.9374488591431</c:v>
                </c:pt>
                <c:pt idx="1373">
                  <c:v>16.9374488591431</c:v>
                </c:pt>
                <c:pt idx="1374">
                  <c:v>16.9374488591431</c:v>
                </c:pt>
                <c:pt idx="1375">
                  <c:v>16.9374488591431</c:v>
                </c:pt>
                <c:pt idx="1376">
                  <c:v>16.9374488591431</c:v>
                </c:pt>
                <c:pt idx="1377">
                  <c:v>16.9374488591431</c:v>
                </c:pt>
                <c:pt idx="1378">
                  <c:v>16.9374488591431</c:v>
                </c:pt>
                <c:pt idx="1379">
                  <c:v>16.9374488591431</c:v>
                </c:pt>
                <c:pt idx="1380">
                  <c:v>16.9374488591431</c:v>
                </c:pt>
                <c:pt idx="1381">
                  <c:v>16.9374488591431</c:v>
                </c:pt>
                <c:pt idx="1382">
                  <c:v>16.9374488591431</c:v>
                </c:pt>
                <c:pt idx="1383">
                  <c:v>16.9374488591431</c:v>
                </c:pt>
                <c:pt idx="1384">
                  <c:v>16.9374488591431</c:v>
                </c:pt>
                <c:pt idx="1385">
                  <c:v>16.9374488591431</c:v>
                </c:pt>
                <c:pt idx="1386">
                  <c:v>16.9374488591431</c:v>
                </c:pt>
                <c:pt idx="1387">
                  <c:v>16.9374488591431</c:v>
                </c:pt>
                <c:pt idx="1388">
                  <c:v>16.9374488591431</c:v>
                </c:pt>
                <c:pt idx="1389">
                  <c:v>16.9374488591431</c:v>
                </c:pt>
                <c:pt idx="1390">
                  <c:v>16.9374488591431</c:v>
                </c:pt>
                <c:pt idx="1391">
                  <c:v>16.9374488591431</c:v>
                </c:pt>
                <c:pt idx="1392">
                  <c:v>16.9374488591431</c:v>
                </c:pt>
                <c:pt idx="1393">
                  <c:v>16.9374488591431</c:v>
                </c:pt>
                <c:pt idx="1394">
                  <c:v>16.9374488591431</c:v>
                </c:pt>
                <c:pt idx="1395">
                  <c:v>16.9374488591431</c:v>
                </c:pt>
                <c:pt idx="1396">
                  <c:v>16.9374488591431</c:v>
                </c:pt>
                <c:pt idx="1397">
                  <c:v>16.9374488591431</c:v>
                </c:pt>
                <c:pt idx="1398">
                  <c:v>16.9374488591431</c:v>
                </c:pt>
                <c:pt idx="1399">
                  <c:v>16.9374488591431</c:v>
                </c:pt>
                <c:pt idx="1400">
                  <c:v>16.9374488591431</c:v>
                </c:pt>
                <c:pt idx="1401">
                  <c:v>16.9374488591431</c:v>
                </c:pt>
                <c:pt idx="1402">
                  <c:v>16.9374488591431</c:v>
                </c:pt>
                <c:pt idx="1403">
                  <c:v>16.9374488591431</c:v>
                </c:pt>
                <c:pt idx="1404">
                  <c:v>16.9374488591431</c:v>
                </c:pt>
                <c:pt idx="1405">
                  <c:v>16.9374488591431</c:v>
                </c:pt>
                <c:pt idx="1406">
                  <c:v>16.9374488591431</c:v>
                </c:pt>
                <c:pt idx="1407">
                  <c:v>16.9374488591431</c:v>
                </c:pt>
                <c:pt idx="1408">
                  <c:v>16.9374488591431</c:v>
                </c:pt>
                <c:pt idx="1409">
                  <c:v>16.9374488591431</c:v>
                </c:pt>
                <c:pt idx="1410">
                  <c:v>16.9374488591431</c:v>
                </c:pt>
                <c:pt idx="1411">
                  <c:v>16.9374488591431</c:v>
                </c:pt>
                <c:pt idx="1412">
                  <c:v>16.9374488591431</c:v>
                </c:pt>
                <c:pt idx="1413">
                  <c:v>16.9374488591431</c:v>
                </c:pt>
                <c:pt idx="1414">
                  <c:v>16.9374488591431</c:v>
                </c:pt>
                <c:pt idx="1415">
                  <c:v>16.9374488591431</c:v>
                </c:pt>
                <c:pt idx="1416">
                  <c:v>16.9374488591431</c:v>
                </c:pt>
                <c:pt idx="1417">
                  <c:v>16.9374488591431</c:v>
                </c:pt>
                <c:pt idx="1418">
                  <c:v>16.9374488591431</c:v>
                </c:pt>
                <c:pt idx="1419">
                  <c:v>16.9374488591431</c:v>
                </c:pt>
                <c:pt idx="1420">
                  <c:v>16.9374488591431</c:v>
                </c:pt>
                <c:pt idx="1421">
                  <c:v>16.9374488591431</c:v>
                </c:pt>
                <c:pt idx="1422">
                  <c:v>16.9374488591431</c:v>
                </c:pt>
                <c:pt idx="1423">
                  <c:v>16.9374488591431</c:v>
                </c:pt>
                <c:pt idx="1424">
                  <c:v>16.9374488591431</c:v>
                </c:pt>
                <c:pt idx="1425">
                  <c:v>16.9374488591431</c:v>
                </c:pt>
                <c:pt idx="1426">
                  <c:v>16.9374488591431</c:v>
                </c:pt>
                <c:pt idx="1427">
                  <c:v>16.9374488591431</c:v>
                </c:pt>
                <c:pt idx="1428">
                  <c:v>16.9374488591431</c:v>
                </c:pt>
                <c:pt idx="1429">
                  <c:v>16.9374488591431</c:v>
                </c:pt>
                <c:pt idx="1430">
                  <c:v>16.9374488591431</c:v>
                </c:pt>
                <c:pt idx="1431">
                  <c:v>16.9374488591431</c:v>
                </c:pt>
                <c:pt idx="1432">
                  <c:v>16.9374488591431</c:v>
                </c:pt>
                <c:pt idx="1433">
                  <c:v>16.9374488591431</c:v>
                </c:pt>
                <c:pt idx="1434">
                  <c:v>16.9374488591431</c:v>
                </c:pt>
                <c:pt idx="1435">
                  <c:v>16.9374488591431</c:v>
                </c:pt>
                <c:pt idx="1436">
                  <c:v>16.9374488591431</c:v>
                </c:pt>
                <c:pt idx="1437">
                  <c:v>16.9374488591431</c:v>
                </c:pt>
                <c:pt idx="1438">
                  <c:v>16.9374488591431</c:v>
                </c:pt>
                <c:pt idx="1439">
                  <c:v>16.9374488591431</c:v>
                </c:pt>
                <c:pt idx="1440">
                  <c:v>16.9374488591431</c:v>
                </c:pt>
                <c:pt idx="1441">
                  <c:v>16.9374488591431</c:v>
                </c:pt>
                <c:pt idx="1442">
                  <c:v>16.9374488591431</c:v>
                </c:pt>
                <c:pt idx="1443">
                  <c:v>16.9374488591431</c:v>
                </c:pt>
                <c:pt idx="1444">
                  <c:v>16.9374488591431</c:v>
                </c:pt>
                <c:pt idx="1445">
                  <c:v>16.9374488591431</c:v>
                </c:pt>
                <c:pt idx="1446">
                  <c:v>16.9374488591431</c:v>
                </c:pt>
                <c:pt idx="1447">
                  <c:v>16.9374488591431</c:v>
                </c:pt>
                <c:pt idx="1448">
                  <c:v>16.9374488591431</c:v>
                </c:pt>
                <c:pt idx="1449">
                  <c:v>16.9374488591431</c:v>
                </c:pt>
                <c:pt idx="1450">
                  <c:v>16.9374488591431</c:v>
                </c:pt>
                <c:pt idx="1451">
                  <c:v>16.9374488591431</c:v>
                </c:pt>
                <c:pt idx="1452">
                  <c:v>16.9374488591431</c:v>
                </c:pt>
                <c:pt idx="1453">
                  <c:v>16.9374488591431</c:v>
                </c:pt>
                <c:pt idx="1454">
                  <c:v>16.9374488591431</c:v>
                </c:pt>
                <c:pt idx="1455">
                  <c:v>16.9374488591431</c:v>
                </c:pt>
                <c:pt idx="1456">
                  <c:v>16.9374488591431</c:v>
                </c:pt>
                <c:pt idx="1457">
                  <c:v>16.9374488591431</c:v>
                </c:pt>
                <c:pt idx="1458">
                  <c:v>16.9374488591431</c:v>
                </c:pt>
                <c:pt idx="1459">
                  <c:v>16.9374488591431</c:v>
                </c:pt>
                <c:pt idx="1460">
                  <c:v>16.9374488591431</c:v>
                </c:pt>
                <c:pt idx="1461">
                  <c:v>16.9374488591431</c:v>
                </c:pt>
                <c:pt idx="1462">
                  <c:v>16.9374488591431</c:v>
                </c:pt>
                <c:pt idx="1463">
                  <c:v>16.9374488591431</c:v>
                </c:pt>
                <c:pt idx="1464">
                  <c:v>16.9374488591431</c:v>
                </c:pt>
                <c:pt idx="1465">
                  <c:v>16.9374488591431</c:v>
                </c:pt>
                <c:pt idx="1466">
                  <c:v>16.9374488591431</c:v>
                </c:pt>
                <c:pt idx="1467">
                  <c:v>16.9374488591431</c:v>
                </c:pt>
                <c:pt idx="1468">
                  <c:v>16.9374488591431</c:v>
                </c:pt>
                <c:pt idx="1469">
                  <c:v>16.9374488591431</c:v>
                </c:pt>
                <c:pt idx="1470">
                  <c:v>16.9374488591431</c:v>
                </c:pt>
                <c:pt idx="1471">
                  <c:v>16.9374488591431</c:v>
                </c:pt>
                <c:pt idx="1472">
                  <c:v>16.9374488591431</c:v>
                </c:pt>
                <c:pt idx="1473">
                  <c:v>16.9374488591431</c:v>
                </c:pt>
                <c:pt idx="1474">
                  <c:v>16.9374488591431</c:v>
                </c:pt>
                <c:pt idx="1475">
                  <c:v>16.9374488591431</c:v>
                </c:pt>
                <c:pt idx="1476">
                  <c:v>16.9374488591431</c:v>
                </c:pt>
                <c:pt idx="1477">
                  <c:v>16.9374488591431</c:v>
                </c:pt>
                <c:pt idx="1478">
                  <c:v>16.9374488591431</c:v>
                </c:pt>
                <c:pt idx="1479">
                  <c:v>16.9374488591431</c:v>
                </c:pt>
                <c:pt idx="1480">
                  <c:v>16.9374488591431</c:v>
                </c:pt>
                <c:pt idx="1481">
                  <c:v>16.9374488591431</c:v>
                </c:pt>
                <c:pt idx="1482">
                  <c:v>16.9374488591431</c:v>
                </c:pt>
                <c:pt idx="1483">
                  <c:v>16.9374488591431</c:v>
                </c:pt>
                <c:pt idx="1484">
                  <c:v>16.9374488591431</c:v>
                </c:pt>
                <c:pt idx="1485">
                  <c:v>16.9374488591431</c:v>
                </c:pt>
                <c:pt idx="1486">
                  <c:v>16.9374488591431</c:v>
                </c:pt>
                <c:pt idx="1487">
                  <c:v>16.9374488591431</c:v>
                </c:pt>
                <c:pt idx="1488">
                  <c:v>16.9374488591431</c:v>
                </c:pt>
                <c:pt idx="1489">
                  <c:v>16.9374488591431</c:v>
                </c:pt>
                <c:pt idx="1490">
                  <c:v>16.9374488591431</c:v>
                </c:pt>
                <c:pt idx="1491">
                  <c:v>16.9374488591431</c:v>
                </c:pt>
                <c:pt idx="1492">
                  <c:v>16.9374488591431</c:v>
                </c:pt>
                <c:pt idx="1493">
                  <c:v>16.9374488591431</c:v>
                </c:pt>
                <c:pt idx="1494">
                  <c:v>16.9374488591431</c:v>
                </c:pt>
                <c:pt idx="1495">
                  <c:v>16.9374488591431</c:v>
                </c:pt>
                <c:pt idx="1496">
                  <c:v>16.9374488591431</c:v>
                </c:pt>
                <c:pt idx="1497">
                  <c:v>16.9374488591431</c:v>
                </c:pt>
                <c:pt idx="1498">
                  <c:v>16.9374488591431</c:v>
                </c:pt>
                <c:pt idx="1499">
                  <c:v>16.9374488591431</c:v>
                </c:pt>
                <c:pt idx="1500">
                  <c:v>16.9374488591431</c:v>
                </c:pt>
                <c:pt idx="1501">
                  <c:v>16.9374488591431</c:v>
                </c:pt>
                <c:pt idx="1502">
                  <c:v>16.9374488591431</c:v>
                </c:pt>
                <c:pt idx="1503">
                  <c:v>16.9374488591431</c:v>
                </c:pt>
                <c:pt idx="1504">
                  <c:v>16.9374488591431</c:v>
                </c:pt>
                <c:pt idx="1505">
                  <c:v>16.9374488591431</c:v>
                </c:pt>
                <c:pt idx="1506">
                  <c:v>16.9374488591431</c:v>
                </c:pt>
                <c:pt idx="1507">
                  <c:v>16.9374488591431</c:v>
                </c:pt>
                <c:pt idx="1508">
                  <c:v>16.9374488591431</c:v>
                </c:pt>
                <c:pt idx="1509">
                  <c:v>16.9374488591431</c:v>
                </c:pt>
                <c:pt idx="1510">
                  <c:v>16.9374488591431</c:v>
                </c:pt>
                <c:pt idx="1511">
                  <c:v>16.9374488591431</c:v>
                </c:pt>
                <c:pt idx="1512">
                  <c:v>16.9374488591431</c:v>
                </c:pt>
                <c:pt idx="1513">
                  <c:v>16.9374488591431</c:v>
                </c:pt>
                <c:pt idx="1514">
                  <c:v>16.9374488591431</c:v>
                </c:pt>
                <c:pt idx="1515">
                  <c:v>16.9374488591431</c:v>
                </c:pt>
                <c:pt idx="1516">
                  <c:v>16.9374488591431</c:v>
                </c:pt>
                <c:pt idx="1517">
                  <c:v>16.9374488591431</c:v>
                </c:pt>
                <c:pt idx="1518">
                  <c:v>16.9374488591431</c:v>
                </c:pt>
                <c:pt idx="1519">
                  <c:v>16.9374488591431</c:v>
                </c:pt>
                <c:pt idx="1520">
                  <c:v>16.9374488591431</c:v>
                </c:pt>
                <c:pt idx="1521">
                  <c:v>16.9374488591431</c:v>
                </c:pt>
                <c:pt idx="1522">
                  <c:v>16.9374488591431</c:v>
                </c:pt>
                <c:pt idx="1523">
                  <c:v>16.9374488591431</c:v>
                </c:pt>
                <c:pt idx="1524">
                  <c:v>16.9374488591431</c:v>
                </c:pt>
                <c:pt idx="1525">
                  <c:v>16.9374488591431</c:v>
                </c:pt>
                <c:pt idx="1526">
                  <c:v>16.9374488591431</c:v>
                </c:pt>
                <c:pt idx="1527">
                  <c:v>16.9374488591431</c:v>
                </c:pt>
                <c:pt idx="1528">
                  <c:v>16.9374488591431</c:v>
                </c:pt>
                <c:pt idx="1529">
                  <c:v>16.9374488591431</c:v>
                </c:pt>
                <c:pt idx="1530">
                  <c:v>16.9374488591431</c:v>
                </c:pt>
                <c:pt idx="1531">
                  <c:v>16.9374488591431</c:v>
                </c:pt>
                <c:pt idx="1532">
                  <c:v>16.9374488591431</c:v>
                </c:pt>
                <c:pt idx="1533">
                  <c:v>16.9374488591431</c:v>
                </c:pt>
                <c:pt idx="1534">
                  <c:v>16.9374488591431</c:v>
                </c:pt>
                <c:pt idx="1535">
                  <c:v>16.9374488591431</c:v>
                </c:pt>
                <c:pt idx="1536">
                  <c:v>16.9374488591431</c:v>
                </c:pt>
                <c:pt idx="1537">
                  <c:v>16.9374488591431</c:v>
                </c:pt>
                <c:pt idx="1538">
                  <c:v>16.9374488591431</c:v>
                </c:pt>
                <c:pt idx="1539">
                  <c:v>16.9374488591431</c:v>
                </c:pt>
                <c:pt idx="1540">
                  <c:v>16.9374488591431</c:v>
                </c:pt>
                <c:pt idx="1541">
                  <c:v>16.9374488591431</c:v>
                </c:pt>
                <c:pt idx="1542">
                  <c:v>16.9374488591431</c:v>
                </c:pt>
                <c:pt idx="1543">
                  <c:v>16.9374488591431</c:v>
                </c:pt>
                <c:pt idx="1544">
                  <c:v>16.9374488591431</c:v>
                </c:pt>
                <c:pt idx="1545">
                  <c:v>16.9374488591431</c:v>
                </c:pt>
                <c:pt idx="1546">
                  <c:v>16.9374488591431</c:v>
                </c:pt>
                <c:pt idx="1547">
                  <c:v>16.9374488591431</c:v>
                </c:pt>
                <c:pt idx="1548">
                  <c:v>16.9374488591431</c:v>
                </c:pt>
                <c:pt idx="1549">
                  <c:v>16.9374488591431</c:v>
                </c:pt>
                <c:pt idx="1550">
                  <c:v>16.9374488591431</c:v>
                </c:pt>
                <c:pt idx="1551">
                  <c:v>16.9374488591431</c:v>
                </c:pt>
                <c:pt idx="1552">
                  <c:v>16.9374488591431</c:v>
                </c:pt>
                <c:pt idx="1553">
                  <c:v>16.9374488591431</c:v>
                </c:pt>
                <c:pt idx="1554">
                  <c:v>16.9374488591431</c:v>
                </c:pt>
                <c:pt idx="1555">
                  <c:v>16.9374488591431</c:v>
                </c:pt>
                <c:pt idx="1556">
                  <c:v>16.9374488591431</c:v>
                </c:pt>
                <c:pt idx="1557">
                  <c:v>16.9374488591431</c:v>
                </c:pt>
                <c:pt idx="1558">
                  <c:v>16.9374488591431</c:v>
                </c:pt>
                <c:pt idx="1559">
                  <c:v>16.9374488591431</c:v>
                </c:pt>
                <c:pt idx="1560">
                  <c:v>16.9374488591431</c:v>
                </c:pt>
                <c:pt idx="1561">
                  <c:v>16.9374488591431</c:v>
                </c:pt>
                <c:pt idx="1562">
                  <c:v>16.9374488591431</c:v>
                </c:pt>
                <c:pt idx="1563">
                  <c:v>16.9374488591431</c:v>
                </c:pt>
                <c:pt idx="1564">
                  <c:v>16.9374488591431</c:v>
                </c:pt>
                <c:pt idx="1565">
                  <c:v>16.9374488591431</c:v>
                </c:pt>
                <c:pt idx="1566">
                  <c:v>16.9374488591431</c:v>
                </c:pt>
                <c:pt idx="1567">
                  <c:v>16.9374488591431</c:v>
                </c:pt>
                <c:pt idx="1568">
                  <c:v>16.9374488591431</c:v>
                </c:pt>
                <c:pt idx="1569">
                  <c:v>16.9374488591431</c:v>
                </c:pt>
                <c:pt idx="1570">
                  <c:v>16.9374488591431</c:v>
                </c:pt>
                <c:pt idx="1571">
                  <c:v>16.9374488591431</c:v>
                </c:pt>
                <c:pt idx="1572">
                  <c:v>16.9374488591431</c:v>
                </c:pt>
                <c:pt idx="1573">
                  <c:v>16.9374488591431</c:v>
                </c:pt>
                <c:pt idx="1574">
                  <c:v>16.9374488591431</c:v>
                </c:pt>
                <c:pt idx="1575">
                  <c:v>16.9374488591431</c:v>
                </c:pt>
                <c:pt idx="1576">
                  <c:v>16.9374488591431</c:v>
                </c:pt>
                <c:pt idx="1577">
                  <c:v>16.9374488591431</c:v>
                </c:pt>
                <c:pt idx="1578">
                  <c:v>16.9374488591431</c:v>
                </c:pt>
                <c:pt idx="1579">
                  <c:v>16.9374488591431</c:v>
                </c:pt>
                <c:pt idx="1580">
                  <c:v>16.9374488591431</c:v>
                </c:pt>
                <c:pt idx="1581">
                  <c:v>16.9374488591431</c:v>
                </c:pt>
                <c:pt idx="1582">
                  <c:v>16.9374488591431</c:v>
                </c:pt>
                <c:pt idx="1583">
                  <c:v>16.9374488591431</c:v>
                </c:pt>
                <c:pt idx="1584">
                  <c:v>16.9374488591431</c:v>
                </c:pt>
                <c:pt idx="1585">
                  <c:v>16.9374488591431</c:v>
                </c:pt>
                <c:pt idx="1586">
                  <c:v>16.9374488591431</c:v>
                </c:pt>
                <c:pt idx="1587">
                  <c:v>16.9374488591431</c:v>
                </c:pt>
                <c:pt idx="1588">
                  <c:v>16.9374488591431</c:v>
                </c:pt>
                <c:pt idx="1589">
                  <c:v>16.9374488591431</c:v>
                </c:pt>
                <c:pt idx="1590">
                  <c:v>16.9374488591431</c:v>
                </c:pt>
                <c:pt idx="1591">
                  <c:v>16.9374488591431</c:v>
                </c:pt>
                <c:pt idx="1592">
                  <c:v>16.9374488591431</c:v>
                </c:pt>
                <c:pt idx="1593">
                  <c:v>16.9374488591431</c:v>
                </c:pt>
                <c:pt idx="1594">
                  <c:v>16.9374488591431</c:v>
                </c:pt>
                <c:pt idx="1595">
                  <c:v>16.9374488591431</c:v>
                </c:pt>
                <c:pt idx="1596">
                  <c:v>16.9374488591431</c:v>
                </c:pt>
                <c:pt idx="1597">
                  <c:v>16.9374488591431</c:v>
                </c:pt>
                <c:pt idx="1598">
                  <c:v>16.9374488591431</c:v>
                </c:pt>
                <c:pt idx="1599">
                  <c:v>16.9374488591431</c:v>
                </c:pt>
                <c:pt idx="1600">
                  <c:v>16.9374488591431</c:v>
                </c:pt>
                <c:pt idx="1601">
                  <c:v>16.9374488591431</c:v>
                </c:pt>
                <c:pt idx="1602">
                  <c:v>16.9374488591431</c:v>
                </c:pt>
                <c:pt idx="1603">
                  <c:v>16.9374488591431</c:v>
                </c:pt>
                <c:pt idx="1604">
                  <c:v>16.9374488591431</c:v>
                </c:pt>
                <c:pt idx="1605">
                  <c:v>16.9374488591431</c:v>
                </c:pt>
                <c:pt idx="1606">
                  <c:v>16.9374488591431</c:v>
                </c:pt>
                <c:pt idx="1607">
                  <c:v>16.9374488591431</c:v>
                </c:pt>
                <c:pt idx="1608">
                  <c:v>16.9374488591431</c:v>
                </c:pt>
                <c:pt idx="1609">
                  <c:v>16.9374488591431</c:v>
                </c:pt>
                <c:pt idx="1610">
                  <c:v>16.9374488591431</c:v>
                </c:pt>
                <c:pt idx="1611">
                  <c:v>16.9374488591431</c:v>
                </c:pt>
                <c:pt idx="1612">
                  <c:v>16.9374488591431</c:v>
                </c:pt>
                <c:pt idx="1613">
                  <c:v>16.9374488591431</c:v>
                </c:pt>
                <c:pt idx="1614">
                  <c:v>16.9374488591431</c:v>
                </c:pt>
                <c:pt idx="1615">
                  <c:v>16.9374488591431</c:v>
                </c:pt>
                <c:pt idx="1616">
                  <c:v>16.9374488591431</c:v>
                </c:pt>
                <c:pt idx="1617">
                  <c:v>16.9374488591431</c:v>
                </c:pt>
                <c:pt idx="1618">
                  <c:v>16.9374488591431</c:v>
                </c:pt>
                <c:pt idx="1619">
                  <c:v>16.9374488591431</c:v>
                </c:pt>
                <c:pt idx="1620">
                  <c:v>16.9374488591431</c:v>
                </c:pt>
                <c:pt idx="1621">
                  <c:v>16.9374488591431</c:v>
                </c:pt>
                <c:pt idx="1622">
                  <c:v>16.9374488591431</c:v>
                </c:pt>
                <c:pt idx="1623">
                  <c:v>16.9374488591431</c:v>
                </c:pt>
                <c:pt idx="1624">
                  <c:v>16.9374488591431</c:v>
                </c:pt>
                <c:pt idx="1625">
                  <c:v>16.9374488591431</c:v>
                </c:pt>
                <c:pt idx="1626">
                  <c:v>16.9374488591431</c:v>
                </c:pt>
                <c:pt idx="1627">
                  <c:v>16.9374488591431</c:v>
                </c:pt>
                <c:pt idx="1628">
                  <c:v>16.9374488591431</c:v>
                </c:pt>
                <c:pt idx="1629">
                  <c:v>16.9374488591431</c:v>
                </c:pt>
                <c:pt idx="1630">
                  <c:v>16.9374488591431</c:v>
                </c:pt>
                <c:pt idx="1631">
                  <c:v>16.9374488591431</c:v>
                </c:pt>
                <c:pt idx="1632">
                  <c:v>16.9374488591431</c:v>
                </c:pt>
                <c:pt idx="1633">
                  <c:v>16.9374488591431</c:v>
                </c:pt>
                <c:pt idx="1634">
                  <c:v>16.9374488591431</c:v>
                </c:pt>
                <c:pt idx="1635">
                  <c:v>16.9374488591431</c:v>
                </c:pt>
                <c:pt idx="1636">
                  <c:v>16.9374488591431</c:v>
                </c:pt>
                <c:pt idx="1637">
                  <c:v>16.9374488591431</c:v>
                </c:pt>
                <c:pt idx="1638">
                  <c:v>16.9374488591431</c:v>
                </c:pt>
                <c:pt idx="1639">
                  <c:v>16.9374488591431</c:v>
                </c:pt>
                <c:pt idx="1640">
                  <c:v>16.9374488591431</c:v>
                </c:pt>
                <c:pt idx="1641">
                  <c:v>16.9374488591431</c:v>
                </c:pt>
                <c:pt idx="1642">
                  <c:v>16.9374488591431</c:v>
                </c:pt>
                <c:pt idx="1643">
                  <c:v>16.9374488591431</c:v>
                </c:pt>
                <c:pt idx="1644">
                  <c:v>16.9374488591431</c:v>
                </c:pt>
                <c:pt idx="1645">
                  <c:v>16.9374488591431</c:v>
                </c:pt>
                <c:pt idx="1646">
                  <c:v>16.9374488591431</c:v>
                </c:pt>
                <c:pt idx="1647">
                  <c:v>16.9374488591431</c:v>
                </c:pt>
                <c:pt idx="1648">
                  <c:v>16.9374488591431</c:v>
                </c:pt>
                <c:pt idx="1649">
                  <c:v>16.9374488591431</c:v>
                </c:pt>
                <c:pt idx="1650">
                  <c:v>16.9374488591431</c:v>
                </c:pt>
                <c:pt idx="1651">
                  <c:v>16.9374488591431</c:v>
                </c:pt>
                <c:pt idx="1652">
                  <c:v>16.9374488591431</c:v>
                </c:pt>
                <c:pt idx="1653">
                  <c:v>16.9374488591431</c:v>
                </c:pt>
                <c:pt idx="1654">
                  <c:v>16.9374488591431</c:v>
                </c:pt>
                <c:pt idx="1655">
                  <c:v>16.9374488591431</c:v>
                </c:pt>
                <c:pt idx="1656">
                  <c:v>16.9374488591431</c:v>
                </c:pt>
                <c:pt idx="1657">
                  <c:v>16.9374488591431</c:v>
                </c:pt>
                <c:pt idx="1658">
                  <c:v>16.9374488591431</c:v>
                </c:pt>
                <c:pt idx="1659">
                  <c:v>16.9374488591431</c:v>
                </c:pt>
                <c:pt idx="1660">
                  <c:v>16.9374488591431</c:v>
                </c:pt>
                <c:pt idx="1661">
                  <c:v>16.9374488591431</c:v>
                </c:pt>
                <c:pt idx="1662">
                  <c:v>16.9374488591431</c:v>
                </c:pt>
                <c:pt idx="1663">
                  <c:v>16.9374488591431</c:v>
                </c:pt>
                <c:pt idx="1664">
                  <c:v>16.9374488591431</c:v>
                </c:pt>
                <c:pt idx="1665">
                  <c:v>16.9374488591431</c:v>
                </c:pt>
                <c:pt idx="1666">
                  <c:v>16.9374488591431</c:v>
                </c:pt>
                <c:pt idx="1667">
                  <c:v>16.9374488591431</c:v>
                </c:pt>
              </c:numCache>
            </c:numRef>
          </c:val>
          <c:smooth val="0"/>
        </c:ser>
        <c:hiLowLines>
          <c:spPr>
            <a:ln w="0">
              <a:noFill/>
            </a:ln>
          </c:spPr>
        </c:hiLowLines>
        <c:marker val="0"/>
        <c:axId val="99845222"/>
        <c:axId val="41328150"/>
      </c:lineChart>
      <c:dateAx>
        <c:axId val="99845222"/>
        <c:scaling>
          <c:orientation val="minMax"/>
        </c:scaling>
        <c:delete val="0"/>
        <c:axPos val="b"/>
        <c:numFmt formatCode="yyyy" sourceLinked="0"/>
        <c:majorTickMark val="out"/>
        <c:minorTickMark val="none"/>
        <c:tickLblPos val="nextTo"/>
        <c:spPr>
          <a:ln w="9360">
            <a:solidFill>
              <a:srgbClr val="bcbcb5"/>
            </a:solidFill>
            <a:round/>
          </a:ln>
        </c:spPr>
        <c:txPr>
          <a:bodyPr/>
          <a:lstStyle/>
          <a:p>
            <a:pPr>
              <a:defRPr b="0" sz="900" spc="-1" strike="noStrike">
                <a:solidFill>
                  <a:srgbClr val="6c6a62"/>
                </a:solidFill>
                <a:latin typeface="Fira Sans"/>
              </a:defRPr>
            </a:pPr>
          </a:p>
        </c:txPr>
        <c:crossAx val="41328150"/>
        <c:crosses val="autoZero"/>
        <c:auto val="1"/>
        <c:lblOffset val="100"/>
        <c:baseTimeUnit val="days"/>
        <c:majorUnit val="1"/>
        <c:majorTimeUnit val="years"/>
        <c:noMultiLvlLbl val="0"/>
      </c:dateAx>
      <c:valAx>
        <c:axId val="41328150"/>
        <c:scaling>
          <c:orientation val="minMax"/>
          <c:max val="24"/>
          <c:min val="10"/>
        </c:scaling>
        <c:delete val="0"/>
        <c:axPos val="l"/>
        <c:majorGridlines>
          <c:spPr>
            <a:ln w="9360">
              <a:solidFill>
                <a:srgbClr val="e4e4e0"/>
              </a:solidFill>
              <a:round/>
            </a:ln>
          </c:spPr>
        </c:majorGridlines>
        <c:title>
          <c:tx>
            <c:rich>
              <a:bodyPr rot="-5400000"/>
              <a:lstStyle/>
              <a:p>
                <a:pPr>
                  <a:defRPr b="0" sz="900" spc="-1" strike="noStrike">
                    <a:solidFill>
                      <a:srgbClr val="6c6a62"/>
                    </a:solidFill>
                    <a:latin typeface="Fira Sans"/>
                  </a:defRPr>
                </a:pPr>
                <a:r>
                  <a:rPr b="0" sz="900" spc="-1" strike="noStrike">
                    <a:solidFill>
                      <a:srgbClr val="6c6a62"/>
                    </a:solidFill>
                    <a:latin typeface="Fira Sans"/>
                  </a:rPr>
                  <a:t>Forward P/E (x)</a:t>
                </a:r>
              </a:p>
            </c:rich>
          </c:tx>
          <c:overlay val="0"/>
          <c:spPr>
            <a:noFill/>
            <a:ln w="0">
              <a:noFill/>
            </a:ln>
          </c:spPr>
        </c:title>
        <c:numFmt formatCode="0\x" sourceLinked="0"/>
        <c:majorTickMark val="none"/>
        <c:minorTickMark val="none"/>
        <c:tickLblPos val="nextTo"/>
        <c:spPr>
          <a:ln w="9360">
            <a:noFill/>
          </a:ln>
        </c:spPr>
        <c:txPr>
          <a:bodyPr/>
          <a:lstStyle/>
          <a:p>
            <a:pPr>
              <a:defRPr b="0" sz="900" spc="-1" strike="noStrike">
                <a:solidFill>
                  <a:srgbClr val="6c6a62"/>
                </a:solidFill>
                <a:latin typeface="Fira Sans"/>
              </a:defRPr>
            </a:pPr>
          </a:p>
        </c:txPr>
        <c:crossAx val="99845222"/>
        <c:crosses val="autoZero"/>
        <c:crossBetween val="between"/>
        <c:majorUnit val="2"/>
      </c:valAx>
      <c:spPr>
        <a:noFill/>
        <a:ln w="0">
          <a:noFill/>
        </a:ln>
      </c:spPr>
    </c:plotArea>
    <c:legend>
      <c:legendPos val="t"/>
      <c:overlay val="0"/>
      <c:spPr>
        <a:noFill/>
        <a:ln w="0">
          <a:noFill/>
        </a:ln>
      </c:spPr>
      <c:txPr>
        <a:bodyPr/>
        <a:lstStyle/>
        <a:p>
          <a:pPr>
            <a:defRPr b="0" sz="1000" spc="-1" strike="noStrike">
              <a:solidFill>
                <a:srgbClr val="272623"/>
              </a:solidFill>
              <a:latin typeface="Fira Sans"/>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xdr:row>
      <xdr:rowOff>0</xdr:rowOff>
    </xdr:from>
    <xdr:to>
      <xdr:col>16</xdr:col>
      <xdr:colOff>190440</xdr:colOff>
      <xdr:row>24</xdr:row>
      <xdr:rowOff>73080</xdr:rowOff>
    </xdr:to>
    <xdr:graphicFrame>
      <xdr:nvGraphicFramePr>
        <xdr:cNvPr id="0" name="Chart 1"/>
        <xdr:cNvGraphicFramePr/>
      </xdr:nvGraphicFramePr>
      <xdr:xfrm>
        <a:off x="222120" y="1562040"/>
        <a:ext cx="9791640" cy="331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26</xdr:row>
      <xdr:rowOff>0</xdr:rowOff>
    </xdr:from>
    <xdr:to>
      <xdr:col>16</xdr:col>
      <xdr:colOff>190440</xdr:colOff>
      <xdr:row>38</xdr:row>
      <xdr:rowOff>17640</xdr:rowOff>
    </xdr:to>
    <xdr:graphicFrame>
      <xdr:nvGraphicFramePr>
        <xdr:cNvPr id="1" name="Chart 2"/>
        <xdr:cNvGraphicFramePr/>
      </xdr:nvGraphicFramePr>
      <xdr:xfrm>
        <a:off x="222120" y="5181480"/>
        <a:ext cx="9791640" cy="230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0</xdr:colOff>
      <xdr:row>1</xdr:row>
      <xdr:rowOff>0</xdr:rowOff>
    </xdr:from>
    <xdr:to>
      <xdr:col>18</xdr:col>
      <xdr:colOff>552240</xdr:colOff>
      <xdr:row>2</xdr:row>
      <xdr:rowOff>171360</xdr:rowOff>
    </xdr:to>
    <xdr:pic>
      <xdr:nvPicPr>
        <xdr:cNvPr id="2" name="Image 3" descr="Picture"/>
        <xdr:cNvPicPr/>
      </xdr:nvPicPr>
      <xdr:blipFill>
        <a:blip r:embed="rId3"/>
        <a:stretch/>
      </xdr:blipFill>
      <xdr:spPr>
        <a:xfrm>
          <a:off x="11103480" y="123840"/>
          <a:ext cx="552240" cy="552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0" min="2" style="0" width="7.2"/>
  </cols>
  <sheetData>
    <row r="1" customFormat="false" ht="9.75" hidden="false" customHeight="true" outlineLevel="0" collapsed="false"/>
    <row r="2" customFormat="false" ht="30" hidden="false" customHeight="true" outlineLevel="0" collapsed="false">
      <c r="B2" s="1" t="s">
        <v>0</v>
      </c>
    </row>
    <row r="3" customFormat="false" ht="18" hidden="false" customHeight="true" outlineLevel="0" collapsed="false">
      <c r="B3" s="2" t="s">
        <v>1</v>
      </c>
    </row>
    <row r="4" customFormat="false" ht="18" hidden="false" customHeight="true" outlineLevel="0" collapsed="false">
      <c r="B4" s="2" t="s">
        <v>2</v>
      </c>
    </row>
    <row r="5" customFormat="false" ht="7.5" hidden="false" customHeight="true" outlineLevel="0" collapsed="false"/>
    <row r="6" customFormat="false" ht="33.75" hidden="false" customHeight="true" outlineLevel="0" collapsed="false">
      <c r="B6" s="3" t="str">
        <f aca="false">"Nifty 50   "&amp;TEXT(Summary!C8,"#,##0")&amp;"  →  "&amp;TEXT(Summary!C9,"#,##0")&amp;"   ("&amp;TEXT(Summary!F8,"0.0")&amp;"x)"</f>
        <v>Nifty 50   9,979  →  22,780   (2.3x)</v>
      </c>
      <c r="H6" s="4" t="str">
        <f aca="false">"Forward EPS   ₹"&amp;TEXT(Summary!E8,"#,##0")&amp;"  →  ₹"&amp;TEXT(Summary!E9,"#,##0")&amp;"   ("&amp;TEXT(Summary!G8,"0.0")&amp;"x)"</f>
        <v>Forward EPS   ₹588  →  ₹1,345   (2.3x)</v>
      </c>
      <c r="N6" s="5" t="str">
        <f aca="false">"Forward P/E   "&amp;TEXT(Summary!D8,"0.0")&amp;"x  →  "&amp;TEXT(Summary!D9,"0.0")&amp;"x"</f>
        <v>Forward P/E   17.0x  →  16.9x</v>
      </c>
    </row>
    <row r="7" customFormat="false" ht="6" hidden="false" customHeight="true" outlineLevel="0" collapsed="false"/>
    <row r="41" customFormat="false" ht="15" hidden="false" customHeight="false" outlineLevel="0" collapsed="false">
      <c r="B41" s="6" t="s">
        <v>3</v>
      </c>
    </row>
    <row r="42" customFormat="false" ht="15" hidden="false" customHeight="false" outlineLevel="0" collapsed="false">
      <c r="B42" s="6" t="s">
        <v>4</v>
      </c>
    </row>
    <row r="44" customFormat="false" ht="15" hidden="false" customHeight="false" outlineLevel="0" collapsed="false">
      <c r="B44" s="7" t="s">
        <v>5</v>
      </c>
    </row>
  </sheetData>
  <printOptions headings="false" gridLines="false" gridLinesSet="true" horizontalCentered="false" verticalCentered="false"/>
  <pageMargins left="0.3" right="0.3" top="0.3" bottom="0.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5"/>
    <col collapsed="false" customWidth="true" hidden="false" outlineLevel="0" max="5" min="4" style="0" width="13"/>
    <col collapsed="false" customWidth="true" hidden="false" outlineLevel="0" max="7" min="6" style="0" width="14"/>
    <col collapsed="false" customWidth="true" hidden="false" outlineLevel="0" max="8" min="8" style="0" width="15"/>
    <col collapsed="false" customWidth="true" hidden="false" outlineLevel="0" max="10" min="9" style="0" width="14"/>
    <col collapsed="false" customWidth="true" hidden="false" outlineLevel="0" max="12" min="11" style="0" width="13"/>
  </cols>
  <sheetData>
    <row r="1" customFormat="false" ht="57.75" hidden="false" customHeight="true" outlineLevel="0" collapsed="false">
      <c r="A1" s="8" t="s">
        <v>6</v>
      </c>
      <c r="B1" s="8" t="s">
        <v>7</v>
      </c>
      <c r="C1" s="8" t="s">
        <v>8</v>
      </c>
      <c r="D1" s="8" t="s">
        <v>9</v>
      </c>
      <c r="E1" s="8" t="s">
        <v>10</v>
      </c>
      <c r="F1" s="8" t="s">
        <v>11</v>
      </c>
      <c r="G1" s="8" t="s">
        <v>12</v>
      </c>
      <c r="H1" s="8" t="s">
        <v>13</v>
      </c>
      <c r="I1" s="8" t="s">
        <v>14</v>
      </c>
      <c r="J1" s="8" t="s">
        <v>15</v>
      </c>
      <c r="K1" s="8" t="s">
        <v>16</v>
      </c>
      <c r="L1" s="8" t="s">
        <v>17</v>
      </c>
    </row>
    <row r="2" customFormat="false" ht="15" hidden="false" customHeight="false" outlineLevel="0" collapsed="false">
      <c r="A2" s="9" t="n">
        <v>43769</v>
      </c>
      <c r="B2" s="10" t="n">
        <v>11877.45</v>
      </c>
      <c r="C2" s="11" t="n">
        <v>18.7368</v>
      </c>
      <c r="D2" s="11" t="n">
        <v>18.723</v>
      </c>
      <c r="E2" s="11" t="n">
        <v>18.7506</v>
      </c>
      <c r="F2" s="12" t="n">
        <f aca="false">IF(C2="","",B2/C2)</f>
        <v>633.910272832074</v>
      </c>
      <c r="G2" s="12" t="n">
        <f aca="false">MEDIAN(F2:F12)</f>
        <v>643.289452953097</v>
      </c>
      <c r="H2" s="13" t="n">
        <f aca="false">B2/G2</f>
        <v>18.4636168764701</v>
      </c>
      <c r="I2" s="14" t="n">
        <f aca="false">B2/Summary!$C$8*100</f>
        <v>119.023258610496</v>
      </c>
      <c r="J2" s="14" t="n">
        <f aca="false">G2/Summary!$E$8*100</f>
        <v>109.33078885594</v>
      </c>
      <c r="K2" s="15" t="n">
        <f aca="false">Summary!$D$9</f>
        <v>16.9374488591431</v>
      </c>
      <c r="L2" s="16" t="str">
        <f aca="false">IF(OR(D2="",E2=""),"edge hidden",IF(AND(H2&gt;=D2-0.02,H2&lt;=E2+0.02),"yes","no"))</f>
        <v>no</v>
      </c>
    </row>
    <row r="3" customFormat="false" ht="15" hidden="false" customHeight="false" outlineLevel="0" collapsed="false">
      <c r="A3" s="9" t="n">
        <v>43770</v>
      </c>
      <c r="B3" s="10" t="n">
        <v>11890.6</v>
      </c>
      <c r="C3" s="11" t="n">
        <v>18.6895</v>
      </c>
      <c r="D3" s="11" t="n">
        <v>18.6285</v>
      </c>
      <c r="E3" s="11" t="n">
        <v>18.7506</v>
      </c>
      <c r="F3" s="12" t="n">
        <f aca="false">IF(C3="","",B3/C3)</f>
        <v>636.218197383558</v>
      </c>
      <c r="G3" s="12" t="n">
        <f aca="false">MEDIAN(F2:F13)</f>
        <v>643.248999920687</v>
      </c>
      <c r="H3" s="13" t="n">
        <f aca="false">B3/G3</f>
        <v>18.485221121939</v>
      </c>
      <c r="I3" s="14" t="n">
        <f aca="false">B3/Summary!$C$8*100</f>
        <v>119.155034021104</v>
      </c>
      <c r="J3" s="14" t="n">
        <f aca="false">G3/Summary!$E$8*100</f>
        <v>109.323913627495</v>
      </c>
      <c r="K3" s="15" t="n">
        <f aca="false">Summary!$D$9</f>
        <v>16.9374488591431</v>
      </c>
      <c r="L3" s="16" t="str">
        <f aca="false">IF(OR(D3="",E3=""),"edge hidden",IF(AND(H3&gt;=D3-0.02,H3&lt;=E3+0.02),"yes","no"))</f>
        <v>no</v>
      </c>
    </row>
    <row r="4" customFormat="false" ht="15" hidden="false" customHeight="false" outlineLevel="0" collapsed="false">
      <c r="A4" s="9" t="n">
        <v>43773</v>
      </c>
      <c r="B4" s="10" t="n">
        <v>11941.3</v>
      </c>
      <c r="C4" s="11" t="n">
        <v>18.6541</v>
      </c>
      <c r="D4" s="11" t="n">
        <v>18.5734</v>
      </c>
      <c r="E4" s="11" t="n">
        <v>18.7348</v>
      </c>
      <c r="F4" s="12" t="n">
        <f aca="false">IF(C4="","",B4/C4)</f>
        <v>640.143453717949</v>
      </c>
      <c r="G4" s="12" t="n">
        <f aca="false">MEDIAN(F2:F14)</f>
        <v>643.289452953097</v>
      </c>
      <c r="H4" s="13" t="n">
        <f aca="false">B4/G4</f>
        <v>18.5628723511353</v>
      </c>
      <c r="I4" s="14" t="n">
        <f aca="false">B4/Summary!$C$8*100</f>
        <v>119.663095870369</v>
      </c>
      <c r="J4" s="14" t="n">
        <f aca="false">G4/Summary!$E$8*100</f>
        <v>109.33078885594</v>
      </c>
      <c r="K4" s="15" t="n">
        <f aca="false">Summary!$D$9</f>
        <v>16.9374488591431</v>
      </c>
      <c r="L4" s="16" t="str">
        <f aca="false">IF(OR(D4="",E4=""),"edge hidden",IF(AND(H4&gt;=D4-0.02,H4&lt;=E4+0.02),"yes","no"))</f>
        <v>yes</v>
      </c>
    </row>
    <row r="5" customFormat="false" ht="15" hidden="false" customHeight="false" outlineLevel="0" collapsed="false">
      <c r="A5" s="9" t="n">
        <v>43774</v>
      </c>
      <c r="B5" s="10" t="n">
        <v>11917.2</v>
      </c>
      <c r="C5" s="11" t="n">
        <v>18.6147</v>
      </c>
      <c r="D5" s="11" t="n">
        <v>18.5104</v>
      </c>
      <c r="E5" s="11" t="n">
        <v>18.7191</v>
      </c>
      <c r="F5" s="12" t="n">
        <f aca="false">IF(C5="","",B5/C5)</f>
        <v>640.203709971152</v>
      </c>
      <c r="G5" s="12" t="n">
        <f aca="false">MEDIAN(F2:F15)</f>
        <v>643.397500056685</v>
      </c>
      <c r="H5" s="13" t="n">
        <f aca="false">B5/G5</f>
        <v>18.5222976448464</v>
      </c>
      <c r="I5" s="14" t="n">
        <f aca="false">B5/Summary!$C$8*100</f>
        <v>119.421591125452</v>
      </c>
      <c r="J5" s="14" t="n">
        <f aca="false">G5/Summary!$E$8*100</f>
        <v>109.349152090429</v>
      </c>
      <c r="K5" s="15" t="n">
        <f aca="false">Summary!$D$9</f>
        <v>16.9374488591431</v>
      </c>
      <c r="L5" s="16" t="str">
        <f aca="false">IF(OR(D5="",E5=""),"edge hidden",IF(AND(H5&gt;=D5-0.02,H5&lt;=E5+0.02),"yes","no"))</f>
        <v>yes</v>
      </c>
    </row>
    <row r="6" customFormat="false" ht="15" hidden="false" customHeight="false" outlineLevel="0" collapsed="false">
      <c r="A6" s="9" t="n">
        <v>43775</v>
      </c>
      <c r="B6" s="10" t="n">
        <v>11966.05</v>
      </c>
      <c r="C6" s="11" t="n">
        <v>18.5951</v>
      </c>
      <c r="D6" s="11" t="n">
        <v>18.4868</v>
      </c>
      <c r="E6" s="11" t="n">
        <v>18.7033</v>
      </c>
      <c r="F6" s="12" t="n">
        <f aca="false">IF(C6="","",B6/C6)</f>
        <v>643.505547160273</v>
      </c>
      <c r="G6" s="12" t="n">
        <f aca="false">MEDIAN(F2:F16)</f>
        <v>643.505547160273</v>
      </c>
      <c r="H6" s="13" t="n">
        <f aca="false">B6/G6</f>
        <v>18.5951</v>
      </c>
      <c r="I6" s="14" t="n">
        <f aca="false">B6/Summary!$C$8*100</f>
        <v>119.911114228738</v>
      </c>
      <c r="J6" s="14" t="n">
        <f aca="false">G6/Summary!$E$8*100</f>
        <v>109.367515324918</v>
      </c>
      <c r="K6" s="15" t="n">
        <f aca="false">Summary!$D$9</f>
        <v>16.9374488591431</v>
      </c>
      <c r="L6" s="16" t="str">
        <f aca="false">IF(OR(D6="",E6=""),"edge hidden",IF(AND(H6&gt;=D6-0.02,H6&lt;=E6+0.02),"yes","no"))</f>
        <v>yes</v>
      </c>
    </row>
    <row r="7" customFormat="false" ht="15" hidden="false" customHeight="false" outlineLevel="0" collapsed="false">
      <c r="A7" s="9" t="n">
        <v>43776</v>
      </c>
      <c r="B7" s="10" t="n">
        <v>12012.05</v>
      </c>
      <c r="C7" s="11" t="n">
        <v>18.5872</v>
      </c>
      <c r="D7" s="11" t="n">
        <v>18.471</v>
      </c>
      <c r="E7" s="11" t="n">
        <v>18.7033</v>
      </c>
      <c r="F7" s="12" t="n">
        <f aca="false">IF(C7="","",B7/C7)</f>
        <v>646.253873633468</v>
      </c>
      <c r="G7" s="12" t="n">
        <f aca="false">MEDIAN(F2:F17)</f>
        <v>643.48011651582</v>
      </c>
      <c r="H7" s="13" t="n">
        <f aca="false">B7/G7</f>
        <v>18.6673211676536</v>
      </c>
      <c r="I7" s="14" t="n">
        <f aca="false">B7/Summary!$C$8*100</f>
        <v>120.372077642272</v>
      </c>
      <c r="J7" s="14" t="n">
        <f aca="false">G7/Summary!$E$8*100</f>
        <v>109.363193238793</v>
      </c>
      <c r="K7" s="15" t="n">
        <f aca="false">Summary!$D$9</f>
        <v>16.9374488591431</v>
      </c>
      <c r="L7" s="16" t="str">
        <f aca="false">IF(OR(D7="",E7=""),"edge hidden",IF(AND(H7&gt;=D7-0.02,H7&lt;=E7+0.02),"yes","no"))</f>
        <v>yes</v>
      </c>
    </row>
    <row r="8" customFormat="false" ht="15" hidden="false" customHeight="false" outlineLevel="0" collapsed="false">
      <c r="A8" s="9" t="n">
        <v>43777</v>
      </c>
      <c r="B8" s="10" t="n">
        <v>11908.15</v>
      </c>
      <c r="C8" s="11" t="n">
        <v>18.5793</v>
      </c>
      <c r="D8" s="11" t="n">
        <v>18.4632</v>
      </c>
      <c r="E8" s="11" t="n">
        <v>18.6954</v>
      </c>
      <c r="F8" s="12" t="n">
        <f aca="false">IF(C8="","",B8/C8)</f>
        <v>640.936418487241</v>
      </c>
      <c r="G8" s="12" t="n">
        <f aca="false">MEDIAN(F2:F18)</f>
        <v>643.505547160273</v>
      </c>
      <c r="H8" s="13" t="n">
        <f aca="false">B8/G8</f>
        <v>18.5051240856423</v>
      </c>
      <c r="I8" s="14" t="n">
        <f aca="false">B8/Summary!$C$8*100</f>
        <v>119.330901584311</v>
      </c>
      <c r="J8" s="14" t="n">
        <f aca="false">G8/Summary!$E$8*100</f>
        <v>109.367515324918</v>
      </c>
      <c r="K8" s="15" t="n">
        <f aca="false">Summary!$D$9</f>
        <v>16.9374488591431</v>
      </c>
      <c r="L8" s="16" t="str">
        <f aca="false">IF(OR(D8="",E8=""),"edge hidden",IF(AND(H8&gt;=D8-0.02,H8&lt;=E8+0.02),"yes","no"))</f>
        <v>yes</v>
      </c>
    </row>
    <row r="9" customFormat="false" ht="15" hidden="false" customHeight="false" outlineLevel="0" collapsed="false">
      <c r="A9" s="9" t="n">
        <v>43780</v>
      </c>
      <c r="B9" s="10" t="n">
        <v>11913.45</v>
      </c>
      <c r="C9" s="11" t="n">
        <v>18.4139</v>
      </c>
      <c r="D9" s="11" t="n">
        <v>18.3451</v>
      </c>
      <c r="E9" s="11" t="n">
        <v>18.4828</v>
      </c>
      <c r="F9" s="12" t="n">
        <f aca="false">IF(C9="","",B9/C9)</f>
        <v>646.981356475271</v>
      </c>
      <c r="G9" s="12" t="n">
        <f aca="false">MEDIAN(F2:F19)</f>
        <v>644.188949571446</v>
      </c>
      <c r="H9" s="13" t="n">
        <f aca="false">B9/G9</f>
        <v>18.4937199061324</v>
      </c>
      <c r="I9" s="14" t="n">
        <f aca="false">B9/Summary!$C$8*100</f>
        <v>119.384012586305</v>
      </c>
      <c r="J9" s="14" t="n">
        <f aca="false">G9/Summary!$E$8*100</f>
        <v>109.483663544629</v>
      </c>
      <c r="K9" s="15" t="n">
        <f aca="false">Summary!$D$9</f>
        <v>16.9374488591431</v>
      </c>
      <c r="L9" s="16" t="str">
        <f aca="false">IF(OR(D9="",E9=""),"edge hidden",IF(AND(H9&gt;=D9-0.02,H9&lt;=E9+0.02),"yes","no"))</f>
        <v>yes</v>
      </c>
    </row>
    <row r="10" customFormat="false" ht="15" hidden="false" customHeight="false" outlineLevel="0" collapsed="false">
      <c r="A10" s="9" t="n">
        <v>43782</v>
      </c>
      <c r="B10" s="10" t="n">
        <v>11840.45</v>
      </c>
      <c r="C10" s="11" t="n">
        <v>18.4061</v>
      </c>
      <c r="D10" s="11" t="n">
        <v>18.3372</v>
      </c>
      <c r="E10" s="11" t="n">
        <v>18.475</v>
      </c>
      <c r="F10" s="12" t="n">
        <f aca="false">IF(C10="","",B10/C10)</f>
        <v>643.289452953097</v>
      </c>
      <c r="G10" s="12" t="n">
        <f aca="false">MEDIAN(F2:F20)</f>
        <v>644.872351982618</v>
      </c>
      <c r="H10" s="13" t="n">
        <f aca="false">B10/G10</f>
        <v>18.3609205195374</v>
      </c>
      <c r="I10" s="14" t="n">
        <f aca="false">B10/Summary!$C$8*100</f>
        <v>118.652483690914</v>
      </c>
      <c r="J10" s="14" t="n">
        <f aca="false">G10/Summary!$E$8*100</f>
        <v>109.59981176434</v>
      </c>
      <c r="K10" s="15" t="n">
        <f aca="false">Summary!$D$9</f>
        <v>16.9374488591431</v>
      </c>
      <c r="L10" s="16" t="str">
        <f aca="false">IF(OR(D10="",E10=""),"edge hidden",IF(AND(H10&gt;=D10-0.02,H10&lt;=E10+0.02),"yes","no"))</f>
        <v>yes</v>
      </c>
    </row>
    <row r="11" customFormat="false" ht="15" hidden="false" customHeight="false" outlineLevel="0" collapsed="false">
      <c r="A11" s="9" t="n">
        <v>43783</v>
      </c>
      <c r="B11" s="10" t="n">
        <v>11872.1</v>
      </c>
      <c r="C11" s="11" t="n">
        <v>18.41</v>
      </c>
      <c r="D11" s="11" t="n">
        <v>18.3451</v>
      </c>
      <c r="E11" s="11" t="n">
        <v>18.475</v>
      </c>
      <c r="F11" s="12" t="n">
        <f aca="false">IF(C11="","",B11/C11)</f>
        <v>644.872351982618</v>
      </c>
      <c r="G11" s="12" t="n">
        <f aca="false">MEDIAN(F2:F21)</f>
        <v>645.299576961898</v>
      </c>
      <c r="H11" s="13" t="n">
        <f aca="false">B11/G11</f>
        <v>18.3978115341318</v>
      </c>
      <c r="I11" s="14" t="n">
        <f aca="false">B11/Summary!$C$8*100</f>
        <v>118.969646561313</v>
      </c>
      <c r="J11" s="14" t="n">
        <f aca="false">G11/Summary!$E$8*100</f>
        <v>109.6724211376</v>
      </c>
      <c r="K11" s="15" t="n">
        <f aca="false">Summary!$D$9</f>
        <v>16.9374488591431</v>
      </c>
      <c r="L11" s="16" t="str">
        <f aca="false">IF(OR(D11="",E11=""),"edge hidden",IF(AND(H11&gt;=D11-0.02,H11&lt;=E11+0.02),"yes","no"))</f>
        <v>yes</v>
      </c>
    </row>
    <row r="12" customFormat="false" ht="15" hidden="false" customHeight="false" outlineLevel="0" collapsed="false">
      <c r="A12" s="9" t="n">
        <v>43784</v>
      </c>
      <c r="B12" s="10" t="n">
        <v>11895.45</v>
      </c>
      <c r="C12" s="11" t="n">
        <v>18.4218</v>
      </c>
      <c r="D12" s="11" t="n">
        <v>18.3608</v>
      </c>
      <c r="E12" s="11" t="n">
        <v>18.4828</v>
      </c>
      <c r="F12" s="12" t="n">
        <f aca="false">IF(C12="","",B12/C12)</f>
        <v>645.726801941178</v>
      </c>
      <c r="G12" s="12" t="n">
        <f aca="false">MEDIAN(F2:F22)</f>
        <v>645.726801941178</v>
      </c>
      <c r="H12" s="13" t="n">
        <f aca="false">B12/G12</f>
        <v>18.4218</v>
      </c>
      <c r="I12" s="14" t="n">
        <f aca="false">B12/Summary!$C$8*100</f>
        <v>119.203635598401</v>
      </c>
      <c r="J12" s="14" t="n">
        <f aca="false">G12/Summary!$E$8*100</f>
        <v>109.74503051086</v>
      </c>
      <c r="K12" s="15" t="n">
        <f aca="false">Summary!$D$9</f>
        <v>16.9374488591431</v>
      </c>
      <c r="L12" s="16" t="str">
        <f aca="false">IF(OR(D12="",E12=""),"edge hidden",IF(AND(H12&gt;=D12-0.02,H12&lt;=E12+0.02),"yes","no"))</f>
        <v>yes</v>
      </c>
    </row>
    <row r="13" customFormat="false" ht="15" hidden="false" customHeight="false" outlineLevel="0" collapsed="false">
      <c r="A13" s="9" t="n">
        <v>43787</v>
      </c>
      <c r="B13" s="10" t="n">
        <v>11884.5</v>
      </c>
      <c r="C13" s="11" t="n">
        <v>18.4769</v>
      </c>
      <c r="D13" s="11" t="n">
        <v>18.4002</v>
      </c>
      <c r="E13" s="11" t="n">
        <v>18.5537</v>
      </c>
      <c r="F13" s="12" t="n">
        <f aca="false">IF(C13="","",B13/C13)</f>
        <v>643.208546888277</v>
      </c>
      <c r="G13" s="12" t="n">
        <f aca="false">MEDIAN(F3:F23)</f>
        <v>645.94153033844</v>
      </c>
      <c r="H13" s="13" t="n">
        <f aca="false">B13/G13</f>
        <v>18.3987240977881</v>
      </c>
      <c r="I13" s="14" t="n">
        <f aca="false">B13/Summary!$C$8*100</f>
        <v>119.093906264092</v>
      </c>
      <c r="J13" s="14" t="n">
        <f aca="false">G13/Summary!$E$8*100</f>
        <v>109.781524852489</v>
      </c>
      <c r="K13" s="15" t="n">
        <f aca="false">Summary!$D$9</f>
        <v>16.9374488591431</v>
      </c>
      <c r="L13" s="16" t="str">
        <f aca="false">IF(OR(D13="",E13=""),"edge hidden",IF(AND(H13&gt;=D13-0.02,H13&lt;=E13+0.02),"yes","no"))</f>
        <v>yes</v>
      </c>
    </row>
    <row r="14" customFormat="false" ht="15" hidden="false" customHeight="false" outlineLevel="0" collapsed="false">
      <c r="A14" s="9" t="n">
        <v>43788</v>
      </c>
      <c r="B14" s="10" t="n">
        <v>11940.1</v>
      </c>
      <c r="C14" s="11" t="n">
        <v>18.4848</v>
      </c>
      <c r="D14" s="11" t="n">
        <v>18.408</v>
      </c>
      <c r="E14" s="11" t="n">
        <v>18.5616</v>
      </c>
      <c r="F14" s="12" t="n">
        <f aca="false">IF(C14="","",B14/C14)</f>
        <v>645.94153033844</v>
      </c>
      <c r="G14" s="12" t="n">
        <f aca="false">MEDIAN(F4:F24)</f>
        <v>646.253873633468</v>
      </c>
      <c r="H14" s="13" t="n">
        <f aca="false">B14/G14</f>
        <v>18.4758660445136</v>
      </c>
      <c r="I14" s="14" t="n">
        <f aca="false">B14/Summary!$C$8*100</f>
        <v>119.651070737842</v>
      </c>
      <c r="J14" s="14" t="n">
        <f aca="false">G14/Summary!$E$8*100</f>
        <v>109.834609414474</v>
      </c>
      <c r="K14" s="15" t="n">
        <f aca="false">Summary!$D$9</f>
        <v>16.9374488591431</v>
      </c>
      <c r="L14" s="16" t="str">
        <f aca="false">IF(OR(D14="",E14=""),"edge hidden",IF(AND(H14&gt;=D14-0.02,H14&lt;=E14+0.02),"yes","no"))</f>
        <v>yes</v>
      </c>
    </row>
    <row r="15" customFormat="false" ht="15" hidden="false" customHeight="false" outlineLevel="0" collapsed="false">
      <c r="A15" s="9" t="n">
        <v>43789</v>
      </c>
      <c r="B15" s="10" t="n">
        <v>11999.1</v>
      </c>
      <c r="C15" s="11" t="n">
        <v>18.4888</v>
      </c>
      <c r="D15" s="11" t="n">
        <v>18.408</v>
      </c>
      <c r="E15" s="11" t="n">
        <v>18.5695</v>
      </c>
      <c r="F15" s="12" t="n">
        <f aca="false">IF(C15="","",B15/C15)</f>
        <v>648.992903812038</v>
      </c>
      <c r="G15" s="12" t="n">
        <f aca="false">MEDIAN(F5:F25)</f>
        <v>646.507205980856</v>
      </c>
      <c r="H15" s="13" t="n">
        <f aca="false">B15/G15</f>
        <v>18.5598859362989</v>
      </c>
      <c r="I15" s="14" t="n">
        <f aca="false">B15/Summary!$C$8*100</f>
        <v>120.242306420419</v>
      </c>
      <c r="J15" s="14" t="n">
        <f aca="false">G15/Summary!$E$8*100</f>
        <v>109.877664722245</v>
      </c>
      <c r="K15" s="15" t="n">
        <f aca="false">Summary!$D$9</f>
        <v>16.9374488591431</v>
      </c>
      <c r="L15" s="16" t="str">
        <f aca="false">IF(OR(D15="",E15=""),"edge hidden",IF(AND(H15&gt;=D15-0.02,H15&lt;=E15+0.02),"yes","no"))</f>
        <v>yes</v>
      </c>
    </row>
    <row r="16" customFormat="false" ht="15" hidden="false" customHeight="false" outlineLevel="0" collapsed="false">
      <c r="A16" s="9" t="n">
        <v>43790</v>
      </c>
      <c r="B16" s="10" t="n">
        <v>11968.4</v>
      </c>
      <c r="C16" s="11" t="n">
        <v>18.5124</v>
      </c>
      <c r="D16" s="11" t="n">
        <v>18.408</v>
      </c>
      <c r="E16" s="11" t="n">
        <v>18.6167</v>
      </c>
      <c r="F16" s="12" t="n">
        <f aca="false">IF(C16="","",B16/C16)</f>
        <v>646.507205980856</v>
      </c>
      <c r="G16" s="12" t="n">
        <f aca="false">MEDIAN(F6:F26)</f>
        <v>646.981356475271</v>
      </c>
      <c r="H16" s="13" t="n">
        <f aca="false">B16/G16</f>
        <v>18.4988328955928</v>
      </c>
      <c r="I16" s="14" t="n">
        <f aca="false">B16/Summary!$C$8*100</f>
        <v>119.934663446603</v>
      </c>
      <c r="J16" s="14" t="n">
        <f aca="false">G16/Summary!$E$8*100</f>
        <v>109.958249360082</v>
      </c>
      <c r="K16" s="15" t="n">
        <f aca="false">Summary!$D$9</f>
        <v>16.9374488591431</v>
      </c>
      <c r="L16" s="16" t="str">
        <f aca="false">IF(OR(D16="",E16=""),"edge hidden",IF(AND(H16&gt;=D16-0.02,H16&lt;=E16+0.02),"yes","no"))</f>
        <v>yes</v>
      </c>
    </row>
    <row r="17" customFormat="false" ht="15" hidden="false" customHeight="false" outlineLevel="0" collapsed="false">
      <c r="A17" s="9" t="n">
        <v>43791</v>
      </c>
      <c r="B17" s="10" t="n">
        <v>11914.4</v>
      </c>
      <c r="C17" s="11" t="n">
        <v>18.5163</v>
      </c>
      <c r="D17" s="11" t="n">
        <v>18.408</v>
      </c>
      <c r="E17" s="11" t="n">
        <v>18.6246</v>
      </c>
      <c r="F17" s="12" t="n">
        <f aca="false">IF(C17="","",B17/C17)</f>
        <v>643.454685871367</v>
      </c>
      <c r="G17" s="12" t="n">
        <f aca="false">MEDIAN(F7:F27)</f>
        <v>648.992903812038</v>
      </c>
      <c r="H17" s="13" t="n">
        <f aca="false">B17/G17</f>
        <v>18.3582900984241</v>
      </c>
      <c r="I17" s="14" t="n">
        <f aca="false">B17/Summary!$C$8*100</f>
        <v>119.393532482889</v>
      </c>
      <c r="J17" s="14" t="n">
        <f aca="false">G17/Summary!$E$8*100</f>
        <v>110.300123544619</v>
      </c>
      <c r="K17" s="15" t="n">
        <f aca="false">Summary!$D$9</f>
        <v>16.9374488591431</v>
      </c>
      <c r="L17" s="16" t="str">
        <f aca="false">IF(OR(D17="",E17=""),"edge hidden",IF(AND(H17&gt;=D17-0.02,H17&lt;=E17+0.02),"yes","no"))</f>
        <v>no</v>
      </c>
    </row>
    <row r="18" customFormat="false" ht="15" hidden="false" customHeight="false" outlineLevel="0" collapsed="false">
      <c r="A18" s="9" t="n">
        <v>43794</v>
      </c>
      <c r="B18" s="10" t="n">
        <v>12073.75</v>
      </c>
      <c r="C18" s="11" t="n">
        <v>18.536</v>
      </c>
      <c r="D18" s="11" t="n">
        <v>18.4159</v>
      </c>
      <c r="E18" s="11" t="n">
        <v>18.6561</v>
      </c>
      <c r="F18" s="12" t="n">
        <f aca="false">IF(C18="","",B18/C18)</f>
        <v>651.367608977126</v>
      </c>
      <c r="G18" s="12" t="n">
        <f aca="false">MEDIAN(F8:F28)</f>
        <v>649.00958604255</v>
      </c>
      <c r="H18" s="13" t="n">
        <f aca="false">B18/G18</f>
        <v>18.6033461749337</v>
      </c>
      <c r="I18" s="14" t="n">
        <f aca="false">B18/Summary!$C$8*100</f>
        <v>120.990369873035</v>
      </c>
      <c r="J18" s="14" t="n">
        <f aca="false">G18/Summary!$E$8*100</f>
        <v>110.302958786847</v>
      </c>
      <c r="K18" s="15" t="n">
        <f aca="false">Summary!$D$9</f>
        <v>16.9374488591431</v>
      </c>
      <c r="L18" s="16" t="str">
        <f aca="false">IF(OR(D18="",E18=""),"edge hidden",IF(AND(H18&gt;=D18-0.02,H18&lt;=E18+0.02),"yes","no"))</f>
        <v>yes</v>
      </c>
    </row>
    <row r="19" customFormat="false" ht="15" hidden="false" customHeight="false" outlineLevel="0" collapsed="false">
      <c r="A19" s="9" t="n">
        <v>43795</v>
      </c>
      <c r="B19" s="10" t="n">
        <v>12037.7</v>
      </c>
      <c r="C19" s="11" t="n">
        <v>18.5478</v>
      </c>
      <c r="D19" s="11" t="n">
        <v>18.4317</v>
      </c>
      <c r="E19" s="11" t="n">
        <v>18.6639</v>
      </c>
      <c r="F19" s="12" t="n">
        <f aca="false">IF(C19="","",B19/C19)</f>
        <v>649.00958604255</v>
      </c>
      <c r="G19" s="12" t="n">
        <f aca="false">MEDIAN(F9:F29)</f>
        <v>650.549586932943</v>
      </c>
      <c r="H19" s="13" t="n">
        <f aca="false">B19/G19</f>
        <v>18.5038930802377</v>
      </c>
      <c r="I19" s="14" t="n">
        <f aca="false">B19/Summary!$C$8*100</f>
        <v>120.629114850037</v>
      </c>
      <c r="J19" s="14" t="n">
        <f aca="false">G19/Summary!$E$8*100</f>
        <v>110.564690906677</v>
      </c>
      <c r="K19" s="15" t="n">
        <f aca="false">Summary!$D$9</f>
        <v>16.9374488591431</v>
      </c>
      <c r="L19" s="16" t="str">
        <f aca="false">IF(OR(D19="",E19=""),"edge hidden",IF(AND(H19&gt;=D19-0.02,H19&lt;=E19+0.02),"yes","no"))</f>
        <v>yes</v>
      </c>
    </row>
    <row r="20" customFormat="false" ht="15" hidden="false" customHeight="false" outlineLevel="0" collapsed="false">
      <c r="A20" s="9" t="n">
        <v>43796</v>
      </c>
      <c r="B20" s="10" t="n">
        <v>12100.7</v>
      </c>
      <c r="C20" s="11" t="n">
        <v>18.5557</v>
      </c>
      <c r="D20" s="11" t="n">
        <v>18.4474</v>
      </c>
      <c r="E20" s="11" t="n">
        <v>18.6639</v>
      </c>
      <c r="F20" s="12" t="n">
        <f aca="false">IF(C20="","",B20/C20)</f>
        <v>652.128456485069</v>
      </c>
      <c r="G20" s="12" t="n">
        <f aca="false">MEDIAN(F10:F30)</f>
        <v>651.367608977126</v>
      </c>
      <c r="H20" s="13" t="n">
        <f aca="false">B20/G20</f>
        <v>18.5773744859716</v>
      </c>
      <c r="I20" s="14" t="n">
        <f aca="false">B20/Summary!$C$8*100</f>
        <v>121.260434307703</v>
      </c>
      <c r="J20" s="14" t="n">
        <f aca="false">G20/Summary!$E$8*100</f>
        <v>110.703718517003</v>
      </c>
      <c r="K20" s="15" t="n">
        <f aca="false">Summary!$D$9</f>
        <v>16.9374488591431</v>
      </c>
      <c r="L20" s="16" t="str">
        <f aca="false">IF(OR(D20="",E20=""),"edge hidden",IF(AND(H20&gt;=D20-0.02,H20&lt;=E20+0.02),"yes","no"))</f>
        <v>yes</v>
      </c>
    </row>
    <row r="21" customFormat="false" ht="15" hidden="false" customHeight="false" outlineLevel="0" collapsed="false">
      <c r="A21" s="9" t="n">
        <v>43797</v>
      </c>
      <c r="B21" s="10" t="n">
        <v>12151.15</v>
      </c>
      <c r="C21" s="11" t="n">
        <v>18.5439</v>
      </c>
      <c r="D21" s="11" t="n">
        <v>18.4317</v>
      </c>
      <c r="E21" s="11" t="n">
        <v>18.6561</v>
      </c>
      <c r="F21" s="12" t="n">
        <f aca="false">IF(C21="","",B21/C21)</f>
        <v>655.263995168222</v>
      </c>
      <c r="G21" s="12" t="n">
        <f aca="false">MEDIAN(F11:F31)</f>
        <v>652.128456485069</v>
      </c>
      <c r="H21" s="13" t="n">
        <f aca="false">B21/G21</f>
        <v>18.6330620588065</v>
      </c>
      <c r="I21" s="14" t="n">
        <f aca="false">B21/Summary!$C$8*100</f>
        <v>121.765990921025</v>
      </c>
      <c r="J21" s="14" t="n">
        <f aca="false">G21/Summary!$E$8*100</f>
        <v>110.833028981928</v>
      </c>
      <c r="K21" s="15" t="n">
        <f aca="false">Summary!$D$9</f>
        <v>16.9374488591431</v>
      </c>
      <c r="L21" s="16" t="str">
        <f aca="false">IF(OR(D21="",E21=""),"edge hidden",IF(AND(H21&gt;=D21-0.02,H21&lt;=E21+0.02),"yes","no"))</f>
        <v>yes</v>
      </c>
    </row>
    <row r="22" customFormat="false" ht="15" hidden="false" customHeight="false" outlineLevel="0" collapsed="false">
      <c r="A22" s="9" t="n">
        <v>43798</v>
      </c>
      <c r="B22" s="10" t="n">
        <v>12056.05</v>
      </c>
      <c r="C22" s="11" t="n">
        <v>18.5321</v>
      </c>
      <c r="D22" s="11" t="n">
        <v>18.4159</v>
      </c>
      <c r="E22" s="11" t="n">
        <v>18.6482</v>
      </c>
      <c r="F22" s="12" t="n">
        <f aca="false">IF(C22="","",B22/C22)</f>
        <v>650.549586932943</v>
      </c>
      <c r="G22" s="12" t="n">
        <f aca="false">MEDIAN(F12:F32)</f>
        <v>652.411713565683</v>
      </c>
      <c r="H22" s="13" t="n">
        <f aca="false">B22/G22</f>
        <v>18.4792053075029</v>
      </c>
      <c r="I22" s="14" t="n">
        <f aca="false">B22/Summary!$C$8*100</f>
        <v>120.812999168262</v>
      </c>
      <c r="J22" s="14" t="n">
        <f aca="false">G22/Summary!$E$8*100</f>
        <v>110.881170172383</v>
      </c>
      <c r="K22" s="15" t="n">
        <f aca="false">Summary!$D$9</f>
        <v>16.9374488591431</v>
      </c>
      <c r="L22" s="16" t="str">
        <f aca="false">IF(OR(D22="",E22=""),"edge hidden",IF(AND(H22&gt;=D22-0.02,H22&lt;=E22+0.02),"yes","no"))</f>
        <v>yes</v>
      </c>
    </row>
    <row r="23" customFormat="false" ht="15" hidden="false" customHeight="false" outlineLevel="0" collapsed="false">
      <c r="A23" s="9" t="n">
        <v>43801</v>
      </c>
      <c r="B23" s="10" t="n">
        <v>12048.2</v>
      </c>
      <c r="C23" s="11" t="n">
        <v>18.3706</v>
      </c>
      <c r="D23" s="11" t="n">
        <v>18.2427</v>
      </c>
      <c r="E23" s="11" t="n">
        <v>18.4986</v>
      </c>
      <c r="F23" s="12" t="n">
        <f aca="false">IF(C23="","",B23/C23)</f>
        <v>655.841398756709</v>
      </c>
      <c r="G23" s="12" t="n">
        <f aca="false">MEDIAN(F13:F33)</f>
        <v>653.000301262564</v>
      </c>
      <c r="H23" s="13" t="n">
        <f aca="false">B23/G23</f>
        <v>18.4505274755694</v>
      </c>
      <c r="I23" s="14" t="n">
        <f aca="false">B23/Summary!$C$8*100</f>
        <v>120.734334759648</v>
      </c>
      <c r="J23" s="14" t="n">
        <f aca="false">G23/Summary!$E$8*100</f>
        <v>110.981204079228</v>
      </c>
      <c r="K23" s="15" t="n">
        <f aca="false">Summary!$D$9</f>
        <v>16.9374488591431</v>
      </c>
      <c r="L23" s="16" t="str">
        <f aca="false">IF(OR(D23="",E23=""),"edge hidden",IF(AND(H23&gt;=D23-0.02,H23&lt;=E23+0.02),"yes","no"))</f>
        <v>yes</v>
      </c>
    </row>
    <row r="24" customFormat="false" ht="15" hidden="false" customHeight="false" outlineLevel="0" collapsed="false">
      <c r="A24" s="9" t="n">
        <v>43802</v>
      </c>
      <c r="B24" s="10" t="n">
        <v>11994.2</v>
      </c>
      <c r="C24" s="11" t="n">
        <v>18.3352</v>
      </c>
      <c r="D24" s="11" t="n">
        <v>18.1954</v>
      </c>
      <c r="E24" s="11" t="n">
        <v>18.475</v>
      </c>
      <c r="F24" s="12" t="n">
        <f aca="false">IF(C24="","",B24/C24)</f>
        <v>654.162485274227</v>
      </c>
      <c r="G24" s="12" t="n">
        <f aca="false">MEDIAN(F14:F34)</f>
        <v>654.162485274227</v>
      </c>
      <c r="H24" s="13" t="n">
        <f aca="false">B24/G24</f>
        <v>18.3352</v>
      </c>
      <c r="I24" s="14" t="n">
        <f aca="false">B24/Summary!$C$8*100</f>
        <v>120.193203795934</v>
      </c>
      <c r="J24" s="14" t="n">
        <f aca="false">G24/Summary!$E$8*100</f>
        <v>111.178724020224</v>
      </c>
      <c r="K24" s="15" t="n">
        <f aca="false">Summary!$D$9</f>
        <v>16.9374488591431</v>
      </c>
      <c r="L24" s="16" t="str">
        <f aca="false">IF(OR(D24="",E24=""),"edge hidden",IF(AND(H24&gt;=D24-0.02,H24&lt;=E24+0.02),"yes","no"))</f>
        <v>yes</v>
      </c>
    </row>
    <row r="25" customFormat="false" ht="15" hidden="false" customHeight="false" outlineLevel="0" collapsed="false">
      <c r="A25" s="9" t="n">
        <v>43803</v>
      </c>
      <c r="B25" s="10" t="n">
        <v>12043.2</v>
      </c>
      <c r="C25" s="11" t="n">
        <v>18.3076</v>
      </c>
      <c r="D25" s="11" t="n">
        <v>18.1718</v>
      </c>
      <c r="E25" s="11" t="n">
        <v>18.4435</v>
      </c>
      <c r="F25" s="12" t="n">
        <f aca="false">IF(C25="","",B25/C25)</f>
        <v>657.825165505036</v>
      </c>
      <c r="G25" s="12" t="n">
        <f aca="false">MEDIAN(F15:F35)</f>
        <v>654.888868364292</v>
      </c>
      <c r="H25" s="13" t="n">
        <f aca="false">B25/G25</f>
        <v>18.3896850011822</v>
      </c>
      <c r="I25" s="14" t="n">
        <f aca="false">B25/Summary!$C$8*100</f>
        <v>120.684230040785</v>
      </c>
      <c r="J25" s="14" t="n">
        <f aca="false">G25/Summary!$E$8*100</f>
        <v>111.30217705662</v>
      </c>
      <c r="K25" s="15" t="n">
        <f aca="false">Summary!$D$9</f>
        <v>16.9374488591431</v>
      </c>
      <c r="L25" s="16" t="str">
        <f aca="false">IF(OR(D25="",E25=""),"edge hidden",IF(AND(H25&gt;=D25-0.02,H25&lt;=E25+0.02),"yes","no"))</f>
        <v>yes</v>
      </c>
    </row>
    <row r="26" customFormat="false" ht="15" hidden="false" customHeight="false" outlineLevel="0" collapsed="false">
      <c r="A26" s="9" t="n">
        <v>43804</v>
      </c>
      <c r="B26" s="10" t="n">
        <v>12018.4</v>
      </c>
      <c r="C26" s="11" t="n">
        <v>18.288</v>
      </c>
      <c r="D26" s="11" t="n">
        <v>18.1639</v>
      </c>
      <c r="E26" s="11" t="n">
        <v>18.412</v>
      </c>
      <c r="F26" s="12" t="n">
        <f aca="false">IF(C26="","",B26/C26)</f>
        <v>657.174103237095</v>
      </c>
      <c r="G26" s="12" t="n">
        <f aca="false">MEDIAN(F16:F36)</f>
        <v>655.206654307201</v>
      </c>
      <c r="H26" s="13" t="n">
        <f aca="false">B26/G26</f>
        <v>18.3429150497685</v>
      </c>
      <c r="I26" s="14" t="n">
        <f aca="false">B26/Summary!$C$8*100</f>
        <v>120.435710635228</v>
      </c>
      <c r="J26" s="14" t="n">
        <f aca="false">G26/Summary!$E$8*100</f>
        <v>111.356186628308</v>
      </c>
      <c r="K26" s="15" t="n">
        <f aca="false">Summary!$D$9</f>
        <v>16.9374488591431</v>
      </c>
      <c r="L26" s="16" t="str">
        <f aca="false">IF(OR(D26="",E26=""),"edge hidden",IF(AND(H26&gt;=D26-0.02,H26&lt;=E26+0.02),"yes","no"))</f>
        <v>yes</v>
      </c>
    </row>
    <row r="27" customFormat="false" ht="15" hidden="false" customHeight="false" outlineLevel="0" collapsed="false">
      <c r="A27" s="9" t="n">
        <v>43805</v>
      </c>
      <c r="B27" s="10" t="n">
        <v>11921.5</v>
      </c>
      <c r="C27" s="11" t="n">
        <v>18.2565</v>
      </c>
      <c r="D27" s="11" t="n">
        <v>18.1246</v>
      </c>
      <c r="E27" s="11" t="n">
        <v>18.3884</v>
      </c>
      <c r="F27" s="12" t="n">
        <f aca="false">IF(C27="","",B27/C27)</f>
        <v>653.000301262564</v>
      </c>
      <c r="G27" s="12" t="n">
        <f aca="false">MEDIAN(F17:F37)</f>
        <v>655.263995168222</v>
      </c>
      <c r="H27" s="13" t="n">
        <f aca="false">B27/G27</f>
        <v>18.1934305683001</v>
      </c>
      <c r="I27" s="14" t="n">
        <f aca="false">B27/Summary!$C$8*100</f>
        <v>119.464681183674</v>
      </c>
      <c r="J27" s="14" t="n">
        <f aca="false">G27/Summary!$E$8*100</f>
        <v>111.365932041575</v>
      </c>
      <c r="K27" s="15" t="n">
        <f aca="false">Summary!$D$9</f>
        <v>16.9374488591431</v>
      </c>
      <c r="L27" s="16" t="str">
        <f aca="false">IF(OR(D27="",E27=""),"edge hidden",IF(AND(H27&gt;=D27-0.02,H27&lt;=E27+0.02),"yes","no"))</f>
        <v>yes</v>
      </c>
    </row>
    <row r="28" customFormat="false" ht="15" hidden="false" customHeight="false" outlineLevel="0" collapsed="false">
      <c r="A28" s="9" t="n">
        <v>43808</v>
      </c>
      <c r="B28" s="10" t="n">
        <v>11937.5</v>
      </c>
      <c r="C28" s="11" t="n">
        <v>18.1699</v>
      </c>
      <c r="D28" s="11" t="n">
        <v>18.0301</v>
      </c>
      <c r="E28" s="11" t="n">
        <v>18.3096</v>
      </c>
      <c r="F28" s="12" t="n">
        <f aca="false">IF(C28="","",B28/C28)</f>
        <v>656.993159015735</v>
      </c>
      <c r="G28" s="12" t="n">
        <f aca="false">MEDIAN(F18:F38)</f>
        <v>655.841398756709</v>
      </c>
      <c r="H28" s="13" t="n">
        <f aca="false">B28/G28</f>
        <v>18.2018091914145</v>
      </c>
      <c r="I28" s="14" t="n">
        <f aca="false">B28/Summary!$C$8*100</f>
        <v>119.625016284034</v>
      </c>
      <c r="J28" s="14" t="n">
        <f aca="false">G28/Summary!$E$8*100</f>
        <v>111.464065144065</v>
      </c>
      <c r="K28" s="15" t="n">
        <f aca="false">Summary!$D$9</f>
        <v>16.9374488591431</v>
      </c>
      <c r="L28" s="16" t="str">
        <f aca="false">IF(OR(D28="",E28=""),"edge hidden",IF(AND(H28&gt;=D28-0.02,H28&lt;=E28+0.02),"yes","no"))</f>
        <v>yes</v>
      </c>
    </row>
    <row r="29" customFormat="false" ht="15" hidden="false" customHeight="false" outlineLevel="0" collapsed="false">
      <c r="A29" s="9" t="n">
        <v>43809</v>
      </c>
      <c r="B29" s="10" t="n">
        <v>11856.8</v>
      </c>
      <c r="C29" s="11" t="n">
        <v>18.1738</v>
      </c>
      <c r="D29" s="11" t="n">
        <v>18.0301</v>
      </c>
      <c r="E29" s="11" t="n">
        <v>18.3175</v>
      </c>
      <c r="F29" s="12" t="n">
        <f aca="false">IF(C29="","",B29/C29)</f>
        <v>652.411713565683</v>
      </c>
      <c r="G29" s="12" t="n">
        <f aca="false">MEDIAN(F19:F39)</f>
        <v>656.993159015735</v>
      </c>
      <c r="H29" s="13" t="n">
        <f aca="false">B29/G29</f>
        <v>18.0470676707853</v>
      </c>
      <c r="I29" s="14" t="n">
        <f aca="false">B29/Summary!$C$8*100</f>
        <v>118.816326121594</v>
      </c>
      <c r="J29" s="14" t="n">
        <f aca="false">G29/Summary!$E$8*100</f>
        <v>111.659813507596</v>
      </c>
      <c r="K29" s="15" t="n">
        <f aca="false">Summary!$D$9</f>
        <v>16.9374488591431</v>
      </c>
      <c r="L29" s="16" t="str">
        <f aca="false">IF(OR(D29="",E29=""),"edge hidden",IF(AND(H29&gt;=D29-0.02,H29&lt;=E29+0.02),"yes","no"))</f>
        <v>yes</v>
      </c>
    </row>
    <row r="30" customFormat="false" ht="15" hidden="false" customHeight="false" outlineLevel="0" collapsed="false">
      <c r="A30" s="9" t="n">
        <v>43810</v>
      </c>
      <c r="B30" s="10" t="n">
        <v>11910.15</v>
      </c>
      <c r="C30" s="11" t="n">
        <v>18.1777</v>
      </c>
      <c r="D30" s="11" t="n">
        <v>18.0301</v>
      </c>
      <c r="E30" s="11" t="n">
        <v>18.3254</v>
      </c>
      <c r="F30" s="12" t="n">
        <f aca="false">IF(C30="","",B30/C30)</f>
        <v>655.206654307201</v>
      </c>
      <c r="G30" s="12" t="n">
        <f aca="false">MEDIAN(F20:F40)</f>
        <v>657.174103237095</v>
      </c>
      <c r="H30" s="13" t="n">
        <f aca="false">B30/G30</f>
        <v>18.123279571324</v>
      </c>
      <c r="I30" s="14" t="n">
        <f aca="false">B30/Summary!$C$8*100</f>
        <v>119.350943471856</v>
      </c>
      <c r="J30" s="14" t="n">
        <f aca="false">G30/Summary!$E$8*100</f>
        <v>111.690566031781</v>
      </c>
      <c r="K30" s="15" t="n">
        <f aca="false">Summary!$D$9</f>
        <v>16.9374488591431</v>
      </c>
      <c r="L30" s="16" t="str">
        <f aca="false">IF(OR(D30="",E30=""),"edge hidden",IF(AND(H30&gt;=D30-0.02,H30&lt;=E30+0.02),"yes","no"))</f>
        <v>yes</v>
      </c>
    </row>
    <row r="31" customFormat="false" ht="15" hidden="false" customHeight="false" outlineLevel="0" collapsed="false">
      <c r="A31" s="9" t="n">
        <v>43811</v>
      </c>
      <c r="B31" s="10" t="n">
        <v>11971.8</v>
      </c>
      <c r="C31" s="11" t="n">
        <v>18.1974</v>
      </c>
      <c r="D31" s="11" t="n">
        <v>18.0537</v>
      </c>
      <c r="E31" s="11" t="n">
        <v>18.3411</v>
      </c>
      <c r="F31" s="12" t="n">
        <f aca="false">IF(C31="","",B31/C31)</f>
        <v>657.885192390122</v>
      </c>
      <c r="G31" s="12" t="n">
        <f aca="false">MEDIAN(F21:F41)</f>
        <v>657.825165505036</v>
      </c>
      <c r="H31" s="13" t="n">
        <f aca="false">B31/G31</f>
        <v>18.1990605221204</v>
      </c>
      <c r="I31" s="14" t="n">
        <f aca="false">B31/Summary!$C$8*100</f>
        <v>119.96873465543</v>
      </c>
      <c r="J31" s="14" t="n">
        <f aca="false">G31/Summary!$E$8*100</f>
        <v>111.801217855811</v>
      </c>
      <c r="K31" s="15" t="n">
        <f aca="false">Summary!$D$9</f>
        <v>16.9374488591431</v>
      </c>
      <c r="L31" s="16" t="str">
        <f aca="false">IF(OR(D31="",E31=""),"edge hidden",IF(AND(H31&gt;=D31-0.02,H31&lt;=E31+0.02),"yes","no"))</f>
        <v>yes</v>
      </c>
    </row>
    <row r="32" customFormat="false" ht="15" hidden="false" customHeight="false" outlineLevel="0" collapsed="false">
      <c r="A32" s="9" t="n">
        <v>43812</v>
      </c>
      <c r="B32" s="10" t="n">
        <v>12086.7</v>
      </c>
      <c r="C32" s="11" t="n">
        <v>18.2132</v>
      </c>
      <c r="D32" s="11" t="n">
        <v>18.0695</v>
      </c>
      <c r="E32" s="11" t="n">
        <v>18.3569</v>
      </c>
      <c r="F32" s="12" t="n">
        <f aca="false">IF(C32="","",B32/C32)</f>
        <v>663.62308655261</v>
      </c>
      <c r="G32" s="12" t="n">
        <f aca="false">MEDIAN(F22:F42)</f>
        <v>657.885192390122</v>
      </c>
      <c r="H32" s="13" t="n">
        <f aca="false">B32/G32</f>
        <v>18.3720505337543</v>
      </c>
      <c r="I32" s="14" t="n">
        <f aca="false">B32/Summary!$C$8*100</f>
        <v>121.120141094888</v>
      </c>
      <c r="J32" s="14" t="n">
        <f aca="false">G32/Summary!$E$8*100</f>
        <v>111.81141977451</v>
      </c>
      <c r="K32" s="15" t="n">
        <f aca="false">Summary!$D$9</f>
        <v>16.9374488591431</v>
      </c>
      <c r="L32" s="16" t="str">
        <f aca="false">IF(OR(D32="",E32=""),"edge hidden",IF(AND(H32&gt;=D32-0.02,H32&lt;=E32+0.02),"yes","no"))</f>
        <v>yes</v>
      </c>
    </row>
    <row r="33" customFormat="false" ht="15" hidden="false" customHeight="false" outlineLevel="0" collapsed="false">
      <c r="A33" s="9" t="n">
        <v>43815</v>
      </c>
      <c r="B33" s="10" t="n">
        <v>12053.95</v>
      </c>
      <c r="C33" s="11" t="n">
        <v>18.4061</v>
      </c>
      <c r="D33" s="11" t="n">
        <v>18.2584</v>
      </c>
      <c r="E33" s="11" t="n">
        <v>18.5537</v>
      </c>
      <c r="F33" s="12" t="n">
        <f aca="false">IF(C33="","",B33/C33)</f>
        <v>654.888868364292</v>
      </c>
      <c r="G33" s="12" t="n">
        <f aca="false">MEDIAN(F23:F43)</f>
        <v>660.106365605914</v>
      </c>
      <c r="H33" s="13" t="n">
        <f aca="false">B33/G33</f>
        <v>18.2606177247445</v>
      </c>
      <c r="I33" s="14" t="n">
        <f aca="false">B33/Summary!$C$8*100</f>
        <v>120.791955186339</v>
      </c>
      <c r="J33" s="14" t="n">
        <f aca="false">G33/Summary!$E$8*100</f>
        <v>112.188921097987</v>
      </c>
      <c r="K33" s="15" t="n">
        <f aca="false">Summary!$D$9</f>
        <v>16.9374488591431</v>
      </c>
      <c r="L33" s="16" t="str">
        <f aca="false">IF(OR(D33="",E33=""),"edge hidden",IF(AND(H33&gt;=D33-0.02,H33&lt;=E33+0.02),"yes","no"))</f>
        <v>yes</v>
      </c>
    </row>
    <row r="34" customFormat="false" ht="15" hidden="false" customHeight="false" outlineLevel="0" collapsed="false">
      <c r="A34" s="9" t="n">
        <v>43816</v>
      </c>
      <c r="B34" s="10" t="n">
        <v>12165</v>
      </c>
      <c r="C34" s="11" t="n">
        <v>18.4139</v>
      </c>
      <c r="D34" s="11" t="n">
        <v>18.2663</v>
      </c>
      <c r="E34" s="11" t="n">
        <v>18.5616</v>
      </c>
      <c r="F34" s="12" t="n">
        <f aca="false">IF(C34="","",B34/C34)</f>
        <v>660.642232226742</v>
      </c>
      <c r="G34" s="12" t="n">
        <f aca="false">MEDIAN(F24:F44)</f>
        <v>660.642232226742</v>
      </c>
      <c r="H34" s="13" t="n">
        <f aca="false">B34/G34</f>
        <v>18.4139</v>
      </c>
      <c r="I34" s="14" t="n">
        <f aca="false">B34/Summary!$C$8*100</f>
        <v>121.904780992274</v>
      </c>
      <c r="J34" s="14" t="n">
        <f aca="false">G34/Summary!$E$8*100</f>
        <v>112.279994750924</v>
      </c>
      <c r="K34" s="15" t="n">
        <f aca="false">Summary!$D$9</f>
        <v>16.9374488591431</v>
      </c>
      <c r="L34" s="16" t="str">
        <f aca="false">IF(OR(D34="",E34=""),"edge hidden",IF(AND(H34&gt;=D34-0.02,H34&lt;=E34+0.02),"yes","no"))</f>
        <v>yes</v>
      </c>
    </row>
    <row r="35" customFormat="false" ht="15" hidden="false" customHeight="false" outlineLevel="0" collapsed="false">
      <c r="A35" s="9" t="n">
        <v>43817</v>
      </c>
      <c r="B35" s="10" t="n">
        <v>12221.65</v>
      </c>
      <c r="C35" s="11" t="n">
        <v>18.4218</v>
      </c>
      <c r="D35" s="11" t="n">
        <v>18.2821</v>
      </c>
      <c r="E35" s="11" t="n">
        <v>18.5616</v>
      </c>
      <c r="F35" s="12" t="n">
        <f aca="false">IF(C35="","",B35/C35)</f>
        <v>663.434083531468</v>
      </c>
      <c r="G35" s="12" t="n">
        <f aca="false">MEDIAN(F25:F45)</f>
        <v>663.189071501094</v>
      </c>
      <c r="H35" s="13" t="n">
        <f aca="false">B35/G35</f>
        <v>18.4286058458969</v>
      </c>
      <c r="I35" s="14" t="n">
        <f aca="false">B35/Summary!$C$8*100</f>
        <v>122.472467456985</v>
      </c>
      <c r="J35" s="14" t="n">
        <f aca="false">G35/Summary!$E$8*100</f>
        <v>112.712844917635</v>
      </c>
      <c r="K35" s="15" t="n">
        <f aca="false">Summary!$D$9</f>
        <v>16.9374488591431</v>
      </c>
      <c r="L35" s="16" t="str">
        <f aca="false">IF(OR(D35="",E35=""),"edge hidden",IF(AND(H35&gt;=D35-0.02,H35&lt;=E35+0.02),"yes","no"))</f>
        <v>yes</v>
      </c>
    </row>
    <row r="36" customFormat="false" ht="15" hidden="false" customHeight="false" outlineLevel="0" collapsed="false">
      <c r="A36" s="9" t="n">
        <v>43818</v>
      </c>
      <c r="B36" s="10" t="n">
        <v>12259.7</v>
      </c>
      <c r="C36" s="11" t="n">
        <v>18.4612</v>
      </c>
      <c r="D36" s="11" t="n">
        <v>18.3608</v>
      </c>
      <c r="E36" s="11" t="n">
        <v>18.5616</v>
      </c>
      <c r="F36" s="12" t="n">
        <f aca="false">IF(C36="","",B36/C36)</f>
        <v>664.079258119732</v>
      </c>
      <c r="G36" s="12" t="n">
        <f aca="false">MEDIAN(F26:F46)</f>
        <v>663.434083531468</v>
      </c>
      <c r="H36" s="13" t="n">
        <f aca="false">B36/G36</f>
        <v>18.479153097986</v>
      </c>
      <c r="I36" s="14" t="n">
        <f aca="false">B36/Summary!$C$8*100</f>
        <v>122.853764367528</v>
      </c>
      <c r="J36" s="14" t="n">
        <f aca="false">G36/Summary!$E$8*100</f>
        <v>112.754486139075</v>
      </c>
      <c r="K36" s="15" t="n">
        <f aca="false">Summary!$D$9</f>
        <v>16.9374488591431</v>
      </c>
      <c r="L36" s="16" t="str">
        <f aca="false">IF(OR(D36="",E36=""),"edge hidden",IF(AND(H36&gt;=D36-0.02,H36&lt;=E36+0.02),"yes","no"))</f>
        <v>yes</v>
      </c>
    </row>
    <row r="37" customFormat="false" ht="15" hidden="false" customHeight="false" outlineLevel="0" collapsed="false">
      <c r="A37" s="9" t="n">
        <v>43819</v>
      </c>
      <c r="B37" s="10" t="n">
        <v>12271.8</v>
      </c>
      <c r="C37" s="11" t="n">
        <v>18.4612</v>
      </c>
      <c r="D37" s="11" t="n">
        <v>18.3608</v>
      </c>
      <c r="E37" s="11" t="n">
        <v>18.5616</v>
      </c>
      <c r="F37" s="12" t="n">
        <f aca="false">IF(C37="","",B37/C37)</f>
        <v>664.734686802591</v>
      </c>
      <c r="G37" s="12" t="n">
        <f aca="false">MEDIAN(F27:F47)</f>
        <v>663.62308655261</v>
      </c>
      <c r="H37" s="13" t="n">
        <f aca="false">B37/G37</f>
        <v>18.492123388518</v>
      </c>
      <c r="I37" s="14" t="n">
        <f aca="false">B37/Summary!$C$8*100</f>
        <v>122.975017787175</v>
      </c>
      <c r="J37" s="14" t="n">
        <f aca="false">G37/Summary!$E$8*100</f>
        <v>112.786608303215</v>
      </c>
      <c r="K37" s="15" t="n">
        <f aca="false">Summary!$D$9</f>
        <v>16.9374488591431</v>
      </c>
      <c r="L37" s="16" t="str">
        <f aca="false">IF(OR(D37="",E37=""),"edge hidden",IF(AND(H37&gt;=D37-0.02,H37&lt;=E37+0.02),"yes","no"))</f>
        <v>yes</v>
      </c>
    </row>
    <row r="38" customFormat="false" ht="15" hidden="false" customHeight="false" outlineLevel="0" collapsed="false">
      <c r="A38" s="9" t="n">
        <v>43822</v>
      </c>
      <c r="B38" s="10" t="n">
        <v>12262.75</v>
      </c>
      <c r="C38" s="11" t="n">
        <v>18.4218</v>
      </c>
      <c r="D38" s="11" t="n">
        <v>18.3057</v>
      </c>
      <c r="E38" s="11" t="n">
        <v>18.538</v>
      </c>
      <c r="F38" s="12" t="n">
        <f aca="false">IF(C38="","",B38/C38)</f>
        <v>665.66513587163</v>
      </c>
      <c r="G38" s="12" t="n">
        <f aca="false">MEDIAN(F28:F48)</f>
        <v>663.791338037913</v>
      </c>
      <c r="H38" s="13" t="n">
        <f aca="false">B38/G38</f>
        <v>18.4738023792947</v>
      </c>
      <c r="I38" s="14" t="n">
        <f aca="false">B38/Summary!$C$8*100</f>
        <v>122.884328246034</v>
      </c>
      <c r="J38" s="14" t="n">
        <f aca="false">G38/Summary!$E$8*100</f>
        <v>112.815203622989</v>
      </c>
      <c r="K38" s="15" t="n">
        <f aca="false">Summary!$D$9</f>
        <v>16.9374488591431</v>
      </c>
      <c r="L38" s="16" t="str">
        <f aca="false">IF(OR(D38="",E38=""),"edge hidden",IF(AND(H38&gt;=D38-0.02,H38&lt;=E38+0.02),"yes","no"))</f>
        <v>yes</v>
      </c>
    </row>
    <row r="39" customFormat="false" ht="15" hidden="false" customHeight="false" outlineLevel="0" collapsed="false">
      <c r="A39" s="9" t="n">
        <v>43823</v>
      </c>
      <c r="B39" s="10" t="n">
        <v>12214.55</v>
      </c>
      <c r="C39" s="11" t="n">
        <v>18.4179</v>
      </c>
      <c r="D39" s="11" t="n">
        <v>18.3057</v>
      </c>
      <c r="E39" s="11" t="n">
        <v>18.5301</v>
      </c>
      <c r="F39" s="12" t="n">
        <f aca="false">IF(C39="","",B39/C39)</f>
        <v>663.189071501094</v>
      </c>
      <c r="G39" s="12" t="n">
        <f aca="false">MEDIAN(F29:F49)</f>
        <v>663.807258623229</v>
      </c>
      <c r="H39" s="13" t="n">
        <f aca="false">B39/G39</f>
        <v>18.4007478696958</v>
      </c>
      <c r="I39" s="14" t="n">
        <f aca="false">B39/Summary!$C$8*100</f>
        <v>122.4013187562</v>
      </c>
      <c r="J39" s="14" t="n">
        <f aca="false">G39/Summary!$E$8*100</f>
        <v>112.81790941918</v>
      </c>
      <c r="K39" s="15" t="n">
        <f aca="false">Summary!$D$9</f>
        <v>16.9374488591431</v>
      </c>
      <c r="L39" s="16" t="str">
        <f aca="false">IF(OR(D39="",E39=""),"edge hidden",IF(AND(H39&gt;=D39-0.02,H39&lt;=E39+0.02),"yes","no"))</f>
        <v>yes</v>
      </c>
    </row>
    <row r="40" customFormat="false" ht="15" hidden="false" customHeight="false" outlineLevel="0" collapsed="false">
      <c r="A40" s="9" t="n">
        <v>43825</v>
      </c>
      <c r="B40" s="10" t="n">
        <v>12126.55</v>
      </c>
      <c r="C40" s="11" t="n">
        <v>18.3706</v>
      </c>
      <c r="D40" s="11" t="n">
        <v>18.2899</v>
      </c>
      <c r="E40" s="11" t="n">
        <v>18.4514</v>
      </c>
      <c r="F40" s="12" t="n">
        <f aca="false">IF(C40="","",B40/C40)</f>
        <v>660.106365605914</v>
      </c>
      <c r="G40" s="12" t="n">
        <f aca="false">MEDIAN(F30:F50)</f>
        <v>664.079258119732</v>
      </c>
      <c r="H40" s="13" t="n">
        <f aca="false">B40/G40</f>
        <v>18.2606968245552</v>
      </c>
      <c r="I40" s="14" t="n">
        <f aca="false">B40/Summary!$C$8*100</f>
        <v>121.519475704222</v>
      </c>
      <c r="J40" s="14" t="n">
        <f aca="false">G40/Summary!$E$8*100</f>
        <v>112.864137317655</v>
      </c>
      <c r="K40" s="15" t="n">
        <f aca="false">Summary!$D$9</f>
        <v>16.9374488591431</v>
      </c>
      <c r="L40" s="16" t="str">
        <f aca="false">IF(OR(D40="",E40=""),"edge hidden",IF(AND(H40&gt;=D40-0.02,H40&lt;=E40+0.02),"yes","no"))</f>
        <v>no</v>
      </c>
    </row>
    <row r="41" customFormat="false" ht="15" hidden="false" customHeight="false" outlineLevel="0" collapsed="false">
      <c r="A41" s="9" t="n">
        <v>43826</v>
      </c>
      <c r="B41" s="10" t="n">
        <v>12245.8</v>
      </c>
      <c r="C41" s="11" t="n">
        <v>18.3549</v>
      </c>
      <c r="D41" s="11" t="n">
        <v>18.2899</v>
      </c>
      <c r="E41" s="11" t="n">
        <v>18.4199</v>
      </c>
      <c r="F41" s="12" t="n">
        <f aca="false">IF(C41="","",B41/C41)</f>
        <v>667.16789522144</v>
      </c>
      <c r="G41" s="12" t="n">
        <f aca="false">MEDIAN(F31:F51)</f>
        <v>664.718752898681</v>
      </c>
      <c r="H41" s="13" t="n">
        <f aca="false">B41/G41</f>
        <v>18.4225282446132</v>
      </c>
      <c r="I41" s="14" t="n">
        <f aca="false">B41/Summary!$C$8*100</f>
        <v>122.714473249091</v>
      </c>
      <c r="J41" s="14" t="n">
        <f aca="false">G41/Summary!$E$8*100</f>
        <v>112.972823179565</v>
      </c>
      <c r="K41" s="15" t="n">
        <f aca="false">Summary!$D$9</f>
        <v>16.9374488591431</v>
      </c>
      <c r="L41" s="16" t="str">
        <f aca="false">IF(OR(D41="",E41=""),"edge hidden",IF(AND(H41&gt;=D41-0.02,H41&lt;=E41+0.02),"yes","no"))</f>
        <v>yes</v>
      </c>
    </row>
    <row r="42" customFormat="false" ht="15" hidden="false" customHeight="false" outlineLevel="0" collapsed="false">
      <c r="A42" s="9" t="n">
        <v>43829</v>
      </c>
      <c r="B42" s="10" t="n">
        <v>12255.85</v>
      </c>
      <c r="C42" s="11" t="n">
        <v>18.3391</v>
      </c>
      <c r="D42" s="11" t="n">
        <v>18.2742</v>
      </c>
      <c r="E42" s="11" t="n">
        <v>18.4041</v>
      </c>
      <c r="F42" s="12" t="n">
        <f aca="false">IF(C42="","",B42/C42)</f>
        <v>668.290701288504</v>
      </c>
      <c r="G42" s="12" t="n">
        <f aca="false">MEDIAN(F32:F52)</f>
        <v>664.734686802591</v>
      </c>
      <c r="H42" s="13" t="n">
        <f aca="false">B42/G42</f>
        <v>18.437205464561</v>
      </c>
      <c r="I42" s="14" t="n">
        <f aca="false">B42/Summary!$C$8*100</f>
        <v>122.815183734004</v>
      </c>
      <c r="J42" s="14" t="n">
        <f aca="false">G42/Summary!$E$8*100</f>
        <v>112.975531239329</v>
      </c>
      <c r="K42" s="15" t="n">
        <f aca="false">Summary!$D$9</f>
        <v>16.9374488591431</v>
      </c>
      <c r="L42" s="16" t="str">
        <f aca="false">IF(OR(D42="",E42=""),"edge hidden",IF(AND(H42&gt;=D42-0.02,H42&lt;=E42+0.02),"yes","no"))</f>
        <v>no</v>
      </c>
    </row>
    <row r="43" customFormat="false" ht="15" hidden="false" customHeight="false" outlineLevel="0" collapsed="false">
      <c r="A43" s="9" t="n">
        <v>43830</v>
      </c>
      <c r="B43" s="10" t="n">
        <v>12168.45</v>
      </c>
      <c r="C43" s="11" t="n">
        <v>18.3313</v>
      </c>
      <c r="D43" s="11" t="n">
        <v>18.2584</v>
      </c>
      <c r="E43" s="11" t="n">
        <v>18.4041</v>
      </c>
      <c r="F43" s="12" t="n">
        <f aca="false">IF(C43="","",B43/C43)</f>
        <v>663.807258623229</v>
      </c>
      <c r="G43" s="12" t="n">
        <f aca="false">MEDIAN(F33:F53)</f>
        <v>665.66513587163</v>
      </c>
      <c r="H43" s="13" t="n">
        <f aca="false">B43/G43</f>
        <v>18.2801371804856</v>
      </c>
      <c r="I43" s="14" t="n">
        <f aca="false">B43/Summary!$C$8*100</f>
        <v>121.939353248289</v>
      </c>
      <c r="J43" s="14" t="n">
        <f aca="false">G43/Summary!$E$8*100</f>
        <v>113.133666477271</v>
      </c>
      <c r="K43" s="15" t="n">
        <f aca="false">Summary!$D$9</f>
        <v>16.9374488591431</v>
      </c>
      <c r="L43" s="16" t="str">
        <f aca="false">IF(OR(D43="",E43=""),"edge hidden",IF(AND(H43&gt;=D43-0.02,H43&lt;=E43+0.02),"yes","no"))</f>
        <v>yes</v>
      </c>
    </row>
    <row r="44" customFormat="false" ht="15" hidden="false" customHeight="false" outlineLevel="0" collapsed="false">
      <c r="A44" s="9" t="n">
        <v>43831</v>
      </c>
      <c r="B44" s="10" t="n">
        <v>12182.5</v>
      </c>
      <c r="C44" s="11" t="n">
        <v>18.3273</v>
      </c>
      <c r="D44" s="11" t="n">
        <v>18.2506</v>
      </c>
      <c r="E44" s="11" t="n">
        <v>18.4041</v>
      </c>
      <c r="F44" s="12" t="n">
        <f aca="false">IF(C44="","",B44/C44)</f>
        <v>664.718752898681</v>
      </c>
      <c r="G44" s="12" t="n">
        <f aca="false">MEDIAN(F34:F54)</f>
        <v>666.4496034671</v>
      </c>
      <c r="H44" s="13" t="n">
        <f aca="false">B44/G44</f>
        <v>18.2797017758319</v>
      </c>
      <c r="I44" s="14" t="n">
        <f aca="false">B44/Summary!$C$8*100</f>
        <v>122.080147508292</v>
      </c>
      <c r="J44" s="14" t="n">
        <f aca="false">G44/Summary!$E$8*100</f>
        <v>113.266991313627</v>
      </c>
      <c r="K44" s="15" t="n">
        <f aca="false">Summary!$D$9</f>
        <v>16.9374488591431</v>
      </c>
      <c r="L44" s="16" t="str">
        <f aca="false">IF(OR(D44="",E44=""),"edge hidden",IF(AND(H44&gt;=D44-0.02,H44&lt;=E44+0.02),"yes","no"))</f>
        <v>yes</v>
      </c>
    </row>
    <row r="45" customFormat="false" ht="15" hidden="false" customHeight="false" outlineLevel="0" collapsed="false">
      <c r="A45" s="9" t="n">
        <v>43832</v>
      </c>
      <c r="B45" s="10" t="n">
        <v>12282.2</v>
      </c>
      <c r="C45" s="11" t="n">
        <v>18.2762</v>
      </c>
      <c r="D45" s="11" t="n">
        <v>18.1482</v>
      </c>
      <c r="E45" s="11" t="n">
        <v>18.4041</v>
      </c>
      <c r="F45" s="12" t="n">
        <f aca="false">IF(C45="","",B45/C45)</f>
        <v>672.032479399438</v>
      </c>
      <c r="G45" s="12" t="n">
        <f aca="false">MEDIAN(F35:F55)</f>
        <v>667.16789522144</v>
      </c>
      <c r="H45" s="13" t="n">
        <f aca="false">B45/G45</f>
        <v>18.4094589802218</v>
      </c>
      <c r="I45" s="14" t="n">
        <f aca="false">B45/Summary!$C$8*100</f>
        <v>123.079235602409</v>
      </c>
      <c r="J45" s="14" t="n">
        <f aca="false">G45/Summary!$E$8*100</f>
        <v>113.389069180395</v>
      </c>
      <c r="K45" s="15" t="n">
        <f aca="false">Summary!$D$9</f>
        <v>16.9374488591431</v>
      </c>
      <c r="L45" s="16" t="str">
        <f aca="false">IF(OR(D45="",E45=""),"edge hidden",IF(AND(H45&gt;=D45-0.02,H45&lt;=E45+0.02),"yes","no"))</f>
        <v>yes</v>
      </c>
    </row>
    <row r="46" customFormat="false" ht="15" hidden="false" customHeight="false" outlineLevel="0" collapsed="false">
      <c r="A46" s="9" t="n">
        <v>43833</v>
      </c>
      <c r="B46" s="10" t="n">
        <v>12226.65</v>
      </c>
      <c r="C46" s="11" t="n">
        <v>18.158</v>
      </c>
      <c r="D46" s="11" t="n">
        <v>17.9199</v>
      </c>
      <c r="E46" s="11" t="n">
        <v>18.3962</v>
      </c>
      <c r="F46" s="12" t="n">
        <f aca="false">IF(C46="","",B46/C46)</f>
        <v>673.347835664721</v>
      </c>
      <c r="G46" s="12" t="n">
        <f aca="false">MEDIAN(F36:F56)</f>
        <v>667.690577618728</v>
      </c>
      <c r="H46" s="13" t="n">
        <f aca="false">B46/G46</f>
        <v>18.3118504436673</v>
      </c>
      <c r="I46" s="14" t="n">
        <f aca="false">B46/Summary!$C$8*100</f>
        <v>122.522572175848</v>
      </c>
      <c r="J46" s="14" t="n">
        <f aca="false">G46/Summary!$E$8*100</f>
        <v>113.477902097761</v>
      </c>
      <c r="K46" s="15" t="n">
        <f aca="false">Summary!$D$9</f>
        <v>16.9374488591431</v>
      </c>
      <c r="L46" s="16" t="str">
        <f aca="false">IF(OR(D46="",E46=""),"edge hidden",IF(AND(H46&gt;=D46-0.02,H46&lt;=E46+0.02),"yes","no"))</f>
        <v>yes</v>
      </c>
    </row>
    <row r="47" customFormat="false" ht="15" hidden="false" customHeight="false" outlineLevel="0" collapsed="false">
      <c r="A47" s="9" t="n">
        <v>43836</v>
      </c>
      <c r="B47" s="10" t="n">
        <v>11993.05</v>
      </c>
      <c r="C47" s="11" t="n">
        <v>18.0675</v>
      </c>
      <c r="D47" s="11" t="n">
        <v>17.849</v>
      </c>
      <c r="E47" s="11" t="n">
        <v>18.286</v>
      </c>
      <c r="F47" s="12" t="n">
        <f aca="false">IF(C47="","",B47/C47)</f>
        <v>663.791338037913</v>
      </c>
      <c r="G47" s="12" t="n">
        <f aca="false">MEDIAN(F37:F57)</f>
        <v>668.290701288504</v>
      </c>
      <c r="H47" s="13" t="n">
        <f aca="false">B47/G47</f>
        <v>17.9458579580364</v>
      </c>
      <c r="I47" s="14" t="n">
        <f aca="false">B47/Summary!$C$8*100</f>
        <v>120.181679710595</v>
      </c>
      <c r="J47" s="14" t="n">
        <f aca="false">G47/Summary!$E$8*100</f>
        <v>113.579896610381</v>
      </c>
      <c r="K47" s="15" t="n">
        <f aca="false">Summary!$D$9</f>
        <v>16.9374488591431</v>
      </c>
      <c r="L47" s="16" t="str">
        <f aca="false">IF(OR(D47="",E47=""),"edge hidden",IF(AND(H47&gt;=D47-0.02,H47&lt;=E47+0.02),"yes","no"))</f>
        <v>yes</v>
      </c>
    </row>
    <row r="48" customFormat="false" ht="15" hidden="false" customHeight="false" outlineLevel="0" collapsed="false">
      <c r="A48" s="9" t="n">
        <v>43837</v>
      </c>
      <c r="B48" s="10" t="n">
        <v>12052.95</v>
      </c>
      <c r="C48" s="11" t="n">
        <v>18.0517</v>
      </c>
      <c r="D48" s="11" t="n">
        <v>17.849</v>
      </c>
      <c r="E48" s="11" t="n">
        <v>18.2545</v>
      </c>
      <c r="F48" s="12" t="n">
        <f aca="false">IF(C48="","",B48/C48)</f>
        <v>667.690577618728</v>
      </c>
      <c r="G48" s="12" t="n">
        <f aca="false">MEDIAN(F38:F58)</f>
        <v>672.032479399438</v>
      </c>
      <c r="H48" s="13" t="n">
        <f aca="false">B48/G48</f>
        <v>17.9350706542802</v>
      </c>
      <c r="I48" s="14" t="n">
        <f aca="false">B48/Summary!$C$8*100</f>
        <v>120.781934242567</v>
      </c>
      <c r="J48" s="14" t="n">
        <f aca="false">G48/Summary!$E$8*100</f>
        <v>114.215833591338</v>
      </c>
      <c r="K48" s="15" t="n">
        <f aca="false">Summary!$D$9</f>
        <v>16.9374488591431</v>
      </c>
      <c r="L48" s="16" t="str">
        <f aca="false">IF(OR(D48="",E48=""),"edge hidden",IF(AND(H48&gt;=D48-0.02,H48&lt;=E48+0.02),"yes","no"))</f>
        <v>yes</v>
      </c>
    </row>
    <row r="49" customFormat="false" ht="15" hidden="false" customHeight="false" outlineLevel="0" collapsed="false">
      <c r="A49" s="9" t="n">
        <v>43838</v>
      </c>
      <c r="B49" s="10" t="n">
        <v>12025.35</v>
      </c>
      <c r="C49" s="11" t="n">
        <v>18.0439</v>
      </c>
      <c r="D49" s="11" t="n">
        <v>17.849</v>
      </c>
      <c r="E49" s="11" t="n">
        <v>18.2388</v>
      </c>
      <c r="F49" s="12" t="n">
        <f aca="false">IF(C49="","",B49/C49)</f>
        <v>666.4496034671</v>
      </c>
      <c r="G49" s="12" t="n">
        <f aca="false">MEDIAN(F39:F59)</f>
        <v>672.142524038995</v>
      </c>
      <c r="H49" s="13" t="n">
        <f aca="false">B49/G49</f>
        <v>17.8910715658013</v>
      </c>
      <c r="I49" s="14" t="n">
        <f aca="false">B49/Summary!$C$8*100</f>
        <v>120.505356194446</v>
      </c>
      <c r="J49" s="14" t="n">
        <f aca="false">G49/Summary!$E$8*100</f>
        <v>114.234536318698</v>
      </c>
      <c r="K49" s="15" t="n">
        <f aca="false">Summary!$D$9</f>
        <v>16.9374488591431</v>
      </c>
      <c r="L49" s="16" t="str">
        <f aca="false">IF(OR(D49="",E49=""),"edge hidden",IF(AND(H49&gt;=D49-0.02,H49&lt;=E49+0.02),"yes","no"))</f>
        <v>yes</v>
      </c>
    </row>
    <row r="50" customFormat="false" ht="15" hidden="false" customHeight="false" outlineLevel="0" collapsed="false">
      <c r="A50" s="9" t="n">
        <v>43839</v>
      </c>
      <c r="B50" s="10" t="n">
        <v>12215.9</v>
      </c>
      <c r="C50" s="11" t="n">
        <v>18.036</v>
      </c>
      <c r="D50" s="11" t="n">
        <v>17.849</v>
      </c>
      <c r="E50" s="11" t="n">
        <v>18.223</v>
      </c>
      <c r="F50" s="12" t="n">
        <f aca="false">IF(C50="","",B50/C50)</f>
        <v>677.306498114881</v>
      </c>
      <c r="G50" s="12" t="n">
        <f aca="false">MEDIAN(F40:F60)</f>
        <v>672.992058927623</v>
      </c>
      <c r="H50" s="13" t="n">
        <f aca="false">B50/G50</f>
        <v>18.1516257702437</v>
      </c>
      <c r="I50" s="14" t="n">
        <f aca="false">B50/Summary!$C$8*100</f>
        <v>122.414847030293</v>
      </c>
      <c r="J50" s="14" t="n">
        <f aca="false">G50/Summary!$E$8*100</f>
        <v>114.378919720459</v>
      </c>
      <c r="K50" s="15" t="n">
        <f aca="false">Summary!$D$9</f>
        <v>16.9374488591431</v>
      </c>
      <c r="L50" s="16" t="str">
        <f aca="false">IF(OR(D50="",E50=""),"edge hidden",IF(AND(H50&gt;=D50-0.02,H50&lt;=E50+0.02),"yes","no"))</f>
        <v>yes</v>
      </c>
    </row>
    <row r="51" customFormat="false" ht="15" hidden="false" customHeight="false" outlineLevel="0" collapsed="false">
      <c r="A51" s="9" t="n">
        <v>43840</v>
      </c>
      <c r="B51" s="10" t="n">
        <v>12256.8</v>
      </c>
      <c r="C51" s="11" t="n">
        <v>18.0439</v>
      </c>
      <c r="D51" s="11" t="n">
        <v>17.8647</v>
      </c>
      <c r="E51" s="11" t="n">
        <v>18.223</v>
      </c>
      <c r="F51" s="12" t="n">
        <f aca="false">IF(C51="","",B51/C51)</f>
        <v>679.276653051724</v>
      </c>
      <c r="G51" s="12" t="n">
        <f aca="false">MEDIAN(F41:F61)</f>
        <v>673.347835664721</v>
      </c>
      <c r="H51" s="13" t="n">
        <f aca="false">B51/G51</f>
        <v>18.2027762633264</v>
      </c>
      <c r="I51" s="14" t="n">
        <f aca="false">B51/Summary!$C$8*100</f>
        <v>122.824703630588</v>
      </c>
      <c r="J51" s="14" t="n">
        <f aca="false">G51/Summary!$E$8*100</f>
        <v>114.439386048867</v>
      </c>
      <c r="K51" s="15" t="n">
        <f aca="false">Summary!$D$9</f>
        <v>16.9374488591431</v>
      </c>
      <c r="L51" s="16" t="str">
        <f aca="false">IF(OR(D51="",E51=""),"edge hidden",IF(AND(H51&gt;=D51-0.02,H51&lt;=E51+0.02),"yes","no"))</f>
        <v>yes</v>
      </c>
    </row>
    <row r="52" customFormat="false" ht="15" hidden="false" customHeight="false" outlineLevel="0" collapsed="false">
      <c r="A52" s="9" t="n">
        <v>43843</v>
      </c>
      <c r="B52" s="10" t="n">
        <v>12329.55</v>
      </c>
      <c r="C52" s="11" t="n">
        <v>18.1895</v>
      </c>
      <c r="D52" s="11" t="n">
        <v>18.1403</v>
      </c>
      <c r="E52" s="11" t="n">
        <v>18.2388</v>
      </c>
      <c r="F52" s="12" t="n">
        <f aca="false">IF(C52="","",B52/C52)</f>
        <v>677.838863080349</v>
      </c>
      <c r="G52" s="12" t="n">
        <f aca="false">MEDIAN(F42:F62)</f>
        <v>675.867464284135</v>
      </c>
      <c r="H52" s="13" t="n">
        <f aca="false">B52/G52</f>
        <v>18.2425559026713</v>
      </c>
      <c r="I52" s="14" t="n">
        <f aca="false">B52/Summary!$C$8*100</f>
        <v>123.553727290036</v>
      </c>
      <c r="J52" s="14" t="n">
        <f aca="false">G52/Summary!$E$8*100</f>
        <v>114.867611606304</v>
      </c>
      <c r="K52" s="15" t="n">
        <f aca="false">Summary!$D$9</f>
        <v>16.9374488591431</v>
      </c>
      <c r="L52" s="16" t="str">
        <f aca="false">IF(OR(D52="",E52=""),"edge hidden",IF(AND(H52&gt;=D52-0.02,H52&lt;=E52+0.02),"yes","no"))</f>
        <v>yes</v>
      </c>
    </row>
    <row r="53" customFormat="false" ht="15" hidden="false" customHeight="false" outlineLevel="0" collapsed="false">
      <c r="A53" s="9" t="n">
        <v>43844</v>
      </c>
      <c r="B53" s="10" t="n">
        <v>12362.3</v>
      </c>
      <c r="C53" s="11" t="n">
        <v>18.1974</v>
      </c>
      <c r="D53" s="11" t="n">
        <v>18.1482</v>
      </c>
      <c r="E53" s="11" t="n">
        <v>18.2466</v>
      </c>
      <c r="F53" s="12" t="n">
        <f aca="false">IF(C53="","",B53/C53)</f>
        <v>679.344301933243</v>
      </c>
      <c r="G53" s="12" t="n">
        <f aca="false">MEDIAN(F43:F63)</f>
        <v>676.516981865645</v>
      </c>
      <c r="H53" s="13" t="n">
        <f aca="false">B53/G53</f>
        <v>18.2734511200417</v>
      </c>
      <c r="I53" s="14" t="n">
        <f aca="false">B53/Summary!$C$8*100</f>
        <v>123.881913198585</v>
      </c>
      <c r="J53" s="14" t="n">
        <f aca="false">G53/Summary!$E$8*100</f>
        <v>114.978000901879</v>
      </c>
      <c r="K53" s="15" t="n">
        <f aca="false">Summary!$D$9</f>
        <v>16.9374488591431</v>
      </c>
      <c r="L53" s="16" t="str">
        <f aca="false">IF(OR(D53="",E53=""),"edge hidden",IF(AND(H53&gt;=D53-0.02,H53&lt;=E53+0.02),"yes","no"))</f>
        <v>no</v>
      </c>
    </row>
    <row r="54" customFormat="false" ht="15" hidden="false" customHeight="false" outlineLevel="0" collapsed="false">
      <c r="A54" s="9" t="n">
        <v>43845</v>
      </c>
      <c r="B54" s="10" t="n">
        <v>12343.3</v>
      </c>
      <c r="C54" s="11" t="n">
        <v>18.2014</v>
      </c>
      <c r="D54" s="11" t="n">
        <v>18.1482</v>
      </c>
      <c r="E54" s="11" t="n">
        <v>18.2545</v>
      </c>
      <c r="F54" s="12" t="n">
        <f aca="false">IF(C54="","",B54/C54)</f>
        <v>678.151131231664</v>
      </c>
      <c r="G54" s="12" t="n">
        <f aca="false">MEDIAN(F44:F64)</f>
        <v>677.306498114881</v>
      </c>
      <c r="H54" s="13" t="n">
        <f aca="false">B54/G54</f>
        <v>18.2240980034218</v>
      </c>
      <c r="I54" s="14" t="n">
        <f aca="false">B54/Summary!$C$8*100</f>
        <v>123.691515266908</v>
      </c>
      <c r="J54" s="14" t="n">
        <f aca="false">G54/Summary!$E$8*100</f>
        <v>115.112183786345</v>
      </c>
      <c r="K54" s="15" t="n">
        <f aca="false">Summary!$D$9</f>
        <v>16.9374488591431</v>
      </c>
      <c r="L54" s="16" t="str">
        <f aca="false">IF(OR(D54="",E54=""),"edge hidden",IF(AND(H54&gt;=D54-0.02,H54&lt;=E54+0.02),"yes","no"))</f>
        <v>yes</v>
      </c>
    </row>
    <row r="55" customFormat="false" ht="15" hidden="false" customHeight="false" outlineLevel="0" collapsed="false">
      <c r="A55" s="9" t="n">
        <v>43846</v>
      </c>
      <c r="B55" s="10" t="n">
        <v>12355.5</v>
      </c>
      <c r="C55" s="11" t="n">
        <v>18.1935</v>
      </c>
      <c r="D55" s="11" t="n">
        <v>18.1325</v>
      </c>
      <c r="E55" s="11" t="n">
        <v>18.2545</v>
      </c>
      <c r="F55" s="12" t="n">
        <f aca="false">IF(C55="","",B55/C55)</f>
        <v>679.116167862149</v>
      </c>
      <c r="G55" s="12" t="n">
        <f aca="false">MEDIAN(F45:F65)</f>
        <v>677.838863080349</v>
      </c>
      <c r="H55" s="13" t="n">
        <f aca="false">B55/G55</f>
        <v>18.2277834349186</v>
      </c>
      <c r="I55" s="14" t="n">
        <f aca="false">B55/Summary!$C$8*100</f>
        <v>123.813770780932</v>
      </c>
      <c r="J55" s="14" t="n">
        <f aca="false">G55/Summary!$E$8*100</f>
        <v>115.202662312561</v>
      </c>
      <c r="K55" s="15" t="n">
        <f aca="false">Summary!$D$9</f>
        <v>16.9374488591431</v>
      </c>
      <c r="L55" s="16" t="str">
        <f aca="false">IF(OR(D55="",E55=""),"edge hidden",IF(AND(H55&gt;=D55-0.02,H55&lt;=E55+0.02),"yes","no"))</f>
        <v>yes</v>
      </c>
    </row>
    <row r="56" customFormat="false" ht="15" hidden="false" customHeight="false" outlineLevel="0" collapsed="false">
      <c r="A56" s="9" t="n">
        <v>43847</v>
      </c>
      <c r="B56" s="10" t="n">
        <v>12352.35</v>
      </c>
      <c r="C56" s="11" t="n">
        <v>18.1423</v>
      </c>
      <c r="D56" s="11" t="n">
        <v>18.0222</v>
      </c>
      <c r="E56" s="11" t="n">
        <v>18.2624</v>
      </c>
      <c r="F56" s="12" t="n">
        <f aca="false">IF(C56="","",B56/C56)</f>
        <v>680.859097247868</v>
      </c>
      <c r="G56" s="12" t="n">
        <f aca="false">MEDIAN(F46:F66)</f>
        <v>678.151131231664</v>
      </c>
      <c r="H56" s="13" t="n">
        <f aca="false">B56/G56</f>
        <v>18.2147451078723</v>
      </c>
      <c r="I56" s="14" t="n">
        <f aca="false">B56/Summary!$C$8*100</f>
        <v>123.782204808049</v>
      </c>
      <c r="J56" s="14" t="n">
        <f aca="false">G56/Summary!$E$8*100</f>
        <v>115.255734103434</v>
      </c>
      <c r="K56" s="15" t="n">
        <f aca="false">Summary!$D$9</f>
        <v>16.9374488591431</v>
      </c>
      <c r="L56" s="16" t="str">
        <f aca="false">IF(OR(D56="",E56=""),"edge hidden",IF(AND(H56&gt;=D56-0.02,H56&lt;=E56+0.02),"yes","no"))</f>
        <v>yes</v>
      </c>
    </row>
    <row r="57" customFormat="false" ht="15" hidden="false" customHeight="false" outlineLevel="0" collapsed="false">
      <c r="A57" s="9" t="n">
        <v>43850</v>
      </c>
      <c r="B57" s="10" t="n">
        <v>12224.55</v>
      </c>
      <c r="C57" s="11" t="n">
        <v>18.0872</v>
      </c>
      <c r="D57" s="11" t="n">
        <v>17.9199</v>
      </c>
      <c r="E57" s="11" t="n">
        <v>18.2545</v>
      </c>
      <c r="F57" s="12" t="n">
        <f aca="false">IF(C57="","",B57/C57)</f>
        <v>675.867464284135</v>
      </c>
      <c r="G57" s="12" t="n">
        <f aca="false">MEDIAN(F47:F67)</f>
        <v>678.151131231664</v>
      </c>
      <c r="H57" s="13" t="n">
        <f aca="false">B57/G57</f>
        <v>18.0262915403498</v>
      </c>
      <c r="I57" s="14" t="n">
        <f aca="false">B57/Summary!$C$8*100</f>
        <v>122.501528193925</v>
      </c>
      <c r="J57" s="14" t="n">
        <f aca="false">G57/Summary!$E$8*100</f>
        <v>115.255734103434</v>
      </c>
      <c r="K57" s="15" t="n">
        <f aca="false">Summary!$D$9</f>
        <v>16.9374488591431</v>
      </c>
      <c r="L57" s="16" t="str">
        <f aca="false">IF(OR(D57="",E57=""),"edge hidden",IF(AND(H57&gt;=D57-0.02,H57&lt;=E57+0.02),"yes","no"))</f>
        <v>yes</v>
      </c>
    </row>
    <row r="58" customFormat="false" ht="15" hidden="false" customHeight="false" outlineLevel="0" collapsed="false">
      <c r="A58" s="9" t="n">
        <v>43851</v>
      </c>
      <c r="B58" s="10" t="n">
        <v>12169.85</v>
      </c>
      <c r="C58" s="11" t="n">
        <v>18.0832</v>
      </c>
      <c r="D58" s="11" t="n">
        <v>17.9199</v>
      </c>
      <c r="E58" s="11" t="n">
        <v>18.2466</v>
      </c>
      <c r="F58" s="12" t="n">
        <f aca="false">IF(C58="","",B58/C58)</f>
        <v>672.992058927623</v>
      </c>
      <c r="G58" s="12" t="n">
        <f aca="false">MEDIAN(F48:F68)</f>
        <v>679.116167862149</v>
      </c>
      <c r="H58" s="13" t="n">
        <f aca="false">B58/G58</f>
        <v>17.9201299805755</v>
      </c>
      <c r="I58" s="14" t="n">
        <f aca="false">B58/Summary!$C$8*100</f>
        <v>121.95338256957</v>
      </c>
      <c r="J58" s="14" t="n">
        <f aca="false">G58/Summary!$E$8*100</f>
        <v>115.419747698872</v>
      </c>
      <c r="K58" s="15" t="n">
        <f aca="false">Summary!$D$9</f>
        <v>16.9374488591431</v>
      </c>
      <c r="L58" s="16" t="str">
        <f aca="false">IF(OR(D58="",E58=""),"edge hidden",IF(AND(H58&gt;=D58-0.02,H58&lt;=E58+0.02),"yes","no"))</f>
        <v>yes</v>
      </c>
    </row>
    <row r="59" customFormat="false" ht="15" hidden="false" customHeight="false" outlineLevel="0" collapsed="false">
      <c r="A59" s="9" t="n">
        <v>43852</v>
      </c>
      <c r="B59" s="10" t="n">
        <v>12106.9</v>
      </c>
      <c r="C59" s="11" t="n">
        <v>18.0124</v>
      </c>
      <c r="D59" s="11" t="n">
        <v>17.9041</v>
      </c>
      <c r="E59" s="11" t="n">
        <v>18.1206</v>
      </c>
      <c r="F59" s="12" t="n">
        <f aca="false">IF(C59="","",B59/C59)</f>
        <v>672.142524038995</v>
      </c>
      <c r="G59" s="12" t="n">
        <f aca="false">MEDIAN(F49:F69)</f>
        <v>679.276653051724</v>
      </c>
      <c r="H59" s="13" t="n">
        <f aca="false">B59/G59</f>
        <v>17.8232240805104</v>
      </c>
      <c r="I59" s="14" t="n">
        <f aca="false">B59/Summary!$C$8*100</f>
        <v>121.322564159093</v>
      </c>
      <c r="J59" s="14" t="n">
        <f aca="false">G59/Summary!$E$8*100</f>
        <v>115.447023091458</v>
      </c>
      <c r="K59" s="15" t="n">
        <f aca="false">Summary!$D$9</f>
        <v>16.9374488591431</v>
      </c>
      <c r="L59" s="16" t="str">
        <f aca="false">IF(OR(D59="",E59=""),"edge hidden",IF(AND(H59&gt;=D59-0.02,H59&lt;=E59+0.02),"yes","no"))</f>
        <v>no</v>
      </c>
    </row>
    <row r="60" customFormat="false" ht="15" hidden="false" customHeight="false" outlineLevel="0" collapsed="false">
      <c r="A60" s="9" t="n">
        <v>43853</v>
      </c>
      <c r="B60" s="10" t="n">
        <v>12180.35</v>
      </c>
      <c r="C60" s="11" t="n">
        <v>18.0045</v>
      </c>
      <c r="D60" s="11" t="n">
        <v>17.8962</v>
      </c>
      <c r="E60" s="11" t="n">
        <v>18.1128</v>
      </c>
      <c r="F60" s="12" t="n">
        <f aca="false">IF(C60="","",B60/C60)</f>
        <v>676.516981865645</v>
      </c>
      <c r="G60" s="12" t="n">
        <f aca="false">MEDIAN(F50:F70)</f>
        <v>679.344301933243</v>
      </c>
      <c r="H60" s="13" t="n">
        <f aca="false">B60/G60</f>
        <v>17.9295682106081</v>
      </c>
      <c r="I60" s="14" t="n">
        <f aca="false">B60/Summary!$C$8*100</f>
        <v>122.058602479182</v>
      </c>
      <c r="J60" s="14" t="n">
        <f aca="false">G60/Summary!$E$8*100</f>
        <v>115.458520412839</v>
      </c>
      <c r="K60" s="15" t="n">
        <f aca="false">Summary!$D$9</f>
        <v>16.9374488591431</v>
      </c>
      <c r="L60" s="16" t="str">
        <f aca="false">IF(OR(D60="",E60=""),"edge hidden",IF(AND(H60&gt;=D60-0.02,H60&lt;=E60+0.02),"yes","no"))</f>
        <v>yes</v>
      </c>
    </row>
    <row r="61" customFormat="false" ht="15" hidden="false" customHeight="false" outlineLevel="0" collapsed="false">
      <c r="A61" s="9" t="n">
        <v>43854</v>
      </c>
      <c r="B61" s="10" t="n">
        <v>12248.25</v>
      </c>
      <c r="C61" s="11" t="n">
        <v>17.9494</v>
      </c>
      <c r="D61" s="11" t="n">
        <v>17.7939</v>
      </c>
      <c r="E61" s="11" t="n">
        <v>18.1049</v>
      </c>
      <c r="F61" s="12" t="n">
        <f aca="false">IF(C61="","",B61/C61)</f>
        <v>682.376569690352</v>
      </c>
      <c r="G61" s="12" t="n">
        <f aca="false">MEDIAN(F51:F71)</f>
        <v>679.948831311647</v>
      </c>
      <c r="H61" s="13" t="n">
        <f aca="false">B61/G61</f>
        <v>18.0134878331546</v>
      </c>
      <c r="I61" s="14" t="n">
        <f aca="false">B61/Summary!$C$8*100</f>
        <v>122.739024561333</v>
      </c>
      <c r="J61" s="14" t="n">
        <f aca="false">G61/Summary!$E$8*100</f>
        <v>115.561263701298</v>
      </c>
      <c r="K61" s="15" t="n">
        <f aca="false">Summary!$D$9</f>
        <v>16.9374488591431</v>
      </c>
      <c r="L61" s="16" t="str">
        <f aca="false">IF(OR(D61="",E61=""),"edge hidden",IF(AND(H61&gt;=D61-0.02,H61&lt;=E61+0.02),"yes","no"))</f>
        <v>yes</v>
      </c>
    </row>
    <row r="62" customFormat="false" ht="15" hidden="false" customHeight="false" outlineLevel="0" collapsed="false">
      <c r="A62" s="9" t="n">
        <v>43857</v>
      </c>
      <c r="B62" s="10" t="n">
        <v>12119</v>
      </c>
      <c r="C62" s="11" t="n">
        <v>17.8234</v>
      </c>
      <c r="D62" s="11" t="n">
        <v>17.5576</v>
      </c>
      <c r="E62" s="11" t="n">
        <v>18.0891</v>
      </c>
      <c r="F62" s="12" t="n">
        <f aca="false">IF(C62="","",B62/C62)</f>
        <v>679.948831311647</v>
      </c>
      <c r="G62" s="12" t="n">
        <f aca="false">MEDIAN(F52:F72)</f>
        <v>680.299226489347</v>
      </c>
      <c r="H62" s="13" t="n">
        <f aca="false">B62/G62</f>
        <v>17.8142198728338</v>
      </c>
      <c r="I62" s="14" t="n">
        <f aca="false">B62/Summary!$C$8*100</f>
        <v>121.44381757874</v>
      </c>
      <c r="J62" s="14" t="n">
        <f aca="false">G62/Summary!$E$8*100</f>
        <v>115.620815402346</v>
      </c>
      <c r="K62" s="15" t="n">
        <f aca="false">Summary!$D$9</f>
        <v>16.9374488591431</v>
      </c>
      <c r="L62" s="16" t="str">
        <f aca="false">IF(OR(D62="",E62=""),"edge hidden",IF(AND(H62&gt;=D62-0.02,H62&lt;=E62+0.02),"yes","no"))</f>
        <v>yes</v>
      </c>
    </row>
    <row r="63" customFormat="false" ht="15" hidden="false" customHeight="false" outlineLevel="0" collapsed="false">
      <c r="A63" s="9" t="n">
        <v>43858</v>
      </c>
      <c r="B63" s="10" t="n">
        <v>12055.8</v>
      </c>
      <c r="C63" s="11" t="n">
        <v>17.6108</v>
      </c>
      <c r="D63" s="11" t="n">
        <v>17.1561</v>
      </c>
      <c r="E63" s="11" t="n">
        <v>18.0655</v>
      </c>
      <c r="F63" s="12" t="n">
        <f aca="false">IF(C63="","",B63/C63)</f>
        <v>684.568560201694</v>
      </c>
      <c r="G63" s="12" t="n">
        <f aca="false">MEDIAN(F53:F73)</f>
        <v>680.859097247868</v>
      </c>
      <c r="H63" s="13" t="n">
        <f aca="false">B63/G63</f>
        <v>17.7067473266221</v>
      </c>
      <c r="I63" s="14" t="n">
        <f aca="false">B63/Summary!$C$8*100</f>
        <v>120.810493932319</v>
      </c>
      <c r="J63" s="14" t="n">
        <f aca="false">G63/Summary!$E$8*100</f>
        <v>115.715968698277</v>
      </c>
      <c r="K63" s="15" t="n">
        <f aca="false">Summary!$D$9</f>
        <v>16.9374488591431</v>
      </c>
      <c r="L63" s="16" t="str">
        <f aca="false">IF(OR(D63="",E63=""),"edge hidden",IF(AND(H63&gt;=D63-0.02,H63&lt;=E63+0.02),"yes","no"))</f>
        <v>yes</v>
      </c>
    </row>
    <row r="64" customFormat="false" ht="15" hidden="false" customHeight="false" outlineLevel="0" collapsed="false">
      <c r="A64" s="9" t="n">
        <v>43859</v>
      </c>
      <c r="B64" s="10" t="n">
        <v>12129.5</v>
      </c>
      <c r="C64" s="11" t="n">
        <v>17.5242</v>
      </c>
      <c r="D64" s="11" t="n">
        <v>17.1167</v>
      </c>
      <c r="E64" s="11" t="n">
        <v>17.9317</v>
      </c>
      <c r="F64" s="12" t="n">
        <f aca="false">IF(C64="","",B64/C64)</f>
        <v>692.157131281314</v>
      </c>
      <c r="G64" s="12" t="n">
        <f aca="false">MEDIAN(F54:F74)</f>
        <v>682.376569690352</v>
      </c>
      <c r="H64" s="13" t="n">
        <f aca="false">B64/G64</f>
        <v>17.7753758536934</v>
      </c>
      <c r="I64" s="14" t="n">
        <f aca="false">B64/Summary!$C$8*100</f>
        <v>121.549037488351</v>
      </c>
      <c r="J64" s="14" t="n">
        <f aca="false">G64/Summary!$E$8*100</f>
        <v>115.973871977186</v>
      </c>
      <c r="K64" s="15" t="n">
        <f aca="false">Summary!$D$9</f>
        <v>16.9374488591431</v>
      </c>
      <c r="L64" s="16" t="str">
        <f aca="false">IF(OR(D64="",E64=""),"edge hidden",IF(AND(H64&gt;=D64-0.02,H64&lt;=E64+0.02),"yes","no"))</f>
        <v>yes</v>
      </c>
    </row>
    <row r="65" customFormat="false" ht="15" hidden="false" customHeight="false" outlineLevel="0" collapsed="false">
      <c r="A65" s="9" t="n">
        <v>43860</v>
      </c>
      <c r="B65" s="10" t="n">
        <v>12035.8</v>
      </c>
      <c r="C65" s="11" t="n">
        <v>17.4809</v>
      </c>
      <c r="D65" s="11" t="n">
        <v>17.1088</v>
      </c>
      <c r="E65" s="11" t="n">
        <v>17.8529</v>
      </c>
      <c r="F65" s="12" t="n">
        <f aca="false">IF(C65="","",B65/C65)</f>
        <v>688.511461080379</v>
      </c>
      <c r="G65" s="12" t="n">
        <f aca="false">MEDIAN(F55:F75)</f>
        <v>682.712600869025</v>
      </c>
      <c r="H65" s="13" t="n">
        <f aca="false">B65/G65</f>
        <v>17.6293801882075</v>
      </c>
      <c r="I65" s="14" t="n">
        <f aca="false">B65/Summary!$C$8*100</f>
        <v>120.610075056869</v>
      </c>
      <c r="J65" s="14" t="n">
        <f aca="false">G65/Summary!$E$8*100</f>
        <v>116.030982432947</v>
      </c>
      <c r="K65" s="15" t="n">
        <f aca="false">Summary!$D$9</f>
        <v>16.9374488591431</v>
      </c>
      <c r="L65" s="16" t="str">
        <f aca="false">IF(OR(D65="",E65=""),"edge hidden",IF(AND(H65&gt;=D65-0.02,H65&lt;=E65+0.02),"yes","no"))</f>
        <v>yes</v>
      </c>
    </row>
    <row r="66" customFormat="false" ht="15" hidden="false" customHeight="false" outlineLevel="0" collapsed="false">
      <c r="A66" s="9" t="n">
        <v>43861</v>
      </c>
      <c r="B66" s="10" t="n">
        <v>11962.1</v>
      </c>
      <c r="C66" s="11" t="n">
        <v>17.4651</v>
      </c>
      <c r="D66" s="11" t="n">
        <v>17.101</v>
      </c>
      <c r="E66" s="11" t="n">
        <v>17.8293</v>
      </c>
      <c r="F66" s="12" t="n">
        <f aca="false">IF(C66="","",B66/C66)</f>
        <v>684.914486604715</v>
      </c>
      <c r="G66" s="12" t="n">
        <f aca="false">MEDIAN(F56:F76)</f>
        <v>684.568560201694</v>
      </c>
      <c r="H66" s="13" t="n">
        <f aca="false">B66/G66</f>
        <v>17.4739254698983</v>
      </c>
      <c r="I66" s="14" t="n">
        <f aca="false">B66/Summary!$C$8*100</f>
        <v>119.871531500837</v>
      </c>
      <c r="J66" s="14" t="n">
        <f aca="false">G66/Summary!$E$8*100</f>
        <v>116.34641353009</v>
      </c>
      <c r="K66" s="15" t="n">
        <f aca="false">Summary!$D$9</f>
        <v>16.9374488591431</v>
      </c>
      <c r="L66" s="16" t="str">
        <f aca="false">IF(OR(D66="",E66=""),"edge hidden",IF(AND(H66&gt;=D66-0.02,H66&lt;=E66+0.02),"yes","no"))</f>
        <v>yes</v>
      </c>
    </row>
    <row r="67" customFormat="false" ht="15" hidden="false" customHeight="false" outlineLevel="0" collapsed="false">
      <c r="A67" s="9" t="n">
        <v>43864</v>
      </c>
      <c r="B67" s="10" t="n">
        <v>11707.9</v>
      </c>
      <c r="C67" s="11" t="n">
        <v>17.4651</v>
      </c>
      <c r="D67" s="11" t="n">
        <v>17.1325</v>
      </c>
      <c r="E67" s="11" t="n">
        <v>17.7978</v>
      </c>
      <c r="F67" s="12" t="n">
        <f aca="false">IF(C67="","",B67/C67)</f>
        <v>670.359746007753</v>
      </c>
      <c r="G67" s="12" t="n">
        <f aca="false">MEDIAN(F57:F77)</f>
        <v>684.914486604715</v>
      </c>
      <c r="H67" s="13" t="n">
        <f aca="false">B67/G67</f>
        <v>17.093958777305</v>
      </c>
      <c r="I67" s="14" t="n">
        <f aca="false">B67/Summary!$C$8*100</f>
        <v>117.324207593871</v>
      </c>
      <c r="J67" s="14" t="n">
        <f aca="false">G67/Summary!$E$8*100</f>
        <v>116.405205736855</v>
      </c>
      <c r="K67" s="15" t="n">
        <f aca="false">Summary!$D$9</f>
        <v>16.9374488591431</v>
      </c>
      <c r="L67" s="16" t="str">
        <f aca="false">IF(OR(D67="",E67=""),"edge hidden",IF(AND(H67&gt;=D67-0.02,H67&lt;=E67+0.02),"yes","no"))</f>
        <v>no</v>
      </c>
    </row>
    <row r="68" customFormat="false" ht="15" hidden="false" customHeight="false" outlineLevel="0" collapsed="false">
      <c r="A68" s="9" t="n">
        <v>43865</v>
      </c>
      <c r="B68" s="10" t="n">
        <v>11979.65</v>
      </c>
      <c r="C68" s="11" t="n">
        <v>17.4691</v>
      </c>
      <c r="D68" s="11" t="n">
        <v>17.1403</v>
      </c>
      <c r="E68" s="11" t="n">
        <v>17.7978</v>
      </c>
      <c r="F68" s="12" t="n">
        <f aca="false">IF(C68="","",B68/C68)</f>
        <v>685.76228884144</v>
      </c>
      <c r="G68" s="12" t="n">
        <f aca="false">MEDIAN(F58:F78)</f>
        <v>685.533914618956</v>
      </c>
      <c r="H68" s="13" t="n">
        <f aca="false">B68/G68</f>
        <v>17.474919540135</v>
      </c>
      <c r="I68" s="14" t="n">
        <f aca="false">B68/Summary!$C$8*100</f>
        <v>120.047399064044</v>
      </c>
      <c r="J68" s="14" t="n">
        <f aca="false">G68/Summary!$E$8*100</f>
        <v>116.51048113524</v>
      </c>
      <c r="K68" s="15" t="n">
        <f aca="false">Summary!$D$9</f>
        <v>16.9374488591431</v>
      </c>
      <c r="L68" s="16" t="str">
        <f aca="false">IF(OR(D68="",E68=""),"edge hidden",IF(AND(H68&gt;=D68-0.02,H68&lt;=E68+0.02),"yes","no"))</f>
        <v>yes</v>
      </c>
    </row>
    <row r="69" customFormat="false" ht="15" hidden="false" customHeight="false" outlineLevel="0" collapsed="false">
      <c r="A69" s="9" t="n">
        <v>43866</v>
      </c>
      <c r="B69" s="10" t="n">
        <v>12089.15</v>
      </c>
      <c r="C69" s="11" t="n">
        <v>17.5478</v>
      </c>
      <c r="D69" s="11" t="n">
        <v>17.2899</v>
      </c>
      <c r="E69" s="11" t="n">
        <v>17.8057</v>
      </c>
      <c r="F69" s="12" t="n">
        <f aca="false">IF(C69="","",B69/C69)</f>
        <v>688.926817036894</v>
      </c>
      <c r="G69" s="12" t="n">
        <f aca="false">MEDIAN(F59:F79)</f>
        <v>685.76228884144</v>
      </c>
      <c r="H69" s="13" t="n">
        <f aca="false">B69/G69</f>
        <v>17.6287763219293</v>
      </c>
      <c r="I69" s="14" t="n">
        <f aca="false">B69/Summary!$C$8*100</f>
        <v>121.144692407131</v>
      </c>
      <c r="J69" s="14" t="n">
        <f aca="false">G69/Summary!$E$8*100</f>
        <v>116.549294664335</v>
      </c>
      <c r="K69" s="15" t="n">
        <f aca="false">Summary!$D$9</f>
        <v>16.9374488591431</v>
      </c>
      <c r="L69" s="16" t="str">
        <f aca="false">IF(OR(D69="",E69=""),"edge hidden",IF(AND(H69&gt;=D69-0.02,H69&lt;=E69+0.02),"yes","no"))</f>
        <v>yes</v>
      </c>
    </row>
    <row r="70" customFormat="false" ht="15" hidden="false" customHeight="false" outlineLevel="0" collapsed="false">
      <c r="A70" s="9" t="n">
        <v>43867</v>
      </c>
      <c r="B70" s="10" t="n">
        <v>12137.95</v>
      </c>
      <c r="C70" s="11" t="n">
        <v>17.6817</v>
      </c>
      <c r="D70" s="11" t="n">
        <v>17.5655</v>
      </c>
      <c r="E70" s="11" t="n">
        <v>17.7978</v>
      </c>
      <c r="F70" s="12" t="n">
        <f aca="false">IF(C70="","",B70/C70)</f>
        <v>686.469626789279</v>
      </c>
      <c r="G70" s="12" t="n">
        <f aca="false">MEDIAN(F60:F80)</f>
        <v>686.034471909341</v>
      </c>
      <c r="H70" s="13" t="n">
        <f aca="false">B70/G70</f>
        <v>17.6929155851574</v>
      </c>
      <c r="I70" s="14" t="n">
        <f aca="false">B70/Summary!$C$8*100</f>
        <v>121.633714463228</v>
      </c>
      <c r="J70" s="14" t="n">
        <f aca="false">G70/Summary!$E$8*100</f>
        <v>116.595553761838</v>
      </c>
      <c r="K70" s="15" t="n">
        <f aca="false">Summary!$D$9</f>
        <v>16.9374488591431</v>
      </c>
      <c r="L70" s="16" t="str">
        <f aca="false">IF(OR(D70="",E70=""),"edge hidden",IF(AND(H70&gt;=D70-0.02,H70&lt;=E70+0.02),"yes","no"))</f>
        <v>yes</v>
      </c>
    </row>
    <row r="71" customFormat="false" ht="15" hidden="false" customHeight="false" outlineLevel="0" collapsed="false">
      <c r="A71" s="9" t="n">
        <v>43868</v>
      </c>
      <c r="B71" s="10" t="n">
        <v>12098.35</v>
      </c>
      <c r="C71" s="11" t="n">
        <v>17.721</v>
      </c>
      <c r="D71" s="11" t="n">
        <v>17.6443</v>
      </c>
      <c r="E71" s="11" t="n">
        <v>17.7978</v>
      </c>
      <c r="F71" s="12" t="n">
        <f aca="false">IF(C71="","",B71/C71)</f>
        <v>682.712600869025</v>
      </c>
      <c r="G71" s="12" t="n">
        <f aca="false">MEDIAN(F61:F81)</f>
        <v>686.469626789279</v>
      </c>
      <c r="H71" s="13" t="n">
        <f aca="false">B71/G71</f>
        <v>17.6240135438851</v>
      </c>
      <c r="I71" s="14" t="n">
        <f aca="false">B71/Summary!$C$8*100</f>
        <v>121.236885089838</v>
      </c>
      <c r="J71" s="14" t="n">
        <f aca="false">G71/Summary!$E$8*100</f>
        <v>116.669510867896</v>
      </c>
      <c r="K71" s="15" t="n">
        <f aca="false">Summary!$D$9</f>
        <v>16.9374488591431</v>
      </c>
      <c r="L71" s="16" t="str">
        <f aca="false">IF(OR(D71="",E71=""),"edge hidden",IF(AND(H71&gt;=D71-0.02,H71&lt;=E71+0.02),"yes","no"))</f>
        <v>no</v>
      </c>
    </row>
    <row r="72" customFormat="false" ht="15" hidden="false" customHeight="false" outlineLevel="0" collapsed="false">
      <c r="A72" s="9" t="n">
        <v>43871</v>
      </c>
      <c r="B72" s="10" t="n">
        <v>12031.5</v>
      </c>
      <c r="C72" s="11" t="n">
        <v>17.6856</v>
      </c>
      <c r="D72" s="11" t="n">
        <v>17.6128</v>
      </c>
      <c r="E72" s="11" t="n">
        <v>17.7584</v>
      </c>
      <c r="F72" s="12" t="n">
        <f aca="false">IF(C72="","",B72/C72)</f>
        <v>680.299226489347</v>
      </c>
      <c r="G72" s="12" t="n">
        <f aca="false">MEDIAN(F62:F82)</f>
        <v>688.511461080379</v>
      </c>
      <c r="H72" s="13" t="n">
        <f aca="false">B72/G72</f>
        <v>17.4746546428156</v>
      </c>
      <c r="I72" s="14" t="n">
        <f aca="false">B72/Summary!$C$8*100</f>
        <v>120.566984998647</v>
      </c>
      <c r="J72" s="14" t="n">
        <f aca="false">G72/Summary!$E$8*100</f>
        <v>117.016532496705</v>
      </c>
      <c r="K72" s="15" t="n">
        <f aca="false">Summary!$D$9</f>
        <v>16.9374488591431</v>
      </c>
      <c r="L72" s="16" t="str">
        <f aca="false">IF(OR(D72="",E72=""),"edge hidden",IF(AND(H72&gt;=D72-0.02,H72&lt;=E72+0.02),"yes","no"))</f>
        <v>no</v>
      </c>
    </row>
    <row r="73" customFormat="false" ht="15" hidden="false" customHeight="false" outlineLevel="0" collapsed="false">
      <c r="A73" s="9" t="n">
        <v>43872</v>
      </c>
      <c r="B73" s="10" t="n">
        <v>12107.9</v>
      </c>
      <c r="C73" s="11" t="n">
        <v>17.662</v>
      </c>
      <c r="D73" s="11" t="n">
        <v>17.5655</v>
      </c>
      <c r="E73" s="11" t="n">
        <v>17.7584</v>
      </c>
      <c r="F73" s="12" t="n">
        <f aca="false">IF(C73="","",B73/C73)</f>
        <v>685.533914618956</v>
      </c>
      <c r="G73" s="12" t="n">
        <f aca="false">MEDIAN(F63:F83)</f>
        <v>688.926817036894</v>
      </c>
      <c r="H73" s="13" t="n">
        <f aca="false">B73/G73</f>
        <v>17.5750162434911</v>
      </c>
      <c r="I73" s="14" t="n">
        <f aca="false">B73/Summary!$C$8*100</f>
        <v>121.332585102865</v>
      </c>
      <c r="J73" s="14" t="n">
        <f aca="false">G73/Summary!$E$8*100</f>
        <v>117.087124660424</v>
      </c>
      <c r="K73" s="15" t="n">
        <f aca="false">Summary!$D$9</f>
        <v>16.9374488591431</v>
      </c>
      <c r="L73" s="16" t="str">
        <f aca="false">IF(OR(D73="",E73=""),"edge hidden",IF(AND(H73&gt;=D73-0.02,H73&lt;=E73+0.02),"yes","no"))</f>
        <v>yes</v>
      </c>
    </row>
    <row r="74" customFormat="false" ht="15" hidden="false" customHeight="false" outlineLevel="0" collapsed="false">
      <c r="A74" s="9" t="n">
        <v>43873</v>
      </c>
      <c r="B74" s="10" t="n">
        <v>12201.2</v>
      </c>
      <c r="C74" s="11" t="n">
        <v>17.6502</v>
      </c>
      <c r="D74" s="11" t="n">
        <v>17.5498</v>
      </c>
      <c r="E74" s="11" t="n">
        <v>17.7506</v>
      </c>
      <c r="F74" s="12" t="n">
        <f aca="false">IF(C74="","",B74/C74)</f>
        <v>691.278285798461</v>
      </c>
      <c r="G74" s="12" t="n">
        <f aca="false">MEDIAN(F64:F84)</f>
        <v>689.083514006716</v>
      </c>
      <c r="H74" s="13" t="n">
        <f aca="false">B74/G74</f>
        <v>17.7064169320427</v>
      </c>
      <c r="I74" s="14" t="n">
        <f aca="false">B74/Summary!$C$8*100</f>
        <v>122.267539156838</v>
      </c>
      <c r="J74" s="14" t="n">
        <f aca="false">G74/Summary!$E$8*100</f>
        <v>117.113756223002</v>
      </c>
      <c r="K74" s="15" t="n">
        <f aca="false">Summary!$D$9</f>
        <v>16.9374488591431</v>
      </c>
      <c r="L74" s="16" t="str">
        <f aca="false">IF(OR(D74="",E74=""),"edge hidden",IF(AND(H74&gt;=D74-0.02,H74&lt;=E74+0.02),"yes","no"))</f>
        <v>yes</v>
      </c>
    </row>
    <row r="75" customFormat="false" ht="15" hidden="false" customHeight="false" outlineLevel="0" collapsed="false">
      <c r="A75" s="9" t="n">
        <v>43874</v>
      </c>
      <c r="B75" s="10" t="n">
        <v>12174.65</v>
      </c>
      <c r="C75" s="11" t="n">
        <v>17.6069</v>
      </c>
      <c r="D75" s="11" t="n">
        <v>17.4868</v>
      </c>
      <c r="E75" s="11" t="n">
        <v>17.7269</v>
      </c>
      <c r="F75" s="12" t="n">
        <f aca="false">IF(C75="","",B75/C75)</f>
        <v>691.470389449591</v>
      </c>
      <c r="G75" s="12" t="n">
        <f aca="false">MEDIAN(F65:F85)</f>
        <v>688.926817036894</v>
      </c>
      <c r="H75" s="13" t="n">
        <f aca="false">B75/G75</f>
        <v>17.6719060703193</v>
      </c>
      <c r="I75" s="14" t="n">
        <f aca="false">B75/Summary!$C$8*100</f>
        <v>122.001483099678</v>
      </c>
      <c r="J75" s="14" t="n">
        <f aca="false">G75/Summary!$E$8*100</f>
        <v>117.087124660424</v>
      </c>
      <c r="K75" s="15" t="n">
        <f aca="false">Summary!$D$9</f>
        <v>16.9374488591431</v>
      </c>
      <c r="L75" s="16" t="str">
        <f aca="false">IF(OR(D75="",E75=""),"edge hidden",IF(AND(H75&gt;=D75-0.02,H75&lt;=E75+0.02),"yes","no"))</f>
        <v>yes</v>
      </c>
    </row>
    <row r="76" customFormat="false" ht="15" hidden="false" customHeight="false" outlineLevel="0" collapsed="false">
      <c r="A76" s="9" t="n">
        <v>43875</v>
      </c>
      <c r="B76" s="10" t="n">
        <v>12113.45</v>
      </c>
      <c r="C76" s="11" t="n">
        <v>17.5242</v>
      </c>
      <c r="D76" s="11" t="n">
        <v>17.4238</v>
      </c>
      <c r="E76" s="11" t="n">
        <v>17.6246</v>
      </c>
      <c r="F76" s="12" t="n">
        <f aca="false">IF(C76="","",B76/C76)</f>
        <v>691.241254950297</v>
      </c>
      <c r="G76" s="12" t="n">
        <f aca="false">MEDIAN(F66:F86)</f>
        <v>688.926817036894</v>
      </c>
      <c r="H76" s="13" t="n">
        <f aca="false">B76/G76</f>
        <v>17.5830722515644</v>
      </c>
      <c r="I76" s="14" t="n">
        <f aca="false">B76/Summary!$C$8*100</f>
        <v>121.388201340802</v>
      </c>
      <c r="J76" s="14" t="n">
        <f aca="false">G76/Summary!$E$8*100</f>
        <v>117.087124660424</v>
      </c>
      <c r="K76" s="15" t="n">
        <f aca="false">Summary!$D$9</f>
        <v>16.9374488591431</v>
      </c>
      <c r="L76" s="16" t="str">
        <f aca="false">IF(OR(D76="",E76=""),"edge hidden",IF(AND(H76&gt;=D76-0.02,H76&lt;=E76+0.02),"yes","no"))</f>
        <v>yes</v>
      </c>
    </row>
    <row r="77" customFormat="false" ht="15" hidden="false" customHeight="false" outlineLevel="0" collapsed="false">
      <c r="A77" s="9" t="n">
        <v>43878</v>
      </c>
      <c r="B77" s="10" t="n">
        <v>12045.8</v>
      </c>
      <c r="C77" s="11" t="n">
        <v>17.4809</v>
      </c>
      <c r="D77" s="11" t="n">
        <v>17.3923</v>
      </c>
      <c r="E77" s="11" t="n">
        <v>17.5695</v>
      </c>
      <c r="F77" s="12" t="n">
        <f aca="false">IF(C77="","",B77/C77)</f>
        <v>689.083514006716</v>
      </c>
      <c r="G77" s="12" t="n">
        <f aca="false">MEDIAN(F67:F87)</f>
        <v>689.083514006716</v>
      </c>
      <c r="H77" s="13" t="n">
        <f aca="false">B77/G77</f>
        <v>17.4809</v>
      </c>
      <c r="I77" s="14" t="n">
        <f aca="false">B77/Summary!$C$8*100</f>
        <v>120.710284494594</v>
      </c>
      <c r="J77" s="14" t="n">
        <f aca="false">G77/Summary!$E$8*100</f>
        <v>117.113756223002</v>
      </c>
      <c r="K77" s="15" t="n">
        <f aca="false">Summary!$D$9</f>
        <v>16.9374488591431</v>
      </c>
      <c r="L77" s="16" t="str">
        <f aca="false">IF(OR(D77="",E77=""),"edge hidden",IF(AND(H77&gt;=D77-0.02,H77&lt;=E77+0.02),"yes","no"))</f>
        <v>yes</v>
      </c>
    </row>
    <row r="78" customFormat="false" ht="15" hidden="false" customHeight="false" outlineLevel="0" collapsed="false">
      <c r="A78" s="9" t="n">
        <v>43879</v>
      </c>
      <c r="B78" s="10" t="n">
        <v>11992.5</v>
      </c>
      <c r="C78" s="11" t="n">
        <v>17.4809</v>
      </c>
      <c r="D78" s="11" t="n">
        <v>17.3923</v>
      </c>
      <c r="E78" s="11" t="n">
        <v>17.5695</v>
      </c>
      <c r="F78" s="12" t="n">
        <f aca="false">IF(C78="","",B78/C78)</f>
        <v>686.034471909341</v>
      </c>
      <c r="G78" s="12" t="n">
        <f aca="false">MEDIAN(F68:F88)</f>
        <v>691.241254950297</v>
      </c>
      <c r="H78" s="13" t="n">
        <f aca="false">B78/G78</f>
        <v>17.3492249111525</v>
      </c>
      <c r="I78" s="14" t="n">
        <f aca="false">B78/Summary!$C$8*100</f>
        <v>120.17616819152</v>
      </c>
      <c r="J78" s="14" t="n">
        <f aca="false">G78/Summary!$E$8*100</f>
        <v>117.480476862406</v>
      </c>
      <c r="K78" s="15" t="n">
        <f aca="false">Summary!$D$9</f>
        <v>16.9374488591431</v>
      </c>
      <c r="L78" s="16" t="str">
        <f aca="false">IF(OR(D78="",E78=""),"edge hidden",IF(AND(H78&gt;=D78-0.02,H78&lt;=E78+0.02),"yes","no"))</f>
        <v>no</v>
      </c>
    </row>
    <row r="79" customFormat="false" ht="15" hidden="false" customHeight="false" outlineLevel="0" collapsed="false">
      <c r="A79" s="9" t="n">
        <v>43880</v>
      </c>
      <c r="B79" s="10" t="n">
        <v>12125.9</v>
      </c>
      <c r="C79" s="11" t="n">
        <v>17.473</v>
      </c>
      <c r="D79" s="11" t="n">
        <v>17.3765</v>
      </c>
      <c r="E79" s="11" t="n">
        <v>17.5695</v>
      </c>
      <c r="F79" s="12" t="n">
        <f aca="false">IF(C79="","",B79/C79)</f>
        <v>693.979282321296</v>
      </c>
      <c r="G79" s="12" t="n">
        <f aca="false">MEDIAN(F69:F89)</f>
        <v>691.278285798461</v>
      </c>
      <c r="H79" s="13" t="n">
        <f aca="false">B79/G79</f>
        <v>17.5412713651116</v>
      </c>
      <c r="I79" s="14" t="n">
        <f aca="false">B79/Summary!$C$8*100</f>
        <v>121.51296209077</v>
      </c>
      <c r="J79" s="14" t="n">
        <f aca="false">G79/Summary!$E$8*100</f>
        <v>117.486770470708</v>
      </c>
      <c r="K79" s="15" t="n">
        <f aca="false">Summary!$D$9</f>
        <v>16.9374488591431</v>
      </c>
      <c r="L79" s="16" t="str">
        <f aca="false">IF(OR(D79="",E79=""),"edge hidden",IF(AND(H79&gt;=D79-0.02,H79&lt;=E79+0.02),"yes","no"))</f>
        <v>yes</v>
      </c>
    </row>
    <row r="80" customFormat="false" ht="15" hidden="false" customHeight="false" outlineLevel="0" collapsed="false">
      <c r="A80" s="9" t="n">
        <v>43881</v>
      </c>
      <c r="B80" s="10" t="n">
        <v>12080.85</v>
      </c>
      <c r="C80" s="11" t="n">
        <v>17.3903</v>
      </c>
      <c r="D80" s="11" t="n">
        <v>17.2112</v>
      </c>
      <c r="E80" s="11" t="n">
        <v>17.5695</v>
      </c>
      <c r="F80" s="12" t="n">
        <f aca="false">IF(C80="","",B80/C80)</f>
        <v>694.688993289363</v>
      </c>
      <c r="G80" s="12" t="n">
        <f aca="false">MEDIAN(F70:F90)</f>
        <v>691.470389449591</v>
      </c>
      <c r="H80" s="13" t="n">
        <f aca="false">B80/G80</f>
        <v>17.4712470473484</v>
      </c>
      <c r="I80" s="14" t="n">
        <f aca="false">B80/Summary!$C$8*100</f>
        <v>121.061518573819</v>
      </c>
      <c r="J80" s="14" t="n">
        <f aca="false">G80/Summary!$E$8*100</f>
        <v>117.519419604972</v>
      </c>
      <c r="K80" s="15" t="n">
        <f aca="false">Summary!$D$9</f>
        <v>16.9374488591431</v>
      </c>
      <c r="L80" s="16" t="str">
        <f aca="false">IF(OR(D80="",E80=""),"edge hidden",IF(AND(H80&gt;=D80-0.02,H80&lt;=E80+0.02),"yes","no"))</f>
        <v>yes</v>
      </c>
    </row>
    <row r="81" customFormat="false" ht="15" hidden="false" customHeight="false" outlineLevel="0" collapsed="false">
      <c r="A81" s="9" t="n">
        <v>43885</v>
      </c>
      <c r="B81" s="10" t="n">
        <v>11829.4</v>
      </c>
      <c r="C81" s="11" t="n">
        <v>16.8943</v>
      </c>
      <c r="D81" s="11" t="n">
        <v>16.3293</v>
      </c>
      <c r="E81" s="11" t="n">
        <v>17.4592</v>
      </c>
      <c r="F81" s="12" t="n">
        <f aca="false">IF(C81="","",B81/C81)</f>
        <v>700.200659393997</v>
      </c>
      <c r="G81" s="12" t="n">
        <f aca="false">MEDIAN(F71:F91)</f>
        <v>693.462452061521</v>
      </c>
      <c r="H81" s="13" t="n">
        <f aca="false">B81/G81</f>
        <v>17.0584578369509</v>
      </c>
      <c r="I81" s="14" t="n">
        <f aca="false">B81/Summary!$C$8*100</f>
        <v>118.541752262228</v>
      </c>
      <c r="J81" s="14" t="n">
        <f aca="false">G81/Summary!$E$8*100</f>
        <v>117.85798224705</v>
      </c>
      <c r="K81" s="15" t="n">
        <f aca="false">Summary!$D$9</f>
        <v>16.9374488591431</v>
      </c>
      <c r="L81" s="16" t="str">
        <f aca="false">IF(OR(D81="",E81=""),"edge hidden",IF(AND(H81&gt;=D81-0.02,H81&lt;=E81+0.02),"yes","no"))</f>
        <v>yes</v>
      </c>
    </row>
    <row r="82" customFormat="false" ht="15" hidden="false" customHeight="false" outlineLevel="0" collapsed="false">
      <c r="A82" s="9" t="n">
        <v>43886</v>
      </c>
      <c r="B82" s="10" t="n">
        <v>11797.9</v>
      </c>
      <c r="C82" s="11" t="n">
        <v>16.8706</v>
      </c>
      <c r="D82" s="11" t="n">
        <v>16.2978</v>
      </c>
      <c r="E82" s="11" t="n">
        <v>17.4435</v>
      </c>
      <c r="F82" s="12" t="n">
        <f aca="false">IF(C82="","",B82/C82)</f>
        <v>699.317155287897</v>
      </c>
      <c r="G82" s="12" t="n">
        <f aca="false">MEDIAN(F72:F92)</f>
        <v>693.817830558555</v>
      </c>
      <c r="H82" s="13" t="n">
        <f aca="false">B82/G82</f>
        <v>17.0043194054298</v>
      </c>
      <c r="I82" s="14" t="n">
        <f aca="false">B82/Summary!$C$8*100</f>
        <v>118.226092533395</v>
      </c>
      <c r="J82" s="14" t="n">
        <f aca="false">G82/Summary!$E$8*100</f>
        <v>117.918380892239</v>
      </c>
      <c r="K82" s="15" t="n">
        <f aca="false">Summary!$D$9</f>
        <v>16.9374488591431</v>
      </c>
      <c r="L82" s="16" t="str">
        <f aca="false">IF(OR(D82="",E82=""),"edge hidden",IF(AND(H82&gt;=D82-0.02,H82&lt;=E82+0.02),"yes","no"))</f>
        <v>yes</v>
      </c>
    </row>
    <row r="83" customFormat="false" ht="15" hidden="false" customHeight="false" outlineLevel="0" collapsed="false">
      <c r="A83" s="9" t="n">
        <v>43887</v>
      </c>
      <c r="B83" s="10" t="n">
        <v>11678.5</v>
      </c>
      <c r="C83" s="11" t="n">
        <v>16.788</v>
      </c>
      <c r="D83" s="11" t="n">
        <v>16.2821</v>
      </c>
      <c r="E83" s="11" t="n">
        <v>17.2939</v>
      </c>
      <c r="F83" s="12" t="n">
        <f aca="false">IF(C83="","",B83/C83)</f>
        <v>695.64569930903</v>
      </c>
      <c r="G83" s="12" t="n">
        <f aca="false">MEDIAN(F73:F93)</f>
        <v>693.817830558555</v>
      </c>
      <c r="H83" s="13" t="n">
        <f aca="false">B83/G83</f>
        <v>16.8322281233365</v>
      </c>
      <c r="I83" s="14" t="n">
        <f aca="false">B83/Summary!$C$8*100</f>
        <v>117.02959184696</v>
      </c>
      <c r="J83" s="14" t="n">
        <f aca="false">G83/Summary!$E$8*100</f>
        <v>117.918380892239</v>
      </c>
      <c r="K83" s="15" t="n">
        <f aca="false">Summary!$D$9</f>
        <v>16.9374488591431</v>
      </c>
      <c r="L83" s="16" t="str">
        <f aca="false">IF(OR(D83="",E83=""),"edge hidden",IF(AND(H83&gt;=D83-0.02,H83&lt;=E83+0.02),"yes","no"))</f>
        <v>yes</v>
      </c>
    </row>
    <row r="84" customFormat="false" ht="15" hidden="false" customHeight="false" outlineLevel="0" collapsed="false">
      <c r="A84" s="9" t="n">
        <v>43888</v>
      </c>
      <c r="B84" s="10" t="n">
        <v>11633.3</v>
      </c>
      <c r="C84" s="11" t="n">
        <v>16.6147</v>
      </c>
      <c r="D84" s="11" t="n">
        <v>16.1797</v>
      </c>
      <c r="E84" s="11" t="n">
        <v>17.0498</v>
      </c>
      <c r="F84" s="12" t="n">
        <f aca="false">IF(C84="","",B84/C84)</f>
        <v>700.181164872071</v>
      </c>
      <c r="G84" s="12" t="n">
        <f aca="false">MEDIAN(F74:F94)</f>
        <v>693.817830558555</v>
      </c>
      <c r="H84" s="13" t="n">
        <f aca="false">B84/G84</f>
        <v>16.7670813398305</v>
      </c>
      <c r="I84" s="14" t="n">
        <f aca="false">B84/Summary!$C$8*100</f>
        <v>116.576645188444</v>
      </c>
      <c r="J84" s="14" t="n">
        <f aca="false">G84/Summary!$E$8*100</f>
        <v>117.918380892239</v>
      </c>
      <c r="K84" s="15" t="n">
        <f aca="false">Summary!$D$9</f>
        <v>16.9374488591431</v>
      </c>
      <c r="L84" s="16" t="str">
        <f aca="false">IF(OR(D84="",E84=""),"edge hidden",IF(AND(H84&gt;=D84-0.02,H84&lt;=E84+0.02),"yes","no"))</f>
        <v>yes</v>
      </c>
    </row>
    <row r="85" customFormat="false" ht="15" hidden="false" customHeight="false" outlineLevel="0" collapsed="false">
      <c r="A85" s="9" t="n">
        <v>43889</v>
      </c>
      <c r="B85" s="10" t="n">
        <v>11201.75</v>
      </c>
      <c r="C85" s="11" t="n">
        <v>16.5754</v>
      </c>
      <c r="D85" s="11" t="n">
        <v>16.1639</v>
      </c>
      <c r="E85" s="11" t="n">
        <v>16.9868</v>
      </c>
      <c r="F85" s="12" t="n">
        <f aca="false">IF(C85="","",B85/C85)</f>
        <v>675.805712079347</v>
      </c>
      <c r="G85" s="12" t="n">
        <f aca="false">MEDIAN(F75:F95)</f>
        <v>693.817830558555</v>
      </c>
      <c r="H85" s="13" t="n">
        <f aca="false">B85/G85</f>
        <v>16.1450881004054</v>
      </c>
      <c r="I85" s="14" t="n">
        <f aca="false">B85/Summary!$C$8*100</f>
        <v>112.252106903428</v>
      </c>
      <c r="J85" s="14" t="n">
        <f aca="false">G85/Summary!$E$8*100</f>
        <v>117.918380892239</v>
      </c>
      <c r="K85" s="15" t="n">
        <f aca="false">Summary!$D$9</f>
        <v>16.9374488591431</v>
      </c>
      <c r="L85" s="16" t="str">
        <f aca="false">IF(OR(D85="",E85=""),"edge hidden",IF(AND(H85&gt;=D85-0.02,H85&lt;=E85+0.02),"yes","no"))</f>
        <v>yes</v>
      </c>
    </row>
    <row r="86" customFormat="false" ht="15" hidden="false" customHeight="false" outlineLevel="0" collapsed="false">
      <c r="A86" s="9" t="n">
        <v>43892</v>
      </c>
      <c r="B86" s="10" t="n">
        <v>11132.75</v>
      </c>
      <c r="C86" s="11" t="n">
        <v>16.225</v>
      </c>
      <c r="D86" s="11" t="n">
        <v>16.0458</v>
      </c>
      <c r="E86" s="11" t="n">
        <v>16.4041</v>
      </c>
      <c r="F86" s="12" t="n">
        <f aca="false">IF(C86="","",B86/C86)</f>
        <v>686.147919876733</v>
      </c>
      <c r="G86" s="12" t="n">
        <f aca="false">MEDIAN(F76:F96)</f>
        <v>693.817830558555</v>
      </c>
      <c r="H86" s="13" t="n">
        <f aca="false">B86/G86</f>
        <v>16.0456383645223</v>
      </c>
      <c r="I86" s="14" t="n">
        <f aca="false">B86/Summary!$C$8*100</f>
        <v>111.560661783127</v>
      </c>
      <c r="J86" s="14" t="n">
        <f aca="false">G86/Summary!$E$8*100</f>
        <v>117.918380892239</v>
      </c>
      <c r="K86" s="15" t="n">
        <f aca="false">Summary!$D$9</f>
        <v>16.9374488591431</v>
      </c>
      <c r="L86" s="16" t="str">
        <f aca="false">IF(OR(D86="",E86=""),"edge hidden",IF(AND(H86&gt;=D86-0.02,H86&lt;=E86+0.02),"yes","no"))</f>
        <v>yes</v>
      </c>
    </row>
    <row r="87" customFormat="false" ht="15" hidden="false" customHeight="false" outlineLevel="0" collapsed="false">
      <c r="A87" s="9" t="n">
        <v>43893</v>
      </c>
      <c r="B87" s="10" t="n">
        <v>11303.3</v>
      </c>
      <c r="C87" s="11" t="n">
        <v>16.1935</v>
      </c>
      <c r="D87" s="11" t="n">
        <v>15.9907</v>
      </c>
      <c r="E87" s="11" t="n">
        <v>16.3962</v>
      </c>
      <c r="F87" s="12" t="n">
        <f aca="false">IF(C87="","",B87/C87)</f>
        <v>698.014635501899</v>
      </c>
      <c r="G87" s="12" t="n">
        <f aca="false">MEDIAN(F77:F97)</f>
        <v>693.817830558555</v>
      </c>
      <c r="H87" s="13" t="n">
        <f aca="false">B87/G87</f>
        <v>16.2914521682159</v>
      </c>
      <c r="I87" s="14" t="n">
        <f aca="false">B87/Summary!$C$8*100</f>
        <v>113.269733743524</v>
      </c>
      <c r="J87" s="14" t="n">
        <f aca="false">G87/Summary!$E$8*100</f>
        <v>117.918380892239</v>
      </c>
      <c r="K87" s="15" t="n">
        <f aca="false">Summary!$D$9</f>
        <v>16.9374488591431</v>
      </c>
      <c r="L87" s="16" t="str">
        <f aca="false">IF(OR(D87="",E87=""),"edge hidden",IF(AND(H87&gt;=D87-0.02,H87&lt;=E87+0.02),"yes","no"))</f>
        <v>yes</v>
      </c>
    </row>
    <row r="88" customFormat="false" ht="15" hidden="false" customHeight="false" outlineLevel="0" collapsed="false">
      <c r="A88" s="9" t="n">
        <v>43894</v>
      </c>
      <c r="B88" s="10" t="n">
        <v>11251</v>
      </c>
      <c r="C88" s="11" t="n">
        <v>16.1738</v>
      </c>
      <c r="D88" s="11" t="n">
        <v>15.9671</v>
      </c>
      <c r="E88" s="11" t="n">
        <v>16.3805</v>
      </c>
      <c r="F88" s="12" t="n">
        <f aca="false">IF(C88="","",B88/C88)</f>
        <v>695.631206024558</v>
      </c>
      <c r="G88" s="12" t="n">
        <f aca="false">MEDIAN(F78:F98)</f>
        <v>693.817830558555</v>
      </c>
      <c r="H88" s="13" t="n">
        <f aca="false">B88/G88</f>
        <v>16.2160721510176</v>
      </c>
      <c r="I88" s="14" t="n">
        <f aca="false">B88/Summary!$C$8*100</f>
        <v>112.745638384223</v>
      </c>
      <c r="J88" s="14" t="n">
        <f aca="false">G88/Summary!$E$8*100</f>
        <v>117.918380892239</v>
      </c>
      <c r="K88" s="15" t="n">
        <f aca="false">Summary!$D$9</f>
        <v>16.9374488591431</v>
      </c>
      <c r="L88" s="16" t="str">
        <f aca="false">IF(OR(D88="",E88=""),"edge hidden",IF(AND(H88&gt;=D88-0.02,H88&lt;=E88+0.02),"yes","no"))</f>
        <v>yes</v>
      </c>
    </row>
    <row r="89" customFormat="false" ht="15" hidden="false" customHeight="false" outlineLevel="0" collapsed="false">
      <c r="A89" s="9" t="n">
        <v>43895</v>
      </c>
      <c r="B89" s="10" t="n">
        <v>11269</v>
      </c>
      <c r="C89" s="11" t="n">
        <v>16.0517</v>
      </c>
      <c r="D89" s="11" t="n">
        <v>15.7309</v>
      </c>
      <c r="E89" s="11" t="n">
        <v>16.3726</v>
      </c>
      <c r="F89" s="12" t="n">
        <f aca="false">IF(C89="","",B89/C89)</f>
        <v>702.044020259536</v>
      </c>
      <c r="G89" s="12" t="n">
        <f aca="false">MEDIAN(F79:F99)</f>
        <v>693.979282321296</v>
      </c>
      <c r="H89" s="13" t="n">
        <f aca="false">B89/G89</f>
        <v>16.2382369143734</v>
      </c>
      <c r="I89" s="14" t="n">
        <f aca="false">B89/Summary!$C$8*100</f>
        <v>112.926015372128</v>
      </c>
      <c r="J89" s="14" t="n">
        <f aca="false">G89/Summary!$E$8*100</f>
        <v>117.945820559564</v>
      </c>
      <c r="K89" s="15" t="n">
        <f aca="false">Summary!$D$9</f>
        <v>16.9374488591431</v>
      </c>
      <c r="L89" s="16" t="str">
        <f aca="false">IF(OR(D89="",E89=""),"edge hidden",IF(AND(H89&gt;=D89-0.02,H89&lt;=E89+0.02),"yes","no"))</f>
        <v>yes</v>
      </c>
    </row>
    <row r="90" customFormat="false" ht="15" hidden="false" customHeight="false" outlineLevel="0" collapsed="false">
      <c r="A90" s="9" t="n">
        <v>43896</v>
      </c>
      <c r="B90" s="10" t="n">
        <v>10989.45</v>
      </c>
      <c r="C90" s="11" t="n">
        <v>15.8391</v>
      </c>
      <c r="D90" s="11" t="n">
        <v>15.3214</v>
      </c>
      <c r="E90" s="11" t="n">
        <v>16.3569</v>
      </c>
      <c r="F90" s="12" t="n">
        <f aca="false">IF(C90="","",B90/C90)</f>
        <v>693.817830558555</v>
      </c>
      <c r="G90" s="12" t="n">
        <f aca="false">MEDIAN(F80:F100)</f>
        <v>693.817830558555</v>
      </c>
      <c r="H90" s="13" t="n">
        <f aca="false">B90/G90</f>
        <v>15.8391</v>
      </c>
      <c r="I90" s="14" t="n">
        <f aca="false">B90/Summary!$C$8*100</f>
        <v>110.12466054053</v>
      </c>
      <c r="J90" s="14" t="n">
        <f aca="false">G90/Summary!$E$8*100</f>
        <v>117.918380892239</v>
      </c>
      <c r="K90" s="15" t="n">
        <f aca="false">Summary!$D$9</f>
        <v>16.9374488591431</v>
      </c>
      <c r="L90" s="16" t="str">
        <f aca="false">IF(OR(D90="",E90=""),"edge hidden",IF(AND(H90&gt;=D90-0.02,H90&lt;=E90+0.02),"yes","no"))</f>
        <v>yes</v>
      </c>
    </row>
    <row r="91" customFormat="false" ht="15" hidden="false" customHeight="false" outlineLevel="0" collapsed="false">
      <c r="A91" s="9" t="n">
        <v>43899</v>
      </c>
      <c r="B91" s="10" t="n">
        <v>10451.45</v>
      </c>
      <c r="C91" s="11" t="n">
        <v>15.0714</v>
      </c>
      <c r="D91" s="11" t="n">
        <v>14.0852</v>
      </c>
      <c r="E91" s="11" t="n">
        <v>16.0576</v>
      </c>
      <c r="F91" s="12" t="n">
        <f aca="false">IF(C91="","",B91/C91)</f>
        <v>693.462452061521</v>
      </c>
      <c r="G91" s="12" t="n">
        <f aca="false">MEDIAN(F81:F101)</f>
        <v>693.462452061521</v>
      </c>
      <c r="H91" s="13" t="n">
        <f aca="false">B91/G91</f>
        <v>15.0714</v>
      </c>
      <c r="I91" s="14" t="n">
        <f aca="false">B91/Summary!$C$8*100</f>
        <v>104.733392790933</v>
      </c>
      <c r="J91" s="14" t="n">
        <f aca="false">G91/Summary!$E$8*100</f>
        <v>117.85798224705</v>
      </c>
      <c r="K91" s="15" t="n">
        <f aca="false">Summary!$D$9</f>
        <v>16.9374488591431</v>
      </c>
      <c r="L91" s="16" t="str">
        <f aca="false">IF(OR(D91="",E91=""),"edge hidden",IF(AND(H91&gt;=D91-0.02,H91&lt;=E91+0.02),"yes","no"))</f>
        <v>yes</v>
      </c>
    </row>
    <row r="92" customFormat="false" ht="15" hidden="false" customHeight="false" outlineLevel="0" collapsed="false">
      <c r="A92" s="9" t="n">
        <v>43901</v>
      </c>
      <c r="B92" s="10" t="n">
        <v>10458.4</v>
      </c>
      <c r="C92" s="11" t="n">
        <v>14.8667</v>
      </c>
      <c r="D92" s="11" t="n">
        <v>14.0695</v>
      </c>
      <c r="E92" s="11" t="n">
        <v>15.6639</v>
      </c>
      <c r="F92" s="12" t="n">
        <f aca="false">IF(C92="","",B92/C92)</f>
        <v>703.478243322324</v>
      </c>
      <c r="G92" s="12" t="n">
        <f aca="false">MEDIAN(F82:F102)</f>
        <v>693.316990277739</v>
      </c>
      <c r="H92" s="13" t="n">
        <f aca="false">B92/G92</f>
        <v>15.0845863387978</v>
      </c>
      <c r="I92" s="14" t="n">
        <f aca="false">B92/Summary!$C$8*100</f>
        <v>104.803038350152</v>
      </c>
      <c r="J92" s="14" t="n">
        <f aca="false">G92/Summary!$E$8*100</f>
        <v>117.83326016977</v>
      </c>
      <c r="K92" s="15" t="n">
        <f aca="false">Summary!$D$9</f>
        <v>16.9374488591431</v>
      </c>
      <c r="L92" s="16" t="str">
        <f aca="false">IF(OR(D92="",E92=""),"edge hidden",IF(AND(H92&gt;=D92-0.02,H92&lt;=E92+0.02),"yes","no"))</f>
        <v>yes</v>
      </c>
    </row>
    <row r="93" customFormat="false" ht="15" hidden="false" customHeight="false" outlineLevel="0" collapsed="false">
      <c r="A93" s="9" t="n">
        <v>43902</v>
      </c>
      <c r="B93" s="10" t="n">
        <v>9590.15</v>
      </c>
      <c r="C93" s="11" t="n">
        <v>14.473</v>
      </c>
      <c r="D93" s="11" t="n">
        <v>13.6521</v>
      </c>
      <c r="E93" s="11" t="n">
        <v>15.2939</v>
      </c>
      <c r="F93" s="12" t="n">
        <f aca="false">IF(C93="","",B93/C93)</f>
        <v>662.623505838458</v>
      </c>
      <c r="G93" s="12" t="n">
        <f aca="false">MEDIAN(F83:F103)</f>
        <v>693.316990277739</v>
      </c>
      <c r="H93" s="13" t="n">
        <f aca="false">B93/G93</f>
        <v>13.8322731657827</v>
      </c>
      <c r="I93" s="14" t="n">
        <f aca="false">B93/Summary!$C$8*100</f>
        <v>96.1023539196922</v>
      </c>
      <c r="J93" s="14" t="n">
        <f aca="false">G93/Summary!$E$8*100</f>
        <v>117.83326016977</v>
      </c>
      <c r="K93" s="15" t="n">
        <f aca="false">Summary!$D$9</f>
        <v>16.9374488591431</v>
      </c>
      <c r="L93" s="16" t="str">
        <f aca="false">IF(OR(D93="",E93=""),"edge hidden",IF(AND(H93&gt;=D93-0.02,H93&lt;=E93+0.02),"yes","no"))</f>
        <v>yes</v>
      </c>
    </row>
    <row r="94" customFormat="false" ht="15" hidden="false" customHeight="false" outlineLevel="0" collapsed="false">
      <c r="A94" s="9" t="n">
        <v>43903</v>
      </c>
      <c r="B94" s="10" t="n">
        <v>9955.2</v>
      </c>
      <c r="C94" s="11" t="n">
        <v>14.3588</v>
      </c>
      <c r="D94" s="11" t="n">
        <v>13.4395</v>
      </c>
      <c r="E94" s="11" t="n">
        <v>15.2781</v>
      </c>
      <c r="F94" s="12" t="n">
        <f aca="false">IF(C94="","",B94/C94)</f>
        <v>693.316990277739</v>
      </c>
      <c r="G94" s="12" t="n">
        <f aca="false">MEDIAN(F84:F104)</f>
        <v>686.147919876733</v>
      </c>
      <c r="H94" s="13" t="n">
        <f aca="false">B94/G94</f>
        <v>14.5088248635782</v>
      </c>
      <c r="I94" s="14" t="n">
        <f aca="false">B94/Summary!$C$8*100</f>
        <v>99.7604994438376</v>
      </c>
      <c r="J94" s="14" t="n">
        <f aca="false">G94/Summary!$E$8*100</f>
        <v>116.614834904584</v>
      </c>
      <c r="K94" s="15" t="n">
        <f aca="false">Summary!$D$9</f>
        <v>16.9374488591431</v>
      </c>
      <c r="L94" s="16" t="str">
        <f aca="false">IF(OR(D94="",E94=""),"edge hidden",IF(AND(H94&gt;=D94-0.02,H94&lt;=E94+0.02),"yes","no"))</f>
        <v>yes</v>
      </c>
    </row>
    <row r="95" customFormat="false" ht="15" hidden="false" customHeight="false" outlineLevel="0" collapsed="false">
      <c r="A95" s="9" t="n">
        <v>43906</v>
      </c>
      <c r="B95" s="10" t="n">
        <v>9197.4</v>
      </c>
      <c r="C95" s="11" t="n">
        <v>13.4769</v>
      </c>
      <c r="D95" s="11" t="n">
        <v>12.3293</v>
      </c>
      <c r="E95" s="11" t="n">
        <v>14.6246</v>
      </c>
      <c r="F95" s="12" t="n">
        <f aca="false">IF(C95="","",B95/C95)</f>
        <v>682.456648042206</v>
      </c>
      <c r="G95" s="12" t="n">
        <f aca="false">MEDIAN(F85:F105)</f>
        <v>682.893460655906</v>
      </c>
      <c r="H95" s="13" t="n">
        <f aca="false">B95/G95</f>
        <v>13.4682795046332</v>
      </c>
      <c r="I95" s="14" t="n">
        <f aca="false">B95/Summary!$C$8*100</f>
        <v>92.1666282530489</v>
      </c>
      <c r="J95" s="14" t="n">
        <f aca="false">G95/Summary!$E$8*100</f>
        <v>116.061720607001</v>
      </c>
      <c r="K95" s="15" t="n">
        <f aca="false">Summary!$D$9</f>
        <v>16.9374488591431</v>
      </c>
      <c r="L95" s="16" t="str">
        <f aca="false">IF(OR(D95="",E95=""),"edge hidden",IF(AND(H95&gt;=D95-0.02,H95&lt;=E95+0.02),"yes","no"))</f>
        <v>yes</v>
      </c>
    </row>
    <row r="96" customFormat="false" ht="15" hidden="false" customHeight="false" outlineLevel="0" collapsed="false">
      <c r="A96" s="9" t="n">
        <v>43907</v>
      </c>
      <c r="B96" s="10" t="n">
        <v>8967.05</v>
      </c>
      <c r="C96" s="11" t="n">
        <v>13.4533</v>
      </c>
      <c r="D96" s="11" t="n">
        <v>12.3136</v>
      </c>
      <c r="E96" s="11" t="n">
        <v>14.5931</v>
      </c>
      <c r="F96" s="12" t="n">
        <f aca="false">IF(C96="","",B96/C96)</f>
        <v>666.531631644281</v>
      </c>
      <c r="G96" s="12" t="n">
        <f aca="false">MEDIAN(F86:F106)</f>
        <v>682.893460655906</v>
      </c>
      <c r="H96" s="13" t="n">
        <f aca="false">B96/G96</f>
        <v>13.1309648087526</v>
      </c>
      <c r="I96" s="14" t="n">
        <f aca="false">B96/Summary!$C$8*100</f>
        <v>89.8583038550571</v>
      </c>
      <c r="J96" s="14" t="n">
        <f aca="false">G96/Summary!$E$8*100</f>
        <v>116.061720607001</v>
      </c>
      <c r="K96" s="15" t="n">
        <f aca="false">Summary!$D$9</f>
        <v>16.9374488591431</v>
      </c>
      <c r="L96" s="16" t="str">
        <f aca="false">IF(OR(D96="",E96=""),"edge hidden",IF(AND(H96&gt;=D96-0.02,H96&lt;=E96+0.02),"yes","no"))</f>
        <v>yes</v>
      </c>
    </row>
    <row r="97" customFormat="false" ht="15" hidden="false" customHeight="false" outlineLevel="0" collapsed="false">
      <c r="A97" s="9" t="n">
        <v>43908</v>
      </c>
      <c r="B97" s="10" t="n">
        <v>8468.8</v>
      </c>
      <c r="C97" s="11" t="n">
        <v>13.1699</v>
      </c>
      <c r="D97" s="11" t="n">
        <v>12.2978</v>
      </c>
      <c r="E97" s="11" t="n">
        <v>14.0419</v>
      </c>
      <c r="F97" s="12" t="n">
        <f aca="false">IF(C97="","",B97/C97)</f>
        <v>643.042088398545</v>
      </c>
      <c r="G97" s="12" t="n">
        <f aca="false">MEDIAN(F87:F107)</f>
        <v>682.456648042206</v>
      </c>
      <c r="H97" s="13" t="n">
        <f aca="false">B97/G97</f>
        <v>12.40928639833</v>
      </c>
      <c r="I97" s="14" t="n">
        <f aca="false">B97/Summary!$C$8*100</f>
        <v>84.8653686204167</v>
      </c>
      <c r="J97" s="14" t="n">
        <f aca="false">G97/Summary!$E$8*100</f>
        <v>115.987481759436</v>
      </c>
      <c r="K97" s="15" t="n">
        <f aca="false">Summary!$D$9</f>
        <v>16.9374488591431</v>
      </c>
      <c r="L97" s="16" t="str">
        <f aca="false">IF(OR(D97="",E97=""),"edge hidden",IF(AND(H97&gt;=D97-0.02,H97&lt;=E97+0.02),"yes","no"))</f>
        <v>yes</v>
      </c>
    </row>
    <row r="98" customFormat="false" ht="15" hidden="false" customHeight="false" outlineLevel="0" collapsed="false">
      <c r="A98" s="9" t="n">
        <v>43909</v>
      </c>
      <c r="B98" s="10" t="n">
        <v>8263.45</v>
      </c>
      <c r="C98" s="11" t="n">
        <v>12.4691</v>
      </c>
      <c r="D98" s="11" t="n">
        <v>11.5498</v>
      </c>
      <c r="E98" s="11" t="n">
        <v>13.3884</v>
      </c>
      <c r="F98" s="12" t="n">
        <f aca="false">IF(C98="","",B98/C98)</f>
        <v>662.714229575511</v>
      </c>
      <c r="G98" s="12" t="n">
        <f aca="false">MEDIAN(F88:F108)</f>
        <v>677.343832704946</v>
      </c>
      <c r="H98" s="13" t="n">
        <f aca="false">B98/G98</f>
        <v>12.1997862843163</v>
      </c>
      <c r="I98" s="14" t="n">
        <f aca="false">B98/Summary!$C$8*100</f>
        <v>82.807567816737</v>
      </c>
      <c r="J98" s="14" t="n">
        <f aca="false">G98/Summary!$E$8*100</f>
        <v>115.118529017352</v>
      </c>
      <c r="K98" s="15" t="n">
        <f aca="false">Summary!$D$9</f>
        <v>16.9374488591431</v>
      </c>
      <c r="L98" s="16" t="str">
        <f aca="false">IF(OR(D98="",E98=""),"edge hidden",IF(AND(H98&gt;=D98-0.02,H98&lt;=E98+0.02),"yes","no"))</f>
        <v>yes</v>
      </c>
    </row>
    <row r="99" customFormat="false" ht="15" hidden="false" customHeight="false" outlineLevel="0" collapsed="false">
      <c r="A99" s="9" t="n">
        <v>43910</v>
      </c>
      <c r="B99" s="10" t="n">
        <v>8745.45</v>
      </c>
      <c r="C99" s="11" t="n">
        <v>12.3116</v>
      </c>
      <c r="D99" s="11" t="n">
        <v>11.5104</v>
      </c>
      <c r="E99" s="11" t="n">
        <v>13.1128</v>
      </c>
      <c r="F99" s="12" t="n">
        <f aca="false">IF(C99="","",B99/C99)</f>
        <v>710.342278826473</v>
      </c>
      <c r="G99" s="12" t="n">
        <f aca="false">MEDIAN(F89:F109)</f>
        <v>674.613761014383</v>
      </c>
      <c r="H99" s="13" t="n">
        <f aca="false">B99/G99</f>
        <v>12.9636400936291</v>
      </c>
      <c r="I99" s="14" t="n">
        <f aca="false">B99/Summary!$C$8*100</f>
        <v>87.6376627150745</v>
      </c>
      <c r="J99" s="14" t="n">
        <f aca="false">G99/Summary!$E$8*100</f>
        <v>114.654537434415</v>
      </c>
      <c r="K99" s="15" t="n">
        <f aca="false">Summary!$D$9</f>
        <v>16.9374488591431</v>
      </c>
      <c r="L99" s="16" t="str">
        <f aca="false">IF(OR(D99="",E99=""),"edge hidden",IF(AND(H99&gt;=D99-0.02,H99&lt;=E99+0.02),"yes","no"))</f>
        <v>yes</v>
      </c>
    </row>
    <row r="100" customFormat="false" ht="15" hidden="false" customHeight="false" outlineLevel="0" collapsed="false">
      <c r="A100" s="9" t="n">
        <v>43913</v>
      </c>
      <c r="B100" s="10" t="n">
        <v>7610.25</v>
      </c>
      <c r="C100" s="11" t="n">
        <v>12.2998</v>
      </c>
      <c r="D100" s="11" t="n">
        <v>11.5104</v>
      </c>
      <c r="E100" s="11" t="n">
        <v>13.0891</v>
      </c>
      <c r="F100" s="12" t="n">
        <f aca="false">IF(C100="","",B100/C100)</f>
        <v>618.729572838583</v>
      </c>
      <c r="G100" s="12" t="n">
        <f aca="false">MEDIAN(F90:F110)</f>
        <v>666.531631644281</v>
      </c>
      <c r="H100" s="13" t="n">
        <f aca="false">B100/G100</f>
        <v>11.4176876815675</v>
      </c>
      <c r="I100" s="14" t="n">
        <f aca="false">B100/Summary!$C$8*100</f>
        <v>76.2618873445501</v>
      </c>
      <c r="J100" s="14" t="n">
        <f aca="false">G100/Summary!$E$8*100</f>
        <v>113.280932480047</v>
      </c>
      <c r="K100" s="15" t="n">
        <f aca="false">Summary!$D$9</f>
        <v>16.9374488591431</v>
      </c>
      <c r="L100" s="16" t="str">
        <f aca="false">IF(OR(D100="",E100=""),"edge hidden",IF(AND(H100&gt;=D100-0.02,H100&lt;=E100+0.02),"yes","no"))</f>
        <v>no</v>
      </c>
    </row>
    <row r="101" customFormat="false" ht="15" hidden="false" customHeight="false" outlineLevel="0" collapsed="false">
      <c r="A101" s="9" t="n">
        <v>43914</v>
      </c>
      <c r="B101" s="10" t="n">
        <v>7801.05</v>
      </c>
      <c r="C101" s="11" t="n">
        <v>12.2958</v>
      </c>
      <c r="D101" s="11" t="n">
        <v>11.5104</v>
      </c>
      <c r="E101" s="11" t="n">
        <v>13.0813</v>
      </c>
      <c r="F101" s="12" t="n">
        <f aca="false">IF(C101="","",B101/C101)</f>
        <v>634.448348216464</v>
      </c>
      <c r="G101" s="12" t="n">
        <f aca="false">MEDIAN(F91:F111)</f>
        <v>662.714229575511</v>
      </c>
      <c r="H101" s="13" t="n">
        <f aca="false">B101/G101</f>
        <v>11.7713633597347</v>
      </c>
      <c r="I101" s="14" t="n">
        <f aca="false">B101/Summary!$C$8*100</f>
        <v>78.1738834163402</v>
      </c>
      <c r="J101" s="14" t="n">
        <f aca="false">G101/Summary!$E$8*100</f>
        <v>112.632142767044</v>
      </c>
      <c r="K101" s="15" t="n">
        <f aca="false">Summary!$D$9</f>
        <v>16.9374488591431</v>
      </c>
      <c r="L101" s="16" t="str">
        <f aca="false">IF(OR(D101="",E101=""),"edge hidden",IF(AND(H101&gt;=D101-0.02,H101&lt;=E101+0.02),"yes","no"))</f>
        <v>yes</v>
      </c>
    </row>
    <row r="102" customFormat="false" ht="15" hidden="false" customHeight="false" outlineLevel="0" collapsed="false">
      <c r="A102" s="9" t="n">
        <v>43915</v>
      </c>
      <c r="B102" s="10" t="n">
        <v>8317.85</v>
      </c>
      <c r="C102" s="11" t="n">
        <v>12.2801</v>
      </c>
      <c r="D102" s="11" t="n">
        <v>11.5183</v>
      </c>
      <c r="E102" s="11" t="n">
        <v>13.0419</v>
      </c>
      <c r="F102" s="12" t="n">
        <f aca="false">IF(C102="","",B102/C102)</f>
        <v>677.343832704946</v>
      </c>
      <c r="G102" s="12" t="n">
        <f aca="false">MEDIAN(F92:F112)</f>
        <v>662.623505838458</v>
      </c>
      <c r="H102" s="13" t="n">
        <f aca="false">B102/G102</f>
        <v>12.5529051214006</v>
      </c>
      <c r="I102" s="14" t="n">
        <f aca="false">B102/Summary!$C$8*100</f>
        <v>83.3527071579601</v>
      </c>
      <c r="J102" s="14" t="n">
        <f aca="false">G102/Summary!$E$8*100</f>
        <v>112.616723739584</v>
      </c>
      <c r="K102" s="15" t="n">
        <f aca="false">Summary!$D$9</f>
        <v>16.9374488591431</v>
      </c>
      <c r="L102" s="16" t="str">
        <f aca="false">IF(OR(D102="",E102=""),"edge hidden",IF(AND(H102&gt;=D102-0.02,H102&lt;=E102+0.02),"yes","no"))</f>
        <v>yes</v>
      </c>
    </row>
    <row r="103" customFormat="false" ht="15" hidden="false" customHeight="false" outlineLevel="0" collapsed="false">
      <c r="A103" s="9" t="n">
        <v>43916</v>
      </c>
      <c r="B103" s="10" t="n">
        <v>8641.45</v>
      </c>
      <c r="C103" s="11" t="n">
        <v>12.3155</v>
      </c>
      <c r="D103" s="11" t="n">
        <v>11.6049</v>
      </c>
      <c r="E103" s="11" t="n">
        <v>13.0262</v>
      </c>
      <c r="F103" s="12" t="n">
        <f aca="false">IF(C103="","",B103/C103)</f>
        <v>701.672688887987</v>
      </c>
      <c r="G103" s="12" t="n">
        <f aca="false">MEDIAN(F93:F113)</f>
        <v>661.615428181409</v>
      </c>
      <c r="H103" s="13" t="n">
        <f aca="false">B103/G103</f>
        <v>13.0611373796903</v>
      </c>
      <c r="I103" s="14" t="n">
        <f aca="false">B103/Summary!$C$8*100</f>
        <v>86.5954845627361</v>
      </c>
      <c r="J103" s="14" t="n">
        <f aca="false">G103/Summary!$E$8*100</f>
        <v>112.445395071024</v>
      </c>
      <c r="K103" s="15" t="n">
        <f aca="false">Summary!$D$9</f>
        <v>16.9374488591431</v>
      </c>
      <c r="L103" s="16" t="str">
        <f aca="false">IF(OR(D103="",E103=""),"edge hidden",IF(AND(H103&gt;=D103-0.02,H103&lt;=E103+0.02),"yes","no"))</f>
        <v>no</v>
      </c>
    </row>
    <row r="104" customFormat="false" ht="15" hidden="false" customHeight="false" outlineLevel="0" collapsed="false">
      <c r="A104" s="9" t="n">
        <v>43917</v>
      </c>
      <c r="B104" s="10" t="n">
        <v>8660.25</v>
      </c>
      <c r="C104" s="11" t="n">
        <v>12.6817</v>
      </c>
      <c r="D104" s="11" t="n">
        <v>12.3372</v>
      </c>
      <c r="E104" s="11" t="n">
        <v>13.0262</v>
      </c>
      <c r="F104" s="12" t="n">
        <f aca="false">IF(C104="","",B104/C104)</f>
        <v>682.893460655906</v>
      </c>
      <c r="G104" s="12" t="n">
        <f aca="false">MEDIAN(F94:F114)</f>
        <v>660.491601310136</v>
      </c>
      <c r="H104" s="13" t="n">
        <f aca="false">B104/G104</f>
        <v>13.1118245604058</v>
      </c>
      <c r="I104" s="14" t="n">
        <f aca="false">B104/Summary!$C$8*100</f>
        <v>86.7838783056588</v>
      </c>
      <c r="J104" s="14" t="n">
        <f aca="false">G104/Summary!$E$8*100</f>
        <v>112.254394149417</v>
      </c>
      <c r="K104" s="15" t="n">
        <f aca="false">Summary!$D$9</f>
        <v>16.9374488591431</v>
      </c>
      <c r="L104" s="16" t="str">
        <f aca="false">IF(OR(D104="",E104=""),"edge hidden",IF(AND(H104&gt;=D104-0.02,H104&lt;=E104+0.02),"yes","no"))</f>
        <v>no</v>
      </c>
    </row>
    <row r="105" customFormat="false" ht="15" hidden="false" customHeight="false" outlineLevel="0" collapsed="false">
      <c r="A105" s="9" t="n">
        <v>43920</v>
      </c>
      <c r="B105" s="10" t="n">
        <v>8281.1</v>
      </c>
      <c r="C105" s="11" t="n">
        <v>12.7486</v>
      </c>
      <c r="D105" s="11" t="n">
        <v>12.4553</v>
      </c>
      <c r="E105" s="11" t="n">
        <v>13.0419</v>
      </c>
      <c r="F105" s="12" t="n">
        <f aca="false">IF(C105="","",B105/C105)</f>
        <v>649.569364479237</v>
      </c>
      <c r="G105" s="12" t="n">
        <f aca="false">MEDIAN(F95:F115)</f>
        <v>652.020808025101</v>
      </c>
      <c r="H105" s="13" t="n">
        <f aca="false">B105/G105</f>
        <v>12.7006682886127</v>
      </c>
      <c r="I105" s="14" t="n">
        <f aca="false">B105/Summary!$C$8*100</f>
        <v>82.9844374743213</v>
      </c>
      <c r="J105" s="14" t="n">
        <f aca="false">G105/Summary!$E$8*100</f>
        <v>110.814733499243</v>
      </c>
      <c r="K105" s="15" t="n">
        <f aca="false">Summary!$D$9</f>
        <v>16.9374488591431</v>
      </c>
      <c r="L105" s="16" t="str">
        <f aca="false">IF(OR(D105="",E105=""),"edge hidden",IF(AND(H105&gt;=D105-0.02,H105&lt;=E105+0.02),"yes","no"))</f>
        <v>yes</v>
      </c>
    </row>
    <row r="106" customFormat="false" ht="15" hidden="false" customHeight="false" outlineLevel="0" collapsed="false">
      <c r="A106" s="9" t="n">
        <v>43921</v>
      </c>
      <c r="B106" s="10" t="n">
        <v>8597.75</v>
      </c>
      <c r="C106" s="11" t="n">
        <v>12.7447</v>
      </c>
      <c r="D106" s="11" t="n">
        <v>12.4474</v>
      </c>
      <c r="E106" s="11" t="n">
        <v>13.0419</v>
      </c>
      <c r="F106" s="12" t="n">
        <f aca="false">IF(C106="","",B106/C106)</f>
        <v>674.613761014383</v>
      </c>
      <c r="G106" s="12" t="n">
        <f aca="false">MEDIAN(F96:F116)</f>
        <v>649.569364479237</v>
      </c>
      <c r="H106" s="13" t="n">
        <f aca="false">B106/G106</f>
        <v>13.236076807429</v>
      </c>
      <c r="I106" s="14" t="n">
        <f aca="false">B106/Summary!$C$8*100</f>
        <v>86.1575693198786</v>
      </c>
      <c r="J106" s="14" t="n">
        <f aca="false">G106/Summary!$E$8*100</f>
        <v>110.398096392145</v>
      </c>
      <c r="K106" s="15" t="n">
        <f aca="false">Summary!$D$9</f>
        <v>16.9374488591431</v>
      </c>
      <c r="L106" s="16" t="str">
        <f aca="false">IF(OR(D106="",E106=""),"edge hidden",IF(AND(H106&gt;=D106-0.02,H106&lt;=E106+0.02),"yes","no"))</f>
        <v>no</v>
      </c>
    </row>
    <row r="107" customFormat="false" ht="15" hidden="false" customHeight="false" outlineLevel="0" collapsed="false">
      <c r="A107" s="9" t="n">
        <v>43922</v>
      </c>
      <c r="B107" s="10" t="n">
        <v>8253.8</v>
      </c>
      <c r="C107" s="11" t="n">
        <v>12.7407</v>
      </c>
      <c r="D107" s="11" t="n">
        <v>12.4395</v>
      </c>
      <c r="E107" s="11" t="n">
        <v>13.0419</v>
      </c>
      <c r="F107" s="12" t="n">
        <f aca="false">IF(C107="","",B107/C107)</f>
        <v>647.829397128886</v>
      </c>
      <c r="G107" s="12" t="n">
        <f aca="false">MEDIAN(F97:F117)</f>
        <v>647.829397128886</v>
      </c>
      <c r="H107" s="13" t="n">
        <f aca="false">B107/G107</f>
        <v>12.7407</v>
      </c>
      <c r="I107" s="14" t="n">
        <f aca="false">B107/Summary!$C$8*100</f>
        <v>82.7108657093325</v>
      </c>
      <c r="J107" s="14" t="n">
        <f aca="false">G107/Summary!$E$8*100</f>
        <v>110.102378807901</v>
      </c>
      <c r="K107" s="15" t="n">
        <f aca="false">Summary!$D$9</f>
        <v>16.9374488591431</v>
      </c>
      <c r="L107" s="16" t="str">
        <f aca="false">IF(OR(D107="",E107=""),"edge hidden",IF(AND(H107&gt;=D107-0.02,H107&lt;=E107+0.02),"yes","no"))</f>
        <v>yes</v>
      </c>
    </row>
    <row r="108" customFormat="false" ht="15" hidden="false" customHeight="false" outlineLevel="0" collapsed="false">
      <c r="A108" s="9" t="n">
        <v>43924</v>
      </c>
      <c r="B108" s="10" t="n">
        <v>8083.8</v>
      </c>
      <c r="C108" s="11" t="n">
        <v>13.0242</v>
      </c>
      <c r="D108" s="11" t="n">
        <v>12.4317</v>
      </c>
      <c r="E108" s="11" t="n">
        <v>13.6167</v>
      </c>
      <c r="F108" s="12" t="n">
        <f aca="false">IF(C108="","",B108/C108)</f>
        <v>620.675358179389</v>
      </c>
      <c r="G108" s="12" t="n">
        <f aca="false">MEDIAN(F98:F118)</f>
        <v>647.829397128886</v>
      </c>
      <c r="H108" s="13" t="n">
        <f aca="false">B108/G108</f>
        <v>12.4782852334682</v>
      </c>
      <c r="I108" s="14" t="n">
        <f aca="false">B108/Summary!$C$8*100</f>
        <v>81.0073052680101</v>
      </c>
      <c r="J108" s="14" t="n">
        <f aca="false">G108/Summary!$E$8*100</f>
        <v>110.102378807901</v>
      </c>
      <c r="K108" s="15" t="n">
        <f aca="false">Summary!$D$9</f>
        <v>16.9374488591431</v>
      </c>
      <c r="L108" s="16" t="str">
        <f aca="false">IF(OR(D108="",E108=""),"edge hidden",IF(AND(H108&gt;=D108-0.02,H108&lt;=E108+0.02),"yes","no"))</f>
        <v>yes</v>
      </c>
    </row>
    <row r="109" customFormat="false" ht="15" hidden="false" customHeight="false" outlineLevel="0" collapsed="false">
      <c r="A109" s="9" t="n">
        <v>43928</v>
      </c>
      <c r="B109" s="10" t="n">
        <v>8792.2</v>
      </c>
      <c r="C109" s="11" t="n">
        <v>13.3116</v>
      </c>
      <c r="D109" s="11" t="n">
        <v>12.4474</v>
      </c>
      <c r="E109" s="11" t="n">
        <v>14.1758</v>
      </c>
      <c r="F109" s="12" t="n">
        <f aca="false">IF(C109="","",B109/C109)</f>
        <v>660.491601310136</v>
      </c>
      <c r="G109" s="12" t="n">
        <f aca="false">MEDIAN(F99:F119)</f>
        <v>637.157158671333</v>
      </c>
      <c r="H109" s="13" t="n">
        <f aca="false">B109/G109</f>
        <v>13.7991073008336</v>
      </c>
      <c r="I109" s="14" t="n">
        <f aca="false">B109/Summary!$C$8*100</f>
        <v>88.1061418364382</v>
      </c>
      <c r="J109" s="14" t="n">
        <f aca="false">G109/Summary!$E$8*100</f>
        <v>108.288569730095</v>
      </c>
      <c r="K109" s="15" t="n">
        <f aca="false">Summary!$D$9</f>
        <v>16.9374488591431</v>
      </c>
      <c r="L109" s="16" t="str">
        <f aca="false">IF(OR(D109="",E109=""),"edge hidden",IF(AND(H109&gt;=D109-0.02,H109&lt;=E109+0.02),"yes","no"))</f>
        <v>yes</v>
      </c>
    </row>
    <row r="110" customFormat="false" ht="15" hidden="false" customHeight="false" outlineLevel="0" collapsed="false">
      <c r="A110" s="9" t="n">
        <v>43929</v>
      </c>
      <c r="B110" s="10" t="n">
        <v>8748.75</v>
      </c>
      <c r="C110" s="11" t="n">
        <v>13.4179</v>
      </c>
      <c r="D110" s="11" t="n">
        <v>12.6443</v>
      </c>
      <c r="E110" s="11" t="n">
        <v>14.1915</v>
      </c>
      <c r="F110" s="12" t="n">
        <f aca="false">IF(C110="","",B110/C110)</f>
        <v>652.020808025101</v>
      </c>
      <c r="G110" s="12" t="n">
        <f aca="false">MEDIAN(F100:F120)</f>
        <v>634.448348216464</v>
      </c>
      <c r="H110" s="13" t="n">
        <f aca="false">B110/G110</f>
        <v>13.7895386198012</v>
      </c>
      <c r="I110" s="14" t="n">
        <f aca="false">B110/Summary!$C$8*100</f>
        <v>87.6707318295237</v>
      </c>
      <c r="J110" s="14" t="n">
        <f aca="false">G110/Summary!$E$8*100</f>
        <v>107.828191617983</v>
      </c>
      <c r="K110" s="15" t="n">
        <f aca="false">Summary!$D$9</f>
        <v>16.9374488591431</v>
      </c>
      <c r="L110" s="16" t="str">
        <f aca="false">IF(OR(D110="",E110=""),"edge hidden",IF(AND(H110&gt;=D110-0.02,H110&lt;=E110+0.02),"yes","no"))</f>
        <v>yes</v>
      </c>
    </row>
    <row r="111" customFormat="false" ht="15" hidden="false" customHeight="false" outlineLevel="0" collapsed="false">
      <c r="A111" s="9" t="n">
        <v>43930</v>
      </c>
      <c r="B111" s="10" t="n">
        <v>9111.9</v>
      </c>
      <c r="C111" s="11" t="n">
        <v>13.7722</v>
      </c>
      <c r="D111" s="11" t="n">
        <v>13.3451</v>
      </c>
      <c r="E111" s="11" t="n">
        <v>14.1994</v>
      </c>
      <c r="F111" s="12" t="n">
        <f aca="false">IF(C111="","",B111/C111)</f>
        <v>661.615428181409</v>
      </c>
      <c r="G111" s="12" t="n">
        <f aca="false">MEDIAN(F101:F121)</f>
        <v>634.448348216464</v>
      </c>
      <c r="H111" s="13" t="n">
        <f aca="false">B111/G111</f>
        <v>14.3619256407791</v>
      </c>
      <c r="I111" s="14" t="n">
        <f aca="false">B111/Summary!$C$8*100</f>
        <v>91.3098375605014</v>
      </c>
      <c r="J111" s="14" t="n">
        <f aca="false">G111/Summary!$E$8*100</f>
        <v>107.828191617983</v>
      </c>
      <c r="K111" s="15" t="n">
        <f aca="false">Summary!$D$9</f>
        <v>16.9374488591431</v>
      </c>
      <c r="L111" s="16" t="str">
        <f aca="false">IF(OR(D111="",E111=""),"edge hidden",IF(AND(H111&gt;=D111-0.02,H111&lt;=E111+0.02),"yes","no"))</f>
        <v>no</v>
      </c>
    </row>
    <row r="112" customFormat="false" ht="15" hidden="false" customHeight="false" outlineLevel="0" collapsed="false">
      <c r="A112" s="9" t="n">
        <v>43934</v>
      </c>
      <c r="B112" s="10" t="n">
        <v>8993.85</v>
      </c>
      <c r="C112" s="11" t="n">
        <v>14.351</v>
      </c>
      <c r="D112" s="11" t="n">
        <v>14.1403</v>
      </c>
      <c r="E112" s="11" t="n">
        <v>14.5616</v>
      </c>
      <c r="F112" s="12" t="n">
        <f aca="false">IF(C112="","",B112/C112)</f>
        <v>626.705456065779</v>
      </c>
      <c r="G112" s="12" t="n">
        <f aca="false">MEDIAN(F102:F122)</f>
        <v>628.489490198725</v>
      </c>
      <c r="H112" s="13" t="n">
        <f aca="false">B112/G112</f>
        <v>14.3102631631218</v>
      </c>
      <c r="I112" s="14" t="n">
        <f aca="false">B112/Summary!$C$8*100</f>
        <v>90.1268651481597</v>
      </c>
      <c r="J112" s="14" t="n">
        <f aca="false">G112/Summary!$E$8*100</f>
        <v>106.81544899525</v>
      </c>
      <c r="K112" s="15" t="n">
        <f aca="false">Summary!$D$9</f>
        <v>16.9374488591431</v>
      </c>
      <c r="L112" s="16" t="str">
        <f aca="false">IF(OR(D112="",E112=""),"edge hidden",IF(AND(H112&gt;=D112-0.02,H112&lt;=E112+0.02),"yes","no"))</f>
        <v>yes</v>
      </c>
    </row>
    <row r="113" customFormat="false" ht="15" hidden="false" customHeight="false" outlineLevel="0" collapsed="false">
      <c r="A113" s="9" t="n">
        <v>43936</v>
      </c>
      <c r="B113" s="10" t="n">
        <v>8925.3</v>
      </c>
      <c r="C113" s="11" t="n">
        <v>14.4218</v>
      </c>
      <c r="D113" s="11" t="n">
        <v>14.1482</v>
      </c>
      <c r="E113" s="11" t="n">
        <v>14.6954</v>
      </c>
      <c r="F113" s="12" t="n">
        <f aca="false">IF(C113="","",B113/C113)</f>
        <v>618.875591119</v>
      </c>
      <c r="G113" s="12" t="n">
        <f aca="false">MEDIAN(F103:F123)</f>
        <v>626.705456065779</v>
      </c>
      <c r="H113" s="13" t="n">
        <f aca="false">B113/G113</f>
        <v>14.241618472623</v>
      </c>
      <c r="I113" s="14" t="n">
        <f aca="false">B113/Summary!$C$8*100</f>
        <v>89.4399294525558</v>
      </c>
      <c r="J113" s="14" t="n">
        <f aca="false">G113/Summary!$E$8*100</f>
        <v>106.512242004672</v>
      </c>
      <c r="K113" s="15" t="n">
        <f aca="false">Summary!$D$9</f>
        <v>16.9374488591431</v>
      </c>
      <c r="L113" s="16" t="str">
        <f aca="false">IF(OR(D113="",E113=""),"edge hidden",IF(AND(H113&gt;=D113-0.02,H113&lt;=E113+0.02),"yes","no"))</f>
        <v>yes</v>
      </c>
    </row>
    <row r="114" customFormat="false" ht="15" hidden="false" customHeight="false" outlineLevel="0" collapsed="false">
      <c r="A114" s="9" t="n">
        <v>43937</v>
      </c>
      <c r="B114" s="10" t="n">
        <v>8992.8</v>
      </c>
      <c r="C114" s="11" t="n">
        <v>14.4573</v>
      </c>
      <c r="D114" s="11" t="n">
        <v>14.1561</v>
      </c>
      <c r="E114" s="11" t="n">
        <v>14.7584</v>
      </c>
      <c r="F114" s="12" t="n">
        <f aca="false">IF(C114="","",B114/C114)</f>
        <v>622.024859413583</v>
      </c>
      <c r="G114" s="12" t="n">
        <f aca="false">MEDIAN(F104:F124)</f>
        <v>625.978318171373</v>
      </c>
      <c r="H114" s="13" t="n">
        <f aca="false">B114/G114</f>
        <v>14.3659927811398</v>
      </c>
      <c r="I114" s="14" t="n">
        <f aca="false">B114/Summary!$C$8*100</f>
        <v>90.1163431571985</v>
      </c>
      <c r="J114" s="14" t="n">
        <f aca="false">G114/Summary!$E$8*100</f>
        <v>106.388660684882</v>
      </c>
      <c r="K114" s="15" t="n">
        <f aca="false">Summary!$D$9</f>
        <v>16.9374488591431</v>
      </c>
      <c r="L114" s="16" t="str">
        <f aca="false">IF(OR(D114="",E114=""),"edge hidden",IF(AND(H114&gt;=D114-0.02,H114&lt;=E114+0.02),"yes","no"))</f>
        <v>yes</v>
      </c>
    </row>
    <row r="115" customFormat="false" ht="15" hidden="false" customHeight="false" outlineLevel="0" collapsed="false">
      <c r="A115" s="9" t="n">
        <v>43938</v>
      </c>
      <c r="B115" s="10" t="n">
        <v>9266.75</v>
      </c>
      <c r="C115" s="11" t="n">
        <v>14.5439</v>
      </c>
      <c r="D115" s="11" t="n">
        <v>14.2112</v>
      </c>
      <c r="E115" s="11" t="n">
        <v>14.8765</v>
      </c>
      <c r="F115" s="12" t="n">
        <f aca="false">IF(C115="","",B115/C115)</f>
        <v>637.157158671333</v>
      </c>
      <c r="G115" s="12" t="n">
        <f aca="false">MEDIAN(F105:F125)</f>
        <v>625.612294104211</v>
      </c>
      <c r="H115" s="13" t="n">
        <f aca="false">B115/G115</f>
        <v>14.8122888366008</v>
      </c>
      <c r="I115" s="14" t="n">
        <f aca="false">B115/Summary!$C$8*100</f>
        <v>92.8615807036707</v>
      </c>
      <c r="J115" s="14" t="n">
        <f aca="false">G115/Summary!$E$8*100</f>
        <v>106.326452763053</v>
      </c>
      <c r="K115" s="15" t="n">
        <f aca="false">Summary!$D$9</f>
        <v>16.9374488591431</v>
      </c>
      <c r="L115" s="16" t="str">
        <f aca="false">IF(OR(D115="",E115=""),"edge hidden",IF(AND(H115&gt;=D115-0.02,H115&lt;=E115+0.02),"yes","no"))</f>
        <v>yes</v>
      </c>
    </row>
    <row r="116" customFormat="false" ht="15" hidden="false" customHeight="false" outlineLevel="0" collapsed="false">
      <c r="A116" s="9" t="n">
        <v>43941</v>
      </c>
      <c r="B116" s="10" t="n">
        <v>9261.85</v>
      </c>
      <c r="C116" s="11" t="n">
        <v>14.7958</v>
      </c>
      <c r="D116" s="11" t="n">
        <v>14.4947</v>
      </c>
      <c r="E116" s="11" t="n">
        <v>15.097</v>
      </c>
      <c r="F116" s="12" t="n">
        <f aca="false">IF(C116="","",B116/C116)</f>
        <v>625.978318171373</v>
      </c>
      <c r="G116" s="12" t="n">
        <f aca="false">MEDIAN(F106:F126)</f>
        <v>622.024859413583</v>
      </c>
      <c r="H116" s="13" t="n">
        <f aca="false">B116/G116</f>
        <v>14.889838982853</v>
      </c>
      <c r="I116" s="14" t="n">
        <f aca="false">B116/Summary!$C$8*100</f>
        <v>92.8124780791855</v>
      </c>
      <c r="J116" s="14" t="n">
        <f aca="false">G116/Summary!$E$8*100</f>
        <v>105.716747345227</v>
      </c>
      <c r="K116" s="15" t="n">
        <f aca="false">Summary!$D$9</f>
        <v>16.9374488591431</v>
      </c>
      <c r="L116" s="16" t="str">
        <f aca="false">IF(OR(D116="",E116=""),"edge hidden",IF(AND(H116&gt;=D116-0.02,H116&lt;=E116+0.02),"yes","no"))</f>
        <v>yes</v>
      </c>
    </row>
    <row r="117" customFormat="false" ht="15" hidden="false" customHeight="false" outlineLevel="0" collapsed="false">
      <c r="A117" s="9" t="n">
        <v>43942</v>
      </c>
      <c r="B117" s="10" t="n">
        <v>8981.45</v>
      </c>
      <c r="C117" s="11" t="n">
        <v>14.8037</v>
      </c>
      <c r="D117" s="11" t="n">
        <v>14.5025</v>
      </c>
      <c r="E117" s="11" t="n">
        <v>15.1049</v>
      </c>
      <c r="F117" s="12" t="n">
        <f aca="false">IF(C117="","",B117/C117)</f>
        <v>606.703053966238</v>
      </c>
      <c r="G117" s="12" t="n">
        <f aca="false">MEDIAN(F107:F127)</f>
        <v>620.675358179389</v>
      </c>
      <c r="H117" s="13" t="n">
        <f aca="false">B117/G117</f>
        <v>14.470447201811</v>
      </c>
      <c r="I117" s="14" t="n">
        <f aca="false">B117/Summary!$C$8*100</f>
        <v>90.0026054453809</v>
      </c>
      <c r="J117" s="14" t="n">
        <f aca="false">G117/Summary!$E$8*100</f>
        <v>105.487391751382</v>
      </c>
      <c r="K117" s="15" t="n">
        <f aca="false">Summary!$D$9</f>
        <v>16.9374488591431</v>
      </c>
      <c r="L117" s="16" t="str">
        <f aca="false">IF(OR(D117="",E117=""),"edge hidden",IF(AND(H117&gt;=D117-0.02,H117&lt;=E117+0.02),"yes","no"))</f>
        <v>no</v>
      </c>
    </row>
    <row r="118" customFormat="false" ht="15" hidden="false" customHeight="false" outlineLevel="0" collapsed="false">
      <c r="A118" s="9" t="n">
        <v>43943</v>
      </c>
      <c r="B118" s="10" t="n">
        <v>9187.3</v>
      </c>
      <c r="C118" s="11" t="n">
        <v>14.8116</v>
      </c>
      <c r="D118" s="11" t="n">
        <v>14.5025</v>
      </c>
      <c r="E118" s="11" t="n">
        <v>15.1206</v>
      </c>
      <c r="F118" s="12" t="n">
        <f aca="false">IF(C118="","",B118/C118)</f>
        <v>620.27735018499</v>
      </c>
      <c r="G118" s="12" t="n">
        <f aca="false">MEDIAN(F108:F128)</f>
        <v>620.27735018499</v>
      </c>
      <c r="H118" s="13" t="n">
        <f aca="false">B118/G118</f>
        <v>14.8116</v>
      </c>
      <c r="I118" s="14" t="n">
        <f aca="false">B118/Summary!$C$8*100</f>
        <v>92.0654167209468</v>
      </c>
      <c r="J118" s="14" t="n">
        <f aca="false">G118/Summary!$E$8*100</f>
        <v>105.419747974854</v>
      </c>
      <c r="K118" s="15" t="n">
        <f aca="false">Summary!$D$9</f>
        <v>16.9374488591431</v>
      </c>
      <c r="L118" s="16" t="str">
        <f aca="false">IF(OR(D118="",E118=""),"edge hidden",IF(AND(H118&gt;=D118-0.02,H118&lt;=E118+0.02),"yes","no"))</f>
        <v>yes</v>
      </c>
    </row>
    <row r="119" customFormat="false" ht="15" hidden="false" customHeight="false" outlineLevel="0" collapsed="false">
      <c r="A119" s="9" t="n">
        <v>43944</v>
      </c>
      <c r="B119" s="10" t="n">
        <v>9313.9</v>
      </c>
      <c r="C119" s="11" t="n">
        <v>14.8195</v>
      </c>
      <c r="D119" s="11" t="n">
        <v>14.5183</v>
      </c>
      <c r="E119" s="11" t="n">
        <v>15.1206</v>
      </c>
      <c r="F119" s="12" t="n">
        <f aca="false">IF(C119="","",B119/C119)</f>
        <v>628.489490198725</v>
      </c>
      <c r="G119" s="12" t="n">
        <f aca="false">MEDIAN(F109:F129)</f>
        <v>618.875591119</v>
      </c>
      <c r="H119" s="13" t="n">
        <f aca="false">B119/G119</f>
        <v>15.049712953066</v>
      </c>
      <c r="I119" s="14" t="n">
        <f aca="false">B119/Summary!$C$8*100</f>
        <v>93.3340682025433</v>
      </c>
      <c r="J119" s="14" t="n">
        <f aca="false">G119/Summary!$E$8*100</f>
        <v>105.181510858161</v>
      </c>
      <c r="K119" s="15" t="n">
        <f aca="false">Summary!$D$9</f>
        <v>16.9374488591431</v>
      </c>
      <c r="L119" s="16" t="str">
        <f aca="false">IF(OR(D119="",E119=""),"edge hidden",IF(AND(H119&gt;=D119-0.02,H119&lt;=E119+0.02),"yes","no"))</f>
        <v>yes</v>
      </c>
    </row>
    <row r="120" customFormat="false" ht="15" hidden="false" customHeight="false" outlineLevel="0" collapsed="false">
      <c r="A120" s="9" t="n">
        <v>43945</v>
      </c>
      <c r="B120" s="10" t="n">
        <v>9154.4</v>
      </c>
      <c r="C120" s="11" t="n">
        <v>14.8628</v>
      </c>
      <c r="D120" s="11" t="n">
        <v>14.534</v>
      </c>
      <c r="E120" s="11" t="n">
        <v>15.1915</v>
      </c>
      <c r="F120" s="12" t="n">
        <f aca="false">IF(C120="","",B120/C120)</f>
        <v>615.927012406814</v>
      </c>
      <c r="G120" s="12" t="n">
        <f aca="false">MEDIAN(F110:F130)</f>
        <v>615.927012406814</v>
      </c>
      <c r="H120" s="13" t="n">
        <f aca="false">B120/G120</f>
        <v>14.8628</v>
      </c>
      <c r="I120" s="14" t="n">
        <f aca="false">B120/Summary!$C$8*100</f>
        <v>91.735727670832</v>
      </c>
      <c r="J120" s="14" t="n">
        <f aca="false">G120/Summary!$E$8*100</f>
        <v>104.680382734379</v>
      </c>
      <c r="K120" s="15" t="n">
        <f aca="false">Summary!$D$9</f>
        <v>16.9374488591431</v>
      </c>
      <c r="L120" s="16" t="str">
        <f aca="false">IF(OR(D120="",E120=""),"edge hidden",IF(AND(H120&gt;=D120-0.02,H120&lt;=E120+0.02),"yes","no"))</f>
        <v>yes</v>
      </c>
    </row>
    <row r="121" customFormat="false" ht="15" hidden="false" customHeight="false" outlineLevel="0" collapsed="false">
      <c r="A121" s="9" t="n">
        <v>43948</v>
      </c>
      <c r="B121" s="10" t="n">
        <v>9282.3</v>
      </c>
      <c r="C121" s="11" t="n">
        <v>15.5202</v>
      </c>
      <c r="D121" s="11" t="n">
        <v>14.8884</v>
      </c>
      <c r="E121" s="11" t="n">
        <v>16.1521</v>
      </c>
      <c r="F121" s="12" t="n">
        <f aca="false">IF(C121="","",B121/C121)</f>
        <v>598.078633007307</v>
      </c>
      <c r="G121" s="12" t="n">
        <f aca="false">MEDIAN(F111:F131)</f>
        <v>611.661021723959</v>
      </c>
      <c r="H121" s="13" t="n">
        <f aca="false">B121/G121</f>
        <v>15.1755623953901</v>
      </c>
      <c r="I121" s="14" t="n">
        <f aca="false">B121/Summary!$C$8*100</f>
        <v>93.0174063793328</v>
      </c>
      <c r="J121" s="14" t="n">
        <f aca="false">G121/Summary!$E$8*100</f>
        <v>103.955352773966</v>
      </c>
      <c r="K121" s="15" t="n">
        <f aca="false">Summary!$D$9</f>
        <v>16.9374488591431</v>
      </c>
      <c r="L121" s="16" t="str">
        <f aca="false">IF(OR(D121="",E121=""),"edge hidden",IF(AND(H121&gt;=D121-0.02,H121&lt;=E121+0.02),"yes","no"))</f>
        <v>yes</v>
      </c>
    </row>
    <row r="122" customFormat="false" ht="15" hidden="false" customHeight="false" outlineLevel="0" collapsed="false">
      <c r="A122" s="9" t="n">
        <v>43949</v>
      </c>
      <c r="B122" s="10" t="n">
        <v>9380.9</v>
      </c>
      <c r="C122" s="11" t="n">
        <v>15.5478</v>
      </c>
      <c r="D122" s="11" t="n">
        <v>14.912</v>
      </c>
      <c r="E122" s="11" t="n">
        <v>16.1836</v>
      </c>
      <c r="F122" s="12" t="n">
        <f aca="false">IF(C122="","",B122/C122)</f>
        <v>603.358674539163</v>
      </c>
      <c r="G122" s="12" t="n">
        <f aca="false">MEDIAN(F112:F132)</f>
        <v>606.703053966238</v>
      </c>
      <c r="H122" s="13" t="n">
        <f aca="false">B122/G122</f>
        <v>15.4620945760428</v>
      </c>
      <c r="I122" s="14" t="n">
        <f aca="false">B122/Summary!$C$8*100</f>
        <v>94.0054714352998</v>
      </c>
      <c r="J122" s="14" t="n">
        <f aca="false">G122/Summary!$E$8*100</f>
        <v>103.112717279811</v>
      </c>
      <c r="K122" s="15" t="n">
        <f aca="false">Summary!$D$9</f>
        <v>16.9374488591431</v>
      </c>
      <c r="L122" s="16" t="str">
        <f aca="false">IF(OR(D122="",E122=""),"edge hidden",IF(AND(H122&gt;=D122-0.02,H122&lt;=E122+0.02),"yes","no"))</f>
        <v>yes</v>
      </c>
    </row>
    <row r="123" customFormat="false" ht="15" hidden="false" customHeight="false" outlineLevel="0" collapsed="false">
      <c r="A123" s="9" t="n">
        <v>43950</v>
      </c>
      <c r="B123" s="10" t="n">
        <v>9553.35</v>
      </c>
      <c r="C123" s="11" t="n">
        <v>15.6187</v>
      </c>
      <c r="D123" s="11" t="n">
        <v>15.038</v>
      </c>
      <c r="E123" s="11" t="n">
        <v>16.1994</v>
      </c>
      <c r="F123" s="12" t="n">
        <f aca="false">IF(C123="","",B123/C123)</f>
        <v>611.661021723959</v>
      </c>
      <c r="G123" s="12" t="n">
        <f aca="false">MEDIAN(F113:F133)</f>
        <v>604.446605944268</v>
      </c>
      <c r="H123" s="13" t="n">
        <f aca="false">B123/G123</f>
        <v>15.8051181130809</v>
      </c>
      <c r="I123" s="14" t="n">
        <f aca="false">B123/Summary!$C$8*100</f>
        <v>95.7335831888647</v>
      </c>
      <c r="J123" s="14" t="n">
        <f aca="false">G123/Summary!$E$8*100</f>
        <v>102.729220797594</v>
      </c>
      <c r="K123" s="15" t="n">
        <f aca="false">Summary!$D$9</f>
        <v>16.9374488591431</v>
      </c>
      <c r="L123" s="16" t="str">
        <f aca="false">IF(OR(D123="",E123=""),"edge hidden",IF(AND(H123&gt;=D123-0.02,H123&lt;=E123+0.02),"yes","no"))</f>
        <v>yes</v>
      </c>
    </row>
    <row r="124" customFormat="false" ht="15" hidden="false" customHeight="false" outlineLevel="0" collapsed="false">
      <c r="A124" s="9" t="n">
        <v>43951</v>
      </c>
      <c r="B124" s="10" t="n">
        <v>9859.9</v>
      </c>
      <c r="C124" s="11" t="n">
        <v>15.7604</v>
      </c>
      <c r="D124" s="11" t="n">
        <v>15.3136</v>
      </c>
      <c r="E124" s="11" t="n">
        <v>16.2073</v>
      </c>
      <c r="F124" s="12" t="n">
        <f aca="false">IF(C124="","",B124/C124)</f>
        <v>625.612294104211</v>
      </c>
      <c r="G124" s="12" t="n">
        <f aca="false">MEDIAN(F114:F134)</f>
        <v>603.358674539163</v>
      </c>
      <c r="H124" s="13" t="n">
        <f aca="false">B124/G124</f>
        <v>16.3416893069961</v>
      </c>
      <c r="I124" s="14" t="n">
        <f aca="false">B124/Summary!$C$8*100</f>
        <v>98.8055035023198</v>
      </c>
      <c r="J124" s="14" t="n">
        <f aca="false">G124/Summary!$E$8*100</f>
        <v>102.544320519507</v>
      </c>
      <c r="K124" s="15" t="n">
        <f aca="false">Summary!$D$9</f>
        <v>16.9374488591431</v>
      </c>
      <c r="L124" s="16" t="str">
        <f aca="false">IF(OR(D124="",E124=""),"edge hidden",IF(AND(H124&gt;=D124-0.02,H124&lt;=E124+0.02),"yes","no"))</f>
        <v>no</v>
      </c>
    </row>
    <row r="125" customFormat="false" ht="15" hidden="false" customHeight="false" outlineLevel="0" collapsed="false">
      <c r="A125" s="9" t="n">
        <v>43955</v>
      </c>
      <c r="B125" s="10" t="n">
        <v>9293.5</v>
      </c>
      <c r="C125" s="11" t="n">
        <v>15.7683</v>
      </c>
      <c r="D125" s="11" t="n">
        <v>15.3372</v>
      </c>
      <c r="E125" s="11" t="n">
        <v>16.1994</v>
      </c>
      <c r="F125" s="12" t="n">
        <f aca="false">IF(C125="","",B125/C125)</f>
        <v>589.378690156834</v>
      </c>
      <c r="G125" s="12" t="n">
        <f aca="false">MEDIAN(F115:F135)</f>
        <v>598.404409818818</v>
      </c>
      <c r="H125" s="13" t="n">
        <f aca="false">B125/G125</f>
        <v>15.5304671013602</v>
      </c>
      <c r="I125" s="14" t="n">
        <f aca="false">B125/Summary!$C$8*100</f>
        <v>93.1296409495846</v>
      </c>
      <c r="J125" s="14" t="n">
        <f aca="false">G125/Summary!$E$8*100</f>
        <v>101.70231437812</v>
      </c>
      <c r="K125" s="15" t="n">
        <f aca="false">Summary!$D$9</f>
        <v>16.9374488591431</v>
      </c>
      <c r="L125" s="16" t="str">
        <f aca="false">IF(OR(D125="",E125=""),"edge hidden",IF(AND(H125&gt;=D125-0.02,H125&lt;=E125+0.02),"yes","no"))</f>
        <v>yes</v>
      </c>
    </row>
    <row r="126" customFormat="false" ht="15" hidden="false" customHeight="false" outlineLevel="0" collapsed="false">
      <c r="A126" s="9" t="n">
        <v>43956</v>
      </c>
      <c r="B126" s="10" t="n">
        <v>9205.6</v>
      </c>
      <c r="C126" s="11" t="n">
        <v>15.7604</v>
      </c>
      <c r="D126" s="11" t="n">
        <v>15.3372</v>
      </c>
      <c r="E126" s="11" t="n">
        <v>16.1836</v>
      </c>
      <c r="F126" s="12" t="n">
        <f aca="false">IF(C126="","",B126/C126)</f>
        <v>584.096850333748</v>
      </c>
      <c r="G126" s="12" t="n">
        <f aca="false">MEDIAN(F116:F136)</f>
        <v>598.110132100915</v>
      </c>
      <c r="H126" s="13" t="n">
        <f aca="false">B126/G126</f>
        <v>15.3911453859919</v>
      </c>
      <c r="I126" s="14" t="n">
        <f aca="false">B126/Summary!$C$8*100</f>
        <v>92.2487999919833</v>
      </c>
      <c r="J126" s="14" t="n">
        <f aca="false">G126/Summary!$E$8*100</f>
        <v>101.652300166176</v>
      </c>
      <c r="K126" s="15" t="n">
        <f aca="false">Summary!$D$9</f>
        <v>16.9374488591431</v>
      </c>
      <c r="L126" s="16" t="str">
        <f aca="false">IF(OR(D126="",E126=""),"edge hidden",IF(AND(H126&gt;=D126-0.02,H126&lt;=E126+0.02),"yes","no"))</f>
        <v>yes</v>
      </c>
    </row>
    <row r="127" customFormat="false" ht="15" hidden="false" customHeight="false" outlineLevel="0" collapsed="false">
      <c r="A127" s="9" t="n">
        <v>43957</v>
      </c>
      <c r="B127" s="10" t="n">
        <v>9270.9</v>
      </c>
      <c r="C127" s="11" t="n">
        <v>15.4927</v>
      </c>
      <c r="D127" s="11" t="n">
        <v>15.3451</v>
      </c>
      <c r="E127" s="11" t="n">
        <v>15.6403</v>
      </c>
      <c r="F127" s="12" t="n">
        <f aca="false">IF(C127="","",B127/C127)</f>
        <v>598.404409818818</v>
      </c>
      <c r="G127" s="12" t="n">
        <f aca="false">MEDIAN(F117:F137)</f>
        <v>598.110132100915</v>
      </c>
      <c r="H127" s="13" t="n">
        <f aca="false">B127/G127</f>
        <v>15.5003226035231</v>
      </c>
      <c r="I127" s="14" t="n">
        <f aca="false">B127/Summary!$C$8*100</f>
        <v>92.9031676203265</v>
      </c>
      <c r="J127" s="14" t="n">
        <f aca="false">G127/Summary!$E$8*100</f>
        <v>101.652300166176</v>
      </c>
      <c r="K127" s="15" t="n">
        <f aca="false">Summary!$D$9</f>
        <v>16.9374488591431</v>
      </c>
      <c r="L127" s="16" t="str">
        <f aca="false">IF(OR(D127="",E127=""),"edge hidden",IF(AND(H127&gt;=D127-0.02,H127&lt;=E127+0.02),"yes","no"))</f>
        <v>yes</v>
      </c>
    </row>
    <row r="128" customFormat="false" ht="15" hidden="false" customHeight="false" outlineLevel="0" collapsed="false">
      <c r="A128" s="9" t="n">
        <v>43958</v>
      </c>
      <c r="B128" s="10" t="n">
        <v>9199.05</v>
      </c>
      <c r="C128" s="11" t="n">
        <v>15.4848</v>
      </c>
      <c r="D128" s="11" t="n">
        <v>15.3529</v>
      </c>
      <c r="E128" s="11" t="n">
        <v>15.6167</v>
      </c>
      <c r="F128" s="12" t="n">
        <f aca="false">IF(C128="","",B128/C128)</f>
        <v>594.069668319901</v>
      </c>
      <c r="G128" s="12" t="n">
        <f aca="false">MEDIAN(F118:F138)</f>
        <v>598.110132100915</v>
      </c>
      <c r="H128" s="13" t="n">
        <f aca="false">B128/G128</f>
        <v>15.380194225581</v>
      </c>
      <c r="I128" s="14" t="n">
        <f aca="false">B128/Summary!$C$8*100</f>
        <v>92.1831628102735</v>
      </c>
      <c r="J128" s="14" t="n">
        <f aca="false">G128/Summary!$E$8*100</f>
        <v>101.652300166176</v>
      </c>
      <c r="K128" s="15" t="n">
        <f aca="false">Summary!$D$9</f>
        <v>16.9374488591431</v>
      </c>
      <c r="L128" s="16" t="str">
        <f aca="false">IF(OR(D128="",E128=""),"edge hidden",IF(AND(H128&gt;=D128-0.02,H128&lt;=E128+0.02),"yes","no"))</f>
        <v>yes</v>
      </c>
    </row>
    <row r="129" customFormat="false" ht="15" hidden="false" customHeight="false" outlineLevel="0" collapsed="false">
      <c r="A129" s="9" t="n">
        <v>43959</v>
      </c>
      <c r="B129" s="10" t="n">
        <v>9251.5</v>
      </c>
      <c r="C129" s="11" t="n">
        <v>15.5084</v>
      </c>
      <c r="D129" s="11" t="n">
        <v>15.3608</v>
      </c>
      <c r="E129" s="11" t="n">
        <v>15.6561</v>
      </c>
      <c r="F129" s="12" t="n">
        <f aca="false">IF(C129="","",B129/C129)</f>
        <v>596.547677387738</v>
      </c>
      <c r="G129" s="12" t="n">
        <f aca="false">MEDIAN(F119:F139)</f>
        <v>598.078633007307</v>
      </c>
      <c r="H129" s="13" t="n">
        <f aca="false">B129/G129</f>
        <v>15.468701754953</v>
      </c>
      <c r="I129" s="14" t="n">
        <f aca="false">B129/Summary!$C$8*100</f>
        <v>92.7087613111403</v>
      </c>
      <c r="J129" s="14" t="n">
        <f aca="false">G129/Summary!$E$8*100</f>
        <v>101.646946711776</v>
      </c>
      <c r="K129" s="15" t="n">
        <f aca="false">Summary!$D$9</f>
        <v>16.9374488591431</v>
      </c>
      <c r="L129" s="16" t="str">
        <f aca="false">IF(OR(D129="",E129=""),"edge hidden",IF(AND(H129&gt;=D129-0.02,H129&lt;=E129+0.02),"yes","no"))</f>
        <v>yes</v>
      </c>
    </row>
    <row r="130" customFormat="false" ht="15" hidden="false" customHeight="false" outlineLevel="0" collapsed="false">
      <c r="A130" s="9" t="n">
        <v>43962</v>
      </c>
      <c r="B130" s="10" t="n">
        <v>9239.2</v>
      </c>
      <c r="C130" s="11" t="n">
        <v>15.5321</v>
      </c>
      <c r="D130" s="11" t="n">
        <v>15.3687</v>
      </c>
      <c r="E130" s="11" t="n">
        <v>15.6954</v>
      </c>
      <c r="F130" s="12" t="n">
        <f aca="false">IF(C130="","",B130/C130)</f>
        <v>594.845513484976</v>
      </c>
      <c r="G130" s="12" t="n">
        <f aca="false">MEDIAN(F120:F140)</f>
        <v>597.881885181044</v>
      </c>
      <c r="H130" s="13" t="n">
        <f aca="false">B130/G130</f>
        <v>15.4532194886659</v>
      </c>
      <c r="I130" s="14" t="n">
        <f aca="false">B130/Summary!$C$8*100</f>
        <v>92.5855037027387</v>
      </c>
      <c r="J130" s="14" t="n">
        <f aca="false">G130/Summary!$E$8*100</f>
        <v>101.613508272902</v>
      </c>
      <c r="K130" s="15" t="n">
        <f aca="false">Summary!$D$9</f>
        <v>16.9374488591431</v>
      </c>
      <c r="L130" s="16" t="str">
        <f aca="false">IF(OR(D130="",E130=""),"edge hidden",IF(AND(H130&gt;=D130-0.02,H130&lt;=E130+0.02),"yes","no"))</f>
        <v>yes</v>
      </c>
    </row>
    <row r="131" customFormat="false" ht="15" hidden="false" customHeight="false" outlineLevel="0" collapsed="false">
      <c r="A131" s="9" t="n">
        <v>43963</v>
      </c>
      <c r="B131" s="10" t="n">
        <v>9196.55</v>
      </c>
      <c r="C131" s="11" t="n">
        <v>15.5281</v>
      </c>
      <c r="D131" s="11" t="n">
        <v>15.3608</v>
      </c>
      <c r="E131" s="11" t="n">
        <v>15.6954</v>
      </c>
      <c r="F131" s="12" t="n">
        <f aca="false">IF(C131="","",B131/C131)</f>
        <v>592.252110689653</v>
      </c>
      <c r="G131" s="12" t="n">
        <f aca="false">MEDIAN(F121:F141)</f>
        <v>596.547677387738</v>
      </c>
      <c r="H131" s="13" t="n">
        <f aca="false">B131/G131</f>
        <v>15.4162866583797</v>
      </c>
      <c r="I131" s="14" t="n">
        <f aca="false">B131/Summary!$C$8*100</f>
        <v>92.1581104508422</v>
      </c>
      <c r="J131" s="14" t="n">
        <f aca="false">G131/Summary!$E$8*100</f>
        <v>101.3867518884</v>
      </c>
      <c r="K131" s="15" t="n">
        <f aca="false">Summary!$D$9</f>
        <v>16.9374488591431</v>
      </c>
      <c r="L131" s="16" t="str">
        <f aca="false">IF(OR(D131="",E131=""),"edge hidden",IF(AND(H131&gt;=D131-0.02,H131&lt;=E131+0.02),"yes","no"))</f>
        <v>yes</v>
      </c>
    </row>
    <row r="132" customFormat="false" ht="15" hidden="false" customHeight="false" outlineLevel="0" collapsed="false">
      <c r="A132" s="9" t="n">
        <v>43964</v>
      </c>
      <c r="B132" s="10" t="n">
        <v>9383.55</v>
      </c>
      <c r="C132" s="11" t="n">
        <v>15.5242</v>
      </c>
      <c r="D132" s="11" t="n">
        <v>15.3529</v>
      </c>
      <c r="E132" s="11" t="n">
        <v>15.6954</v>
      </c>
      <c r="F132" s="12" t="n">
        <f aca="false">IF(C132="","",B132/C132)</f>
        <v>604.446605944268</v>
      </c>
      <c r="G132" s="12" t="n">
        <f aca="false">MEDIAN(F122:F142)</f>
        <v>594.845513484976</v>
      </c>
      <c r="H132" s="13" t="n">
        <f aca="false">B132/G132</f>
        <v>15.7747680486406</v>
      </c>
      <c r="I132" s="14" t="n">
        <f aca="false">B132/Summary!$C$8*100</f>
        <v>94.0320269362969</v>
      </c>
      <c r="J132" s="14" t="n">
        <f aca="false">G132/Summary!$E$8*100</f>
        <v>101.097459220229</v>
      </c>
      <c r="K132" s="15" t="n">
        <f aca="false">Summary!$D$9</f>
        <v>16.9374488591431</v>
      </c>
      <c r="L132" s="16" t="str">
        <f aca="false">IF(OR(D132="",E132=""),"edge hidden",IF(AND(H132&gt;=D132-0.02,H132&lt;=E132+0.02),"yes","no"))</f>
        <v>no</v>
      </c>
    </row>
    <row r="133" customFormat="false" ht="15" hidden="false" customHeight="false" outlineLevel="0" collapsed="false">
      <c r="A133" s="9" t="n">
        <v>43965</v>
      </c>
      <c r="B133" s="10" t="n">
        <v>9142.75</v>
      </c>
      <c r="C133" s="11" t="n">
        <v>15.2919</v>
      </c>
      <c r="D133" s="11" t="n">
        <v>14.8962</v>
      </c>
      <c r="E133" s="11" t="n">
        <v>15.6876</v>
      </c>
      <c r="F133" s="12" t="n">
        <f aca="false">IF(C133="","",B133/C133)</f>
        <v>597.881885181044</v>
      </c>
      <c r="G133" s="12" t="n">
        <f aca="false">MEDIAN(F123:F143)</f>
        <v>594.069668319901</v>
      </c>
      <c r="H133" s="13" t="n">
        <f aca="false">B133/G133</f>
        <v>15.3900299704861</v>
      </c>
      <c r="I133" s="14" t="n">
        <f aca="false">B133/Summary!$C$8*100</f>
        <v>91.6189836758826</v>
      </c>
      <c r="J133" s="14" t="n">
        <f aca="false">G133/Summary!$E$8*100</f>
        <v>100.965599816133</v>
      </c>
      <c r="K133" s="15" t="n">
        <f aca="false">Summary!$D$9</f>
        <v>16.9374488591431</v>
      </c>
      <c r="L133" s="16" t="str">
        <f aca="false">IF(OR(D133="",E133=""),"edge hidden",IF(AND(H133&gt;=D133-0.02,H133&lt;=E133+0.02),"yes","no"))</f>
        <v>yes</v>
      </c>
    </row>
    <row r="134" customFormat="false" ht="15" hidden="false" customHeight="false" outlineLevel="0" collapsed="false">
      <c r="A134" s="9" t="n">
        <v>43966</v>
      </c>
      <c r="B134" s="10" t="n">
        <v>9136.85</v>
      </c>
      <c r="C134" s="11" t="n">
        <v>15.2762</v>
      </c>
      <c r="D134" s="11" t="n">
        <v>14.8726</v>
      </c>
      <c r="E134" s="11" t="n">
        <v>15.6797</v>
      </c>
      <c r="F134" s="12" t="n">
        <f aca="false">IF(C134="","",B134/C134)</f>
        <v>598.110132100915</v>
      </c>
      <c r="G134" s="12" t="n">
        <f aca="false">MEDIAN(F124:F144)</f>
        <v>592.252110689653</v>
      </c>
      <c r="H134" s="13" t="n">
        <f aca="false">B134/G134</f>
        <v>15.4272983330706</v>
      </c>
      <c r="I134" s="14" t="n">
        <f aca="false">B134/Summary!$C$8*100</f>
        <v>91.5598601076249</v>
      </c>
      <c r="J134" s="14" t="n">
        <f aca="false">G134/Summary!$E$8*100</f>
        <v>100.656695311957</v>
      </c>
      <c r="K134" s="15" t="n">
        <f aca="false">Summary!$D$9</f>
        <v>16.9374488591431</v>
      </c>
      <c r="L134" s="16" t="str">
        <f aca="false">IF(OR(D134="",E134=""),"edge hidden",IF(AND(H134&gt;=D134-0.02,H134&lt;=E134+0.02),"yes","no"))</f>
        <v>yes</v>
      </c>
    </row>
    <row r="135" customFormat="false" ht="15" hidden="false" customHeight="false" outlineLevel="0" collapsed="false">
      <c r="A135" s="9" t="n">
        <v>43969</v>
      </c>
      <c r="B135" s="10" t="n">
        <v>8823.25</v>
      </c>
      <c r="C135" s="11" t="n">
        <v>15.1305</v>
      </c>
      <c r="D135" s="11" t="n">
        <v>14.8647</v>
      </c>
      <c r="E135" s="11" t="n">
        <v>15.3962</v>
      </c>
      <c r="F135" s="12" t="n">
        <f aca="false">IF(C135="","",B135/C135)</f>
        <v>583.143319784541</v>
      </c>
      <c r="G135" s="12" t="n">
        <f aca="false">MEDIAN(F125:F145)</f>
        <v>592.252110689653</v>
      </c>
      <c r="H135" s="13" t="n">
        <f aca="false">B135/G135</f>
        <v>14.8977940994177</v>
      </c>
      <c r="I135" s="14" t="n">
        <f aca="false">B135/Summary!$C$8*100</f>
        <v>88.4172921405738</v>
      </c>
      <c r="J135" s="14" t="n">
        <f aca="false">G135/Summary!$E$8*100</f>
        <v>100.656695311957</v>
      </c>
      <c r="K135" s="15" t="n">
        <f aca="false">Summary!$D$9</f>
        <v>16.9374488591431</v>
      </c>
      <c r="L135" s="16" t="str">
        <f aca="false">IF(OR(D135="",E135=""),"edge hidden",IF(AND(H135&gt;=D135-0.02,H135&lt;=E135+0.02),"yes","no"))</f>
        <v>yes</v>
      </c>
    </row>
    <row r="136" customFormat="false" ht="15" hidden="false" customHeight="false" outlineLevel="0" collapsed="false">
      <c r="A136" s="9" t="n">
        <v>43970</v>
      </c>
      <c r="B136" s="10" t="n">
        <v>8879.1</v>
      </c>
      <c r="C136" s="11" t="n">
        <v>15.1384</v>
      </c>
      <c r="D136" s="11" t="n">
        <v>14.8726</v>
      </c>
      <c r="E136" s="11" t="n">
        <v>15.4041</v>
      </c>
      <c r="F136" s="12" t="n">
        <f aca="false">IF(C136="","",B136/C136)</f>
        <v>586.528298895524</v>
      </c>
      <c r="G136" s="12" t="n">
        <f aca="false">MEDIAN(F126:F146)</f>
        <v>592.988784110385</v>
      </c>
      <c r="H136" s="13" t="n">
        <f aca="false">B136/G136</f>
        <v>14.9734703891923</v>
      </c>
      <c r="I136" s="14" t="n">
        <f aca="false">B136/Summary!$C$8*100</f>
        <v>88.9769618502671</v>
      </c>
      <c r="J136" s="14" t="n">
        <f aca="false">G136/Summary!$E$8*100</f>
        <v>100.781897249977</v>
      </c>
      <c r="K136" s="15" t="n">
        <f aca="false">Summary!$D$9</f>
        <v>16.9374488591431</v>
      </c>
      <c r="L136" s="16" t="str">
        <f aca="false">IF(OR(D136="",E136=""),"edge hidden",IF(AND(H136&gt;=D136-0.02,H136&lt;=E136+0.02),"yes","no"))</f>
        <v>yes</v>
      </c>
    </row>
    <row r="137" customFormat="false" ht="15" hidden="false" customHeight="false" outlineLevel="0" collapsed="false">
      <c r="A137" s="9" t="n">
        <v>43971</v>
      </c>
      <c r="B137" s="10" t="n">
        <v>9066.55</v>
      </c>
      <c r="C137" s="11" t="n">
        <v>15.1502</v>
      </c>
      <c r="D137" s="11" t="n">
        <v>14.8962</v>
      </c>
      <c r="E137" s="11" t="n">
        <v>15.4041</v>
      </c>
      <c r="F137" s="12" t="n">
        <f aca="false">IF(C137="","",B137/C137)</f>
        <v>598.444244960463</v>
      </c>
      <c r="G137" s="12" t="n">
        <f aca="false">MEDIAN(F127:F147)</f>
        <v>593.725457531117</v>
      </c>
      <c r="H137" s="13" t="n">
        <f aca="false">B137/G137</f>
        <v>15.2706101532202</v>
      </c>
      <c r="I137" s="14" t="n">
        <f aca="false">B137/Summary!$C$8*100</f>
        <v>90.8553877604193</v>
      </c>
      <c r="J137" s="14" t="n">
        <f aca="false">G137/Summary!$E$8*100</f>
        <v>100.907099187997</v>
      </c>
      <c r="K137" s="15" t="n">
        <f aca="false">Summary!$D$9</f>
        <v>16.9374488591431</v>
      </c>
      <c r="L137" s="16" t="str">
        <f aca="false">IF(OR(D137="",E137=""),"edge hidden",IF(AND(H137&gt;=D137-0.02,H137&lt;=E137+0.02),"yes","no"))</f>
        <v>yes</v>
      </c>
    </row>
    <row r="138" customFormat="false" ht="15" hidden="false" customHeight="false" outlineLevel="0" collapsed="false">
      <c r="A138" s="9" t="n">
        <v>43972</v>
      </c>
      <c r="B138" s="10" t="n">
        <v>9106.25</v>
      </c>
      <c r="C138" s="11" t="n">
        <v>15.158</v>
      </c>
      <c r="D138" s="11" t="n">
        <v>14.912</v>
      </c>
      <c r="E138" s="11" t="n">
        <v>15.4041</v>
      </c>
      <c r="F138" s="12" t="n">
        <f aca="false">IF(C138="","",B138/C138)</f>
        <v>600.755376698773</v>
      </c>
      <c r="G138" s="12" t="n">
        <f aca="false">MEDIAN(F128:F148)</f>
        <v>592.988784110385</v>
      </c>
      <c r="H138" s="13" t="n">
        <f aca="false">B138/G138</f>
        <v>15.3565299108674</v>
      </c>
      <c r="I138" s="14" t="n">
        <f aca="false">B138/Summary!$C$8*100</f>
        <v>91.2532192281869</v>
      </c>
      <c r="J138" s="14" t="n">
        <f aca="false">G138/Summary!$E$8*100</f>
        <v>100.781897249977</v>
      </c>
      <c r="K138" s="15" t="n">
        <f aca="false">Summary!$D$9</f>
        <v>16.9374488591431</v>
      </c>
      <c r="L138" s="16" t="str">
        <f aca="false">IF(OR(D138="",E138=""),"edge hidden",IF(AND(H138&gt;=D138-0.02,H138&lt;=E138+0.02),"yes","no"))</f>
        <v>yes</v>
      </c>
    </row>
    <row r="139" customFormat="false" ht="15" hidden="false" customHeight="false" outlineLevel="0" collapsed="false">
      <c r="A139" s="9" t="n">
        <v>43973</v>
      </c>
      <c r="B139" s="10" t="n">
        <v>9039.25</v>
      </c>
      <c r="C139" s="11" t="n">
        <v>15.3628</v>
      </c>
      <c r="D139" s="11" t="n">
        <v>15.2978</v>
      </c>
      <c r="E139" s="11" t="n">
        <v>15.4277</v>
      </c>
      <c r="F139" s="12" t="n">
        <f aca="false">IF(C139="","",B139/C139)</f>
        <v>588.385580753509</v>
      </c>
      <c r="G139" s="12" t="n">
        <f aca="false">MEDIAN(F129:F149)</f>
        <v>592.252110689653</v>
      </c>
      <c r="H139" s="13" t="n">
        <f aca="false">B139/G139</f>
        <v>15.2625036481072</v>
      </c>
      <c r="I139" s="14" t="n">
        <f aca="false">B139/Summary!$C$8*100</f>
        <v>90.5818159954305</v>
      </c>
      <c r="J139" s="14" t="n">
        <f aca="false">G139/Summary!$E$8*100</f>
        <v>100.656695311957</v>
      </c>
      <c r="K139" s="15" t="n">
        <f aca="false">Summary!$D$9</f>
        <v>16.9374488591431</v>
      </c>
      <c r="L139" s="16" t="str">
        <f aca="false">IF(OR(D139="",E139=""),"edge hidden",IF(AND(H139&gt;=D139-0.02,H139&lt;=E139+0.02),"yes","no"))</f>
        <v>no</v>
      </c>
    </row>
    <row r="140" customFormat="false" ht="15" hidden="false" customHeight="false" outlineLevel="0" collapsed="false">
      <c r="A140" s="9" t="n">
        <v>43977</v>
      </c>
      <c r="B140" s="10" t="n">
        <v>9029.05</v>
      </c>
      <c r="C140" s="11" t="n">
        <v>15.8155</v>
      </c>
      <c r="D140" s="11" t="n">
        <v>15.3451</v>
      </c>
      <c r="E140" s="11" t="n">
        <v>16.286</v>
      </c>
      <c r="F140" s="12" t="n">
        <f aca="false">IF(C140="","",B140/C140)</f>
        <v>570.898801808353</v>
      </c>
      <c r="G140" s="12" t="n">
        <f aca="false">MEDIAN(F130:F150)</f>
        <v>592.025905681569</v>
      </c>
      <c r="H140" s="13" t="n">
        <f aca="false">B140/G140</f>
        <v>15.2511062663809</v>
      </c>
      <c r="I140" s="14" t="n">
        <f aca="false">B140/Summary!$C$8*100</f>
        <v>90.4796023689511</v>
      </c>
      <c r="J140" s="14" t="n">
        <f aca="false">G140/Summary!$E$8*100</f>
        <v>100.618250453482</v>
      </c>
      <c r="K140" s="15" t="n">
        <f aca="false">Summary!$D$9</f>
        <v>16.9374488591431</v>
      </c>
      <c r="L140" s="16" t="str">
        <f aca="false">IF(OR(D140="",E140=""),"edge hidden",IF(AND(H140&gt;=D140-0.02,H140&lt;=E140+0.02),"yes","no"))</f>
        <v>no</v>
      </c>
    </row>
    <row r="141" customFormat="false" ht="15" hidden="false" customHeight="false" outlineLevel="0" collapsed="false">
      <c r="A141" s="9" t="n">
        <v>43978</v>
      </c>
      <c r="B141" s="10" t="n">
        <v>9314.95</v>
      </c>
      <c r="C141" s="11" t="n">
        <v>15.8313</v>
      </c>
      <c r="D141" s="11" t="n">
        <v>15.3687</v>
      </c>
      <c r="E141" s="11" t="n">
        <v>16.2939</v>
      </c>
      <c r="F141" s="12" t="n">
        <f aca="false">IF(C141="","",B141/C141)</f>
        <v>588.38819301005</v>
      </c>
      <c r="G141" s="12" t="n">
        <f aca="false">MEDIAN(F131:F151)</f>
        <v>591.799700673485</v>
      </c>
      <c r="H141" s="13" t="n">
        <f aca="false">B141/G141</f>
        <v>15.7400383768348</v>
      </c>
      <c r="I141" s="14" t="n">
        <f aca="false">B141/Summary!$C$8*100</f>
        <v>93.3445901935044</v>
      </c>
      <c r="J141" s="14" t="n">
        <f aca="false">G141/Summary!$E$8*100</f>
        <v>100.579805595007</v>
      </c>
      <c r="K141" s="15" t="n">
        <f aca="false">Summary!$D$9</f>
        <v>16.9374488591431</v>
      </c>
      <c r="L141" s="16" t="str">
        <f aca="false">IF(OR(D141="",E141=""),"edge hidden",IF(AND(H141&gt;=D141-0.02,H141&lt;=E141+0.02),"yes","no"))</f>
        <v>yes</v>
      </c>
    </row>
    <row r="142" customFormat="false" ht="15" hidden="false" customHeight="false" outlineLevel="0" collapsed="false">
      <c r="A142" s="9" t="n">
        <v>43979</v>
      </c>
      <c r="B142" s="10" t="n">
        <v>9490.1</v>
      </c>
      <c r="C142" s="11" t="n">
        <v>16.036</v>
      </c>
      <c r="D142" s="11" t="n">
        <v>15.4238</v>
      </c>
      <c r="E142" s="11" t="n">
        <v>16.6482</v>
      </c>
      <c r="F142" s="12" t="n">
        <f aca="false">IF(C142="","",B142/C142)</f>
        <v>591.799700673485</v>
      </c>
      <c r="G142" s="12" t="n">
        <f aca="false">MEDIAN(F132:F152)</f>
        <v>591.061568013233</v>
      </c>
      <c r="H142" s="13" t="n">
        <f aca="false">B142/G142</f>
        <v>16.0560261630604</v>
      </c>
      <c r="I142" s="14" t="n">
        <f aca="false">B142/Summary!$C$8*100</f>
        <v>95.0997584952551</v>
      </c>
      <c r="J142" s="14" t="n">
        <f aca="false">G142/Summary!$E$8*100</f>
        <v>100.454355650732</v>
      </c>
      <c r="K142" s="15" t="n">
        <f aca="false">Summary!$D$9</f>
        <v>16.9374488591431</v>
      </c>
      <c r="L142" s="16" t="str">
        <f aca="false">IF(OR(D142="",E142=""),"edge hidden",IF(AND(H142&gt;=D142-0.02,H142&lt;=E142+0.02),"yes","no"))</f>
        <v>yes</v>
      </c>
    </row>
    <row r="143" customFormat="false" ht="15" hidden="false" customHeight="false" outlineLevel="0" collapsed="false">
      <c r="A143" s="9" t="n">
        <v>43980</v>
      </c>
      <c r="B143" s="10" t="n">
        <v>9580.3</v>
      </c>
      <c r="C143" s="11" t="n">
        <v>16.2289</v>
      </c>
      <c r="D143" s="11" t="n">
        <v>15.6443</v>
      </c>
      <c r="E143" s="11" t="n">
        <v>16.8136</v>
      </c>
      <c r="F143" s="12" t="n">
        <f aca="false">IF(C143="","",B143/C143)</f>
        <v>590.323435352981</v>
      </c>
      <c r="G143" s="12" t="n">
        <f aca="false">MEDIAN(F133:F153)</f>
        <v>590.323435352981</v>
      </c>
      <c r="H143" s="13" t="n">
        <f aca="false">B143/G143</f>
        <v>16.2289</v>
      </c>
      <c r="I143" s="14" t="n">
        <f aca="false">B143/Summary!$C$8*100</f>
        <v>96.0036476235332</v>
      </c>
      <c r="J143" s="14" t="n">
        <f aca="false">G143/Summary!$E$8*100</f>
        <v>100.328905706457</v>
      </c>
      <c r="K143" s="15" t="n">
        <f aca="false">Summary!$D$9</f>
        <v>16.9374488591431</v>
      </c>
      <c r="L143" s="16" t="str">
        <f aca="false">IF(OR(D143="",E143=""),"edge hidden",IF(AND(H143&gt;=D143-0.02,H143&lt;=E143+0.02),"yes","no"))</f>
        <v>yes</v>
      </c>
    </row>
    <row r="144" customFormat="false" ht="15" hidden="false" customHeight="false" outlineLevel="0" collapsed="false">
      <c r="A144" s="9" t="n">
        <v>43983</v>
      </c>
      <c r="B144" s="10" t="n">
        <v>9826.15</v>
      </c>
      <c r="C144" s="11" t="n">
        <v>16.721</v>
      </c>
      <c r="D144" s="11" t="n">
        <v>16.2821</v>
      </c>
      <c r="E144" s="11" t="n">
        <v>17.16</v>
      </c>
      <c r="F144" s="12" t="n">
        <f aca="false">IF(C144="","",B144/C144)</f>
        <v>587.653250403684</v>
      </c>
      <c r="G144" s="12" t="n">
        <f aca="false">MEDIAN(F134:F154)</f>
        <v>589.355814181516</v>
      </c>
      <c r="H144" s="13" t="n">
        <f aca="false">B144/G144</f>
        <v>16.6726954473951</v>
      </c>
      <c r="I144" s="14" t="n">
        <f aca="false">B144/Summary!$C$8*100</f>
        <v>98.4672966499985</v>
      </c>
      <c r="J144" s="14" t="n">
        <f aca="false">G144/Summary!$E$8*100</f>
        <v>100.164452853229</v>
      </c>
      <c r="K144" s="15" t="n">
        <f aca="false">Summary!$D$9</f>
        <v>16.9374488591431</v>
      </c>
      <c r="L144" s="16" t="str">
        <f aca="false">IF(OR(D144="",E144=""),"edge hidden",IF(AND(H144&gt;=D144-0.02,H144&lt;=E144+0.02),"yes","no"))</f>
        <v>yes</v>
      </c>
    </row>
    <row r="145" customFormat="false" ht="15" hidden="false" customHeight="false" outlineLevel="0" collapsed="false">
      <c r="A145" s="9" t="n">
        <v>43984</v>
      </c>
      <c r="B145" s="10" t="n">
        <v>9979.1</v>
      </c>
      <c r="C145" s="11" t="n">
        <v>16.8076</v>
      </c>
      <c r="D145" s="11" t="n">
        <v>16.3529</v>
      </c>
      <c r="E145" s="11" t="n">
        <v>17.2624</v>
      </c>
      <c r="F145" s="12" t="n">
        <f aca="false">IF(C145="","",B145/C145)</f>
        <v>593.725457531117</v>
      </c>
      <c r="G145" s="12" t="n">
        <f aca="false">MEDIAN(F135:F155)</f>
        <v>588.38819301005</v>
      </c>
      <c r="H145" s="13" t="n">
        <f aca="false">B145/G145</f>
        <v>16.9600616031219</v>
      </c>
      <c r="I145" s="14" t="n">
        <f aca="false">B145/Summary!$C$8*100</f>
        <v>100</v>
      </c>
      <c r="J145" s="14" t="n">
        <f aca="false">G145/Summary!$E$8*100</f>
        <v>100</v>
      </c>
      <c r="K145" s="15" t="n">
        <f aca="false">Summary!$D$9</f>
        <v>16.9374488591431</v>
      </c>
      <c r="L145" s="16" t="str">
        <f aca="false">IF(OR(D145="",E145=""),"edge hidden",IF(AND(H145&gt;=D145-0.02,H145&lt;=E145+0.02),"yes","no"))</f>
        <v>yes</v>
      </c>
    </row>
    <row r="146" customFormat="false" ht="15" hidden="false" customHeight="false" outlineLevel="0" collapsed="false">
      <c r="A146" s="9" t="n">
        <v>43985</v>
      </c>
      <c r="B146" s="10" t="n">
        <v>10061.55</v>
      </c>
      <c r="C146" s="11"/>
      <c r="D146" s="11"/>
      <c r="E146" s="11" t="n">
        <v>17.286</v>
      </c>
      <c r="F146" s="12" t="str">
        <f aca="false">IF(C146="","",B146/C146)</f>
        <v/>
      </c>
      <c r="G146" s="12" t="n">
        <f aca="false">MEDIAN(F136:F156)</f>
        <v>589.355814181516</v>
      </c>
      <c r="H146" s="13" t="n">
        <f aca="false">B146/G146</f>
        <v>17.0721146001983</v>
      </c>
      <c r="I146" s="14" t="n">
        <f aca="false">B146/Summary!$C$8*100</f>
        <v>100.826226814041</v>
      </c>
      <c r="J146" s="14" t="n">
        <f aca="false">G146/Summary!$E$8*100</f>
        <v>100.164452853229</v>
      </c>
      <c r="K146" s="15" t="n">
        <f aca="false">Summary!$D$9</f>
        <v>16.9374488591431</v>
      </c>
      <c r="L146" s="16" t="str">
        <f aca="false">IF(OR(D146="",E146=""),"edge hidden",IF(AND(H146&gt;=D146-0.02,H146&lt;=E146+0.02),"yes","no"))</f>
        <v>edge hidden</v>
      </c>
    </row>
    <row r="147" customFormat="false" ht="15" hidden="false" customHeight="false" outlineLevel="0" collapsed="false">
      <c r="A147" s="9" t="n">
        <v>43986</v>
      </c>
      <c r="B147" s="10" t="n">
        <v>10029.1</v>
      </c>
      <c r="C147" s="11"/>
      <c r="D147" s="11" t="n">
        <v>16.975</v>
      </c>
      <c r="E147" s="11"/>
      <c r="F147" s="12" t="str">
        <f aca="false">IF(C147="","",B147/C147)</f>
        <v/>
      </c>
      <c r="G147" s="12" t="n">
        <f aca="false">MEDIAN(F137:F157)</f>
        <v>589.355814181516</v>
      </c>
      <c r="H147" s="13" t="n">
        <f aca="false">B147/G147</f>
        <v>17.0170544833399</v>
      </c>
      <c r="I147" s="14" t="n">
        <f aca="false">B147/Summary!$C$8*100</f>
        <v>100.501047188624</v>
      </c>
      <c r="J147" s="14" t="n">
        <f aca="false">G147/Summary!$E$8*100</f>
        <v>100.164452853229</v>
      </c>
      <c r="K147" s="15" t="n">
        <f aca="false">Summary!$D$9</f>
        <v>16.9374488591431</v>
      </c>
      <c r="L147" s="16" t="str">
        <f aca="false">IF(OR(D147="",E147=""),"edge hidden",IF(AND(H147&gt;=D147-0.02,H147&lt;=E147+0.02),"yes","no"))</f>
        <v>edge hidden</v>
      </c>
    </row>
    <row r="148" customFormat="false" ht="15" hidden="false" customHeight="false" outlineLevel="0" collapsed="false">
      <c r="A148" s="9" t="n">
        <v>43987</v>
      </c>
      <c r="B148" s="10" t="n">
        <v>10142.15</v>
      </c>
      <c r="C148" s="11"/>
      <c r="D148" s="11" t="n">
        <v>17.0537</v>
      </c>
      <c r="E148" s="11"/>
      <c r="F148" s="12" t="str">
        <f aca="false">IF(C148="","",B148/C148)</f>
        <v/>
      </c>
      <c r="G148" s="12" t="n">
        <f aca="false">MEDIAN(F138:F158)</f>
        <v>588.386886881779</v>
      </c>
      <c r="H148" s="13" t="n">
        <f aca="false">B148/G148</f>
        <v>17.237212837542</v>
      </c>
      <c r="I148" s="14" t="n">
        <f aca="false">B148/Summary!$C$8*100</f>
        <v>101.633914882104</v>
      </c>
      <c r="J148" s="14" t="n">
        <f aca="false">G148/Summary!$E$8*100</f>
        <v>99.9997780158939</v>
      </c>
      <c r="K148" s="15" t="n">
        <f aca="false">Summary!$D$9</f>
        <v>16.9374488591431</v>
      </c>
      <c r="L148" s="16" t="str">
        <f aca="false">IF(OR(D148="",E148=""),"edge hidden",IF(AND(H148&gt;=D148-0.02,H148&lt;=E148+0.02),"yes","no"))</f>
        <v>edge hidden</v>
      </c>
    </row>
    <row r="149" customFormat="false" ht="15" hidden="false" customHeight="false" outlineLevel="0" collapsed="false">
      <c r="A149" s="9" t="n">
        <v>43990</v>
      </c>
      <c r="B149" s="10" t="n">
        <v>10167.45</v>
      </c>
      <c r="C149" s="11"/>
      <c r="D149" s="11" t="n">
        <v>17.038</v>
      </c>
      <c r="E149" s="11"/>
      <c r="F149" s="12" t="str">
        <f aca="false">IF(C149="","",B149/C149)</f>
        <v/>
      </c>
      <c r="G149" s="12" t="n">
        <f aca="false">MEDIAN(F139:F159)</f>
        <v>588.019415578596</v>
      </c>
      <c r="H149" s="13" t="n">
        <f aca="false">B149/G149</f>
        <v>17.2910106888146</v>
      </c>
      <c r="I149" s="14" t="n">
        <f aca="false">B149/Summary!$C$8*100</f>
        <v>101.887444759547</v>
      </c>
      <c r="J149" s="14" t="n">
        <f aca="false">G149/Summary!$E$8*100</f>
        <v>99.9373241278743</v>
      </c>
      <c r="K149" s="15" t="n">
        <f aca="false">Summary!$D$9</f>
        <v>16.9374488591431</v>
      </c>
      <c r="L149" s="16" t="str">
        <f aca="false">IF(OR(D149="",E149=""),"edge hidden",IF(AND(H149&gt;=D149-0.02,H149&lt;=E149+0.02),"yes","no"))</f>
        <v>edge hidden</v>
      </c>
    </row>
    <row r="150" customFormat="false" ht="15" hidden="false" customHeight="false" outlineLevel="0" collapsed="false">
      <c r="A150" s="9" t="n">
        <v>43991</v>
      </c>
      <c r="B150" s="10" t="n">
        <v>10046.65</v>
      </c>
      <c r="C150" s="11"/>
      <c r="D150" s="11" t="n">
        <v>17.0301</v>
      </c>
      <c r="E150" s="11"/>
      <c r="F150" s="12" t="str">
        <f aca="false">IF(C150="","",B150/C150)</f>
        <v/>
      </c>
      <c r="G150" s="12" t="n">
        <f aca="false">MEDIAN(F140:F160)</f>
        <v>583.790459337323</v>
      </c>
      <c r="H150" s="13" t="n">
        <f aca="false">B150/G150</f>
        <v>17.2093425634332</v>
      </c>
      <c r="I150" s="14" t="n">
        <f aca="false">B150/Summary!$C$8*100</f>
        <v>100.676914751831</v>
      </c>
      <c r="J150" s="14" t="n">
        <f aca="false">G150/Summary!$E$8*100</f>
        <v>99.2185883864858</v>
      </c>
      <c r="K150" s="15" t="n">
        <f aca="false">Summary!$D$9</f>
        <v>16.9374488591431</v>
      </c>
      <c r="L150" s="16" t="str">
        <f aca="false">IF(OR(D150="",E150=""),"edge hidden",IF(AND(H150&gt;=D150-0.02,H150&lt;=E150+0.02),"yes","no"))</f>
        <v>edge hidden</v>
      </c>
    </row>
    <row r="151" customFormat="false" ht="15" hidden="false" customHeight="false" outlineLevel="0" collapsed="false">
      <c r="A151" s="9" t="n">
        <v>43992</v>
      </c>
      <c r="B151" s="10" t="n">
        <v>10116.15</v>
      </c>
      <c r="C151" s="11"/>
      <c r="D151" s="11" t="n">
        <v>17.0222</v>
      </c>
      <c r="E151" s="11"/>
      <c r="F151" s="12" t="str">
        <f aca="false">IF(C151="","",B151/C151)</f>
        <v/>
      </c>
      <c r="G151" s="12" t="n">
        <f aca="false">MEDIAN(F141:F161)</f>
        <v>583.790459337323</v>
      </c>
      <c r="H151" s="13" t="n">
        <f aca="false">B151/G151</f>
        <v>17.3283921280302</v>
      </c>
      <c r="I151" s="14" t="n">
        <f aca="false">B151/Summary!$C$8*100</f>
        <v>101.373370344019</v>
      </c>
      <c r="J151" s="14" t="n">
        <f aca="false">G151/Summary!$E$8*100</f>
        <v>99.2185883864858</v>
      </c>
      <c r="K151" s="15" t="n">
        <f aca="false">Summary!$D$9</f>
        <v>16.9374488591431</v>
      </c>
      <c r="L151" s="16" t="str">
        <f aca="false">IF(OR(D151="",E151=""),"edge hidden",IF(AND(H151&gt;=D151-0.02,H151&lt;=E151+0.02),"yes","no"))</f>
        <v>edge hidden</v>
      </c>
    </row>
    <row r="152" customFormat="false" ht="15" hidden="false" customHeight="false" outlineLevel="0" collapsed="false">
      <c r="A152" s="9" t="n">
        <v>43993</v>
      </c>
      <c r="B152" s="10" t="n">
        <v>9902</v>
      </c>
      <c r="C152" s="11"/>
      <c r="D152" s="11"/>
      <c r="E152" s="11"/>
      <c r="F152" s="12" t="str">
        <f aca="false">IF(C152="","",B152/C152)</f>
        <v/>
      </c>
      <c r="G152" s="12" t="n">
        <f aca="false">MEDIAN(F142:F162)</f>
        <v>579.718723063339</v>
      </c>
      <c r="H152" s="13" t="n">
        <f aca="false">B152/G152</f>
        <v>17.0806972520674</v>
      </c>
      <c r="I152" s="14" t="n">
        <f aca="false">B152/Summary!$C$8*100</f>
        <v>99.2273852351414</v>
      </c>
      <c r="J152" s="14" t="n">
        <f aca="false">G152/Summary!$E$8*100</f>
        <v>98.5265730941405</v>
      </c>
      <c r="K152" s="15" t="n">
        <f aca="false">Summary!$D$9</f>
        <v>16.9374488591431</v>
      </c>
      <c r="L152" s="16" t="str">
        <f aca="false">IF(OR(D152="",E152=""),"edge hidden",IF(AND(H152&gt;=D152-0.02,H152&lt;=E152+0.02),"yes","no"))</f>
        <v>edge hidden</v>
      </c>
    </row>
    <row r="153" customFormat="false" ht="15" hidden="false" customHeight="false" outlineLevel="0" collapsed="false">
      <c r="A153" s="9" t="n">
        <v>43994</v>
      </c>
      <c r="B153" s="10" t="n">
        <v>9972.9</v>
      </c>
      <c r="C153" s="11"/>
      <c r="D153" s="11"/>
      <c r="E153" s="11"/>
      <c r="F153" s="12" t="str">
        <f aca="false">IF(C153="","",B153/C153)</f>
        <v/>
      </c>
      <c r="G153" s="12" t="n">
        <f aca="false">MEDIAN(F143:F163)</f>
        <v>578.923857488382</v>
      </c>
      <c r="H153" s="13" t="n">
        <f aca="false">B153/G153</f>
        <v>17.2266177511956</v>
      </c>
      <c r="I153" s="14" t="n">
        <f aca="false">B153/Summary!$C$8*100</f>
        <v>99.9378701486106</v>
      </c>
      <c r="J153" s="14" t="n">
        <f aca="false">G153/Summary!$E$8*100</f>
        <v>98.3914810606157</v>
      </c>
      <c r="K153" s="15" t="n">
        <f aca="false">Summary!$D$9</f>
        <v>16.9374488591431</v>
      </c>
      <c r="L153" s="16" t="str">
        <f aca="false">IF(OR(D153="",E153=""),"edge hidden",IF(AND(H153&gt;=D153-0.02,H153&lt;=E153+0.02),"yes","no"))</f>
        <v>edge hidden</v>
      </c>
    </row>
    <row r="154" customFormat="false" ht="15" hidden="false" customHeight="false" outlineLevel="0" collapsed="false">
      <c r="A154" s="9" t="n">
        <v>43997</v>
      </c>
      <c r="B154" s="10" t="n">
        <v>9813.7</v>
      </c>
      <c r="C154" s="11"/>
      <c r="D154" s="11"/>
      <c r="E154" s="11" t="n">
        <v>17.6482</v>
      </c>
      <c r="F154" s="12" t="str">
        <f aca="false">IF(C154="","",B154/C154)</f>
        <v/>
      </c>
      <c r="G154" s="12" t="n">
        <f aca="false">MEDIAN(F144:F164)</f>
        <v>574.957692444802</v>
      </c>
      <c r="H154" s="13" t="n">
        <f aca="false">B154/G154</f>
        <v>17.0685602244415</v>
      </c>
      <c r="I154" s="14" t="n">
        <f aca="false">B154/Summary!$C$8*100</f>
        <v>98.3425359000311</v>
      </c>
      <c r="J154" s="14" t="n">
        <f aca="false">G154/Summary!$E$8*100</f>
        <v>97.717408213693</v>
      </c>
      <c r="K154" s="15" t="n">
        <f aca="false">Summary!$D$9</f>
        <v>16.9374488591431</v>
      </c>
      <c r="L154" s="16" t="str">
        <f aca="false">IF(OR(D154="",E154=""),"edge hidden",IF(AND(H154&gt;=D154-0.02,H154&lt;=E154+0.02),"yes","no"))</f>
        <v>edge hidden</v>
      </c>
    </row>
    <row r="155" customFormat="false" ht="15" hidden="false" customHeight="false" outlineLevel="0" collapsed="false">
      <c r="A155" s="9" t="n">
        <v>43998</v>
      </c>
      <c r="B155" s="10" t="n">
        <v>9914</v>
      </c>
      <c r="C155" s="11"/>
      <c r="D155" s="11"/>
      <c r="E155" s="11" t="n">
        <v>17.7742</v>
      </c>
      <c r="F155" s="12" t="str">
        <f aca="false">IF(C155="","",B155/C155)</f>
        <v/>
      </c>
      <c r="G155" s="12" t="n">
        <f aca="false">MEDIAN(F145:F165)</f>
        <v>571.076732061271</v>
      </c>
      <c r="H155" s="13" t="n">
        <f aca="false">B155/G155</f>
        <v>17.3601889963472</v>
      </c>
      <c r="I155" s="14" t="n">
        <f aca="false">B155/Summary!$C$8*100</f>
        <v>99.3476365604113</v>
      </c>
      <c r="J155" s="14" t="n">
        <f aca="false">G155/Summary!$E$8*100</f>
        <v>97.0578163949522</v>
      </c>
      <c r="K155" s="15" t="n">
        <f aca="false">Summary!$D$9</f>
        <v>16.9374488591431</v>
      </c>
      <c r="L155" s="16" t="str">
        <f aca="false">IF(OR(D155="",E155=""),"edge hidden",IF(AND(H155&gt;=D155-0.02,H155&lt;=E155+0.02),"yes","no"))</f>
        <v>edge hidden</v>
      </c>
    </row>
    <row r="156" customFormat="false" ht="15" hidden="false" customHeight="false" outlineLevel="0" collapsed="false">
      <c r="A156" s="9" t="n">
        <v>43999</v>
      </c>
      <c r="B156" s="10" t="n">
        <v>9881.15</v>
      </c>
      <c r="C156" s="11"/>
      <c r="D156" s="11"/>
      <c r="E156" s="11" t="n">
        <v>17.7821</v>
      </c>
      <c r="F156" s="12" t="str">
        <f aca="false">IF(C156="","",B156/C156)</f>
        <v/>
      </c>
      <c r="G156" s="12" t="n">
        <f aca="false">MEDIAN(F146:F166)</f>
        <v>568.808790842148</v>
      </c>
      <c r="H156" s="13" t="n">
        <f aca="false">B156/G156</f>
        <v>17.371654867307</v>
      </c>
      <c r="I156" s="14" t="n">
        <f aca="false">B156/Summary!$C$8*100</f>
        <v>99.0184485574851</v>
      </c>
      <c r="J156" s="14" t="n">
        <f aca="false">G156/Summary!$E$8*100</f>
        <v>96.6723665769466</v>
      </c>
      <c r="K156" s="15" t="n">
        <f aca="false">Summary!$D$9</f>
        <v>16.9374488591431</v>
      </c>
      <c r="L156" s="16" t="str">
        <f aca="false">IF(OR(D156="",E156=""),"edge hidden",IF(AND(H156&gt;=D156-0.02,H156&lt;=E156+0.02),"yes","no"))</f>
        <v>edge hidden</v>
      </c>
    </row>
    <row r="157" customFormat="false" ht="15" hidden="false" customHeight="false" outlineLevel="0" collapsed="false">
      <c r="A157" s="9" t="n">
        <v>44000</v>
      </c>
      <c r="B157" s="10" t="n">
        <v>10091.65</v>
      </c>
      <c r="C157" s="11" t="n">
        <v>17.4494</v>
      </c>
      <c r="D157" s="11" t="n">
        <v>17.101</v>
      </c>
      <c r="E157" s="11" t="n">
        <v>17.7978</v>
      </c>
      <c r="F157" s="12" t="n">
        <f aca="false">IF(C157="","",B157/C157)</f>
        <v>578.337937121047</v>
      </c>
      <c r="G157" s="12" t="n">
        <f aca="false">MEDIAN(F147:F167)</f>
        <v>567.041565330311</v>
      </c>
      <c r="H157" s="13" t="n">
        <f aca="false">B157/G157</f>
        <v>17.7970198606542</v>
      </c>
      <c r="I157" s="14" t="n">
        <f aca="false">B157/Summary!$C$8*100</f>
        <v>101.127857221593</v>
      </c>
      <c r="J157" s="14" t="n">
        <f aca="false">G157/Summary!$E$8*100</f>
        <v>96.3720163094139</v>
      </c>
      <c r="K157" s="15" t="n">
        <f aca="false">Summary!$D$9</f>
        <v>16.9374488591431</v>
      </c>
      <c r="L157" s="16" t="str">
        <f aca="false">IF(OR(D157="",E157=""),"edge hidden",IF(AND(H157&gt;=D157-0.02,H157&lt;=E157+0.02),"yes","no"))</f>
        <v>yes</v>
      </c>
    </row>
    <row r="158" customFormat="false" ht="15" hidden="false" customHeight="false" outlineLevel="0" collapsed="false">
      <c r="A158" s="9" t="n">
        <v>44001</v>
      </c>
      <c r="B158" s="10" t="n">
        <v>10244.4</v>
      </c>
      <c r="C158" s="11" t="n">
        <v>17.6777</v>
      </c>
      <c r="D158" s="11" t="n">
        <v>17.2663</v>
      </c>
      <c r="E158" s="11" t="n">
        <v>18.0891</v>
      </c>
      <c r="F158" s="12" t="n">
        <f aca="false">IF(C158="","",B158/C158)</f>
        <v>579.509777855717</v>
      </c>
      <c r="G158" s="12" t="n">
        <f aca="false">MEDIAN(F148:F168)</f>
        <v>566.406692395931</v>
      </c>
      <c r="H158" s="13" t="n">
        <f aca="false">B158/G158</f>
        <v>18.0866507008694</v>
      </c>
      <c r="I158" s="14" t="n">
        <f aca="false">B158/Summary!$C$8*100</f>
        <v>102.65855638284</v>
      </c>
      <c r="J158" s="14" t="n">
        <f aca="false">G158/Summary!$E$8*100</f>
        <v>96.2641159569049</v>
      </c>
      <c r="K158" s="15" t="n">
        <f aca="false">Summary!$D$9</f>
        <v>16.9374488591431</v>
      </c>
      <c r="L158" s="16" t="str">
        <f aca="false">IF(OR(D158="",E158=""),"edge hidden",IF(AND(H158&gt;=D158-0.02,H158&lt;=E158+0.02),"yes","no"))</f>
        <v>yes</v>
      </c>
    </row>
    <row r="159" customFormat="false" ht="15" hidden="false" customHeight="false" outlineLevel="0" collapsed="false">
      <c r="A159" s="9" t="n">
        <v>44004</v>
      </c>
      <c r="B159" s="10" t="n">
        <v>10311.2</v>
      </c>
      <c r="C159" s="11" t="n">
        <v>18.0399</v>
      </c>
      <c r="D159" s="11" t="n">
        <v>17.7624</v>
      </c>
      <c r="E159" s="11" t="n">
        <v>18.3175</v>
      </c>
      <c r="F159" s="12" t="n">
        <f aca="false">IF(C159="","",B159/C159)</f>
        <v>571.577447768558</v>
      </c>
      <c r="G159" s="12" t="n">
        <f aca="false">MEDIAN(F149:F169)</f>
        <v>565.771819461552</v>
      </c>
      <c r="H159" s="13" t="n">
        <f aca="false">B159/G159</f>
        <v>18.2250151833529</v>
      </c>
      <c r="I159" s="14" t="n">
        <f aca="false">B159/Summary!$C$8*100</f>
        <v>103.327955426842</v>
      </c>
      <c r="J159" s="14" t="n">
        <f aca="false">G159/Summary!$E$8*100</f>
        <v>96.1562156043958</v>
      </c>
      <c r="K159" s="15" t="n">
        <f aca="false">Summary!$D$9</f>
        <v>16.9374488591431</v>
      </c>
      <c r="L159" s="16" t="str">
        <f aca="false">IF(OR(D159="",E159=""),"edge hidden",IF(AND(H159&gt;=D159-0.02,H159&lt;=E159+0.02),"yes","no"))</f>
        <v>yes</v>
      </c>
    </row>
    <row r="160" customFormat="false" ht="15" hidden="false" customHeight="false" outlineLevel="0" collapsed="false">
      <c r="A160" s="9" t="n">
        <v>44005</v>
      </c>
      <c r="B160" s="10" t="n">
        <v>10471</v>
      </c>
      <c r="C160" s="11" t="n">
        <v>18.0557</v>
      </c>
      <c r="D160" s="11" t="n">
        <v>17.7781</v>
      </c>
      <c r="E160" s="11" t="n">
        <v>18.3332</v>
      </c>
      <c r="F160" s="12" t="n">
        <f aca="false">IF(C160="","",B160/C160)</f>
        <v>579.927668270962</v>
      </c>
      <c r="G160" s="12" t="n">
        <f aca="false">MEDIAN(F150:F170)</f>
        <v>564.511096183122</v>
      </c>
      <c r="H160" s="13" t="n">
        <f aca="false">B160/G160</f>
        <v>18.5487939400987</v>
      </c>
      <c r="I160" s="14" t="n">
        <f aca="false">B160/Summary!$C$8*100</f>
        <v>104.929302241685</v>
      </c>
      <c r="J160" s="14" t="n">
        <f aca="false">G160/Summary!$E$8*100</f>
        <v>95.9419483411491</v>
      </c>
      <c r="K160" s="15" t="n">
        <f aca="false">Summary!$D$9</f>
        <v>16.9374488591431</v>
      </c>
      <c r="L160" s="16" t="str">
        <f aca="false">IF(OR(D160="",E160=""),"edge hidden",IF(AND(H160&gt;=D160-0.02,H160&lt;=E160+0.02),"yes","no"))</f>
        <v>no</v>
      </c>
    </row>
    <row r="161" customFormat="false" ht="15" hidden="false" customHeight="false" outlineLevel="0" collapsed="false">
      <c r="A161" s="9" t="n">
        <v>44006</v>
      </c>
      <c r="B161" s="10" t="n">
        <v>10305.3</v>
      </c>
      <c r="C161" s="11" t="n">
        <v>18.1738</v>
      </c>
      <c r="D161" s="11" t="n">
        <v>17.9041</v>
      </c>
      <c r="E161" s="11" t="n">
        <v>18.4435</v>
      </c>
      <c r="F161" s="12" t="n">
        <f aca="false">IF(C161="","",B161/C161)</f>
        <v>567.041565330311</v>
      </c>
      <c r="G161" s="12" t="n">
        <f aca="false">MEDIAN(F151:F171)</f>
        <v>563.250372904693</v>
      </c>
      <c r="H161" s="13" t="n">
        <f aca="false">B161/G161</f>
        <v>18.2961263689101</v>
      </c>
      <c r="I161" s="14" t="n">
        <f aca="false">B161/Summary!$C$8*100</f>
        <v>103.268831858584</v>
      </c>
      <c r="J161" s="14" t="n">
        <f aca="false">G161/Summary!$E$8*100</f>
        <v>95.7276810779024</v>
      </c>
      <c r="K161" s="15" t="n">
        <f aca="false">Summary!$D$9</f>
        <v>16.9374488591431</v>
      </c>
      <c r="L161" s="16" t="str">
        <f aca="false">IF(OR(D161="",E161=""),"edge hidden",IF(AND(H161&gt;=D161-0.02,H161&lt;=E161+0.02),"yes","no"))</f>
        <v>yes</v>
      </c>
    </row>
    <row r="162" customFormat="false" ht="15" hidden="false" customHeight="false" outlineLevel="0" collapsed="false">
      <c r="A162" s="9" t="n">
        <v>44007</v>
      </c>
      <c r="B162" s="10" t="n">
        <v>10288.9</v>
      </c>
      <c r="C162" s="11" t="n">
        <v>18.1856</v>
      </c>
      <c r="D162" s="11" t="n">
        <v>17.912</v>
      </c>
      <c r="E162" s="11" t="n">
        <v>18.4592</v>
      </c>
      <c r="F162" s="12" t="n">
        <f aca="false">IF(C162="","",B162/C162)</f>
        <v>565.771819461552</v>
      </c>
      <c r="G162" s="12" t="n">
        <f aca="false">MEDIAN(F152:F172)</f>
        <v>562.494543351835</v>
      </c>
      <c r="H162" s="13" t="n">
        <f aca="false">B162/G162</f>
        <v>18.291555218811</v>
      </c>
      <c r="I162" s="14" t="n">
        <f aca="false">B162/Summary!$C$8*100</f>
        <v>103.104488380716</v>
      </c>
      <c r="J162" s="14" t="n">
        <f aca="false">G162/Summary!$E$8*100</f>
        <v>95.5992234436676</v>
      </c>
      <c r="K162" s="15" t="n">
        <f aca="false">Summary!$D$9</f>
        <v>16.9374488591431</v>
      </c>
      <c r="L162" s="16" t="str">
        <f aca="false">IF(OR(D162="",E162=""),"edge hidden",IF(AND(H162&gt;=D162-0.02,H162&lt;=E162+0.02),"yes","no"))</f>
        <v>yes</v>
      </c>
    </row>
    <row r="163" customFormat="false" ht="15" hidden="false" customHeight="false" outlineLevel="0" collapsed="false">
      <c r="A163" s="9" t="n">
        <v>44008</v>
      </c>
      <c r="B163" s="10" t="n">
        <v>10383</v>
      </c>
      <c r="C163" s="11" t="n">
        <v>18.1974</v>
      </c>
      <c r="D163" s="11" t="n">
        <v>17.9199</v>
      </c>
      <c r="E163" s="11" t="n">
        <v>18.475</v>
      </c>
      <c r="F163" s="12" t="n">
        <f aca="false">IF(C163="","",B163/C163)</f>
        <v>570.576016353985</v>
      </c>
      <c r="G163" s="12" t="n">
        <f aca="false">MEDIAN(F153:F173)</f>
        <v>561.738713798978</v>
      </c>
      <c r="H163" s="13" t="n">
        <f aca="false">B163/G163</f>
        <v>18.4836824397964</v>
      </c>
      <c r="I163" s="14" t="n">
        <f aca="false">B163/Summary!$C$8*100</f>
        <v>104.047459189706</v>
      </c>
      <c r="J163" s="14" t="n">
        <f aca="false">G163/Summary!$E$8*100</f>
        <v>95.4707658094328</v>
      </c>
      <c r="K163" s="15" t="n">
        <f aca="false">Summary!$D$9</f>
        <v>16.9374488591431</v>
      </c>
      <c r="L163" s="16" t="str">
        <f aca="false">IF(OR(D163="",E163=""),"edge hidden",IF(AND(H163&gt;=D163-0.02,H163&lt;=E163+0.02),"yes","no"))</f>
        <v>yes</v>
      </c>
    </row>
    <row r="164" customFormat="false" ht="15" hidden="false" customHeight="false" outlineLevel="0" collapsed="false">
      <c r="A164" s="9" t="n">
        <v>44011</v>
      </c>
      <c r="B164" s="10" t="n">
        <v>10312.4</v>
      </c>
      <c r="C164" s="11" t="n">
        <v>18.6265</v>
      </c>
      <c r="D164" s="11" t="n">
        <v>18.3529</v>
      </c>
      <c r="E164" s="11" t="n">
        <v>18.9002</v>
      </c>
      <c r="F164" s="12" t="n">
        <f aca="false">IF(C164="","",B164/C164)</f>
        <v>553.641317477787</v>
      </c>
      <c r="G164" s="12" t="n">
        <f aca="false">MEDIAN(F154:F174)</f>
        <v>561.7286095871</v>
      </c>
      <c r="H164" s="13" t="n">
        <f aca="false">B164/G164</f>
        <v>18.3583314504493</v>
      </c>
      <c r="I164" s="14" t="n">
        <f aca="false">B164/Summary!$C$8*100</f>
        <v>103.339980559369</v>
      </c>
      <c r="J164" s="14" t="n">
        <f aca="false">G164/Summary!$E$8*100</f>
        <v>95.4690485397802</v>
      </c>
      <c r="K164" s="15" t="n">
        <f aca="false">Summary!$D$9</f>
        <v>16.9374488591431</v>
      </c>
      <c r="L164" s="16" t="str">
        <f aca="false">IF(OR(D164="",E164=""),"edge hidden",IF(AND(H164&gt;=D164-0.02,H164&lt;=E164+0.02),"yes","no"))</f>
        <v>yes</v>
      </c>
    </row>
    <row r="165" customFormat="false" ht="15" hidden="false" customHeight="false" outlineLevel="0" collapsed="false">
      <c r="A165" s="9" t="n">
        <v>44012</v>
      </c>
      <c r="B165" s="10" t="n">
        <v>10302.1</v>
      </c>
      <c r="C165" s="11" t="n">
        <v>18.6699</v>
      </c>
      <c r="D165" s="11" t="n">
        <v>18.3844</v>
      </c>
      <c r="E165" s="11" t="n">
        <v>18.9553</v>
      </c>
      <c r="F165" s="12" t="n">
        <f aca="false">IF(C165="","",B165/C165)</f>
        <v>551.802634186578</v>
      </c>
      <c r="G165" s="12" t="n">
        <f aca="false">MEDIAN(F155:F175)</f>
        <v>561.718505375222</v>
      </c>
      <c r="H165" s="13" t="n">
        <f aca="false">B165/G165</f>
        <v>18.3403250941827</v>
      </c>
      <c r="I165" s="14" t="n">
        <f aca="false">B165/Summary!$C$8*100</f>
        <v>103.236764838513</v>
      </c>
      <c r="J165" s="14" t="n">
        <f aca="false">G165/Summary!$E$8*100</f>
        <v>95.4673312701276</v>
      </c>
      <c r="K165" s="15" t="n">
        <f aca="false">Summary!$D$9</f>
        <v>16.9374488591431</v>
      </c>
      <c r="L165" s="16" t="str">
        <f aca="false">IF(OR(D165="",E165=""),"edge hidden",IF(AND(H165&gt;=D165-0.02,H165&lt;=E165+0.02),"yes","no"))</f>
        <v>no</v>
      </c>
    </row>
    <row r="166" customFormat="false" ht="15" hidden="false" customHeight="false" outlineLevel="0" collapsed="false">
      <c r="A166" s="9" t="n">
        <v>44013</v>
      </c>
      <c r="B166" s="10" t="n">
        <v>10430.05</v>
      </c>
      <c r="C166" s="11" t="n">
        <v>18.6935</v>
      </c>
      <c r="D166" s="11" t="n">
        <v>18.4002</v>
      </c>
      <c r="E166" s="11" t="n">
        <v>18.9868</v>
      </c>
      <c r="F166" s="12" t="n">
        <f aca="false">IF(C166="","",B166/C166)</f>
        <v>557.95062454864</v>
      </c>
      <c r="G166" s="12" t="n">
        <f aca="false">MEDIAN(F156:F176)</f>
        <v>560.745423225992</v>
      </c>
      <c r="H166" s="13" t="n">
        <f aca="false">B166/G166</f>
        <v>18.6003301462462</v>
      </c>
      <c r="I166" s="14" t="n">
        <f aca="false">B166/Summary!$C$8*100</f>
        <v>104.518944594202</v>
      </c>
      <c r="J166" s="14" t="n">
        <f aca="false">G166/Summary!$E$8*100</f>
        <v>95.3019502919248</v>
      </c>
      <c r="K166" s="15" t="n">
        <f aca="false">Summary!$D$9</f>
        <v>16.9374488591431</v>
      </c>
      <c r="L166" s="16" t="str">
        <f aca="false">IF(OR(D166="",E166=""),"edge hidden",IF(AND(H166&gt;=D166-0.02,H166&lt;=E166+0.02),"yes","no"))</f>
        <v>yes</v>
      </c>
    </row>
    <row r="167" customFormat="false" ht="15" hidden="false" customHeight="false" outlineLevel="0" collapsed="false">
      <c r="A167" s="9" t="n">
        <v>44014</v>
      </c>
      <c r="B167" s="10" t="n">
        <v>10551.7</v>
      </c>
      <c r="C167" s="11" t="n">
        <v>18.784</v>
      </c>
      <c r="D167" s="11" t="n">
        <v>18.408</v>
      </c>
      <c r="E167" s="11" t="n">
        <v>19.16</v>
      </c>
      <c r="F167" s="12" t="n">
        <f aca="false">IF(C167="","",B167/C167)</f>
        <v>561.738713798978</v>
      </c>
      <c r="G167" s="12" t="n">
        <f aca="false">MEDIAN(F157:F177)</f>
        <v>559.772341076762</v>
      </c>
      <c r="H167" s="13" t="n">
        <f aca="false">B167/G167</f>
        <v>18.8499845842741</v>
      </c>
      <c r="I167" s="14" t="n">
        <f aca="false">B167/Summary!$C$8*100</f>
        <v>105.737992404125</v>
      </c>
      <c r="J167" s="14" t="n">
        <f aca="false">G167/Summary!$E$8*100</f>
        <v>95.136569313722</v>
      </c>
      <c r="K167" s="15" t="n">
        <f aca="false">Summary!$D$9</f>
        <v>16.9374488591431</v>
      </c>
      <c r="L167" s="16" t="str">
        <f aca="false">IF(OR(D167="",E167=""),"edge hidden",IF(AND(H167&gt;=D167-0.02,H167&lt;=E167+0.02),"yes","no"))</f>
        <v>yes</v>
      </c>
    </row>
    <row r="168" customFormat="false" ht="15" hidden="false" customHeight="false" outlineLevel="0" collapsed="false">
      <c r="A168" s="9" t="n">
        <v>44015</v>
      </c>
      <c r="B168" s="10" t="n">
        <v>10607.35</v>
      </c>
      <c r="C168" s="11" t="n">
        <v>18.9494</v>
      </c>
      <c r="D168" s="11" t="n">
        <v>18.6206</v>
      </c>
      <c r="E168" s="11" t="n">
        <v>19.2781</v>
      </c>
      <c r="F168" s="12" t="n">
        <f aca="false">IF(C168="","",B168/C168)</f>
        <v>559.772341076762</v>
      </c>
      <c r="G168" s="12" t="n">
        <f aca="false">MEDIAN(F158:F178)</f>
        <v>557.95062454864</v>
      </c>
      <c r="H168" s="13" t="n">
        <f aca="false">B168/G168</f>
        <v>19.0112700538348</v>
      </c>
      <c r="I168" s="14" t="n">
        <f aca="false">B168/Summary!$C$8*100</f>
        <v>106.295657925063</v>
      </c>
      <c r="J168" s="14" t="n">
        <f aca="false">G168/Summary!$E$8*100</f>
        <v>94.826957980632</v>
      </c>
      <c r="K168" s="15" t="n">
        <f aca="false">Summary!$D$9</f>
        <v>16.9374488591431</v>
      </c>
      <c r="L168" s="16" t="str">
        <f aca="false">IF(OR(D168="",E168=""),"edge hidden",IF(AND(H168&gt;=D168-0.02,H168&lt;=E168+0.02),"yes","no"))</f>
        <v>yes</v>
      </c>
    </row>
    <row r="169" customFormat="false" ht="15" hidden="false" customHeight="false" outlineLevel="0" collapsed="false">
      <c r="A169" s="9" t="n">
        <v>44018</v>
      </c>
      <c r="B169" s="10" t="n">
        <v>10763.65</v>
      </c>
      <c r="C169" s="11" t="n">
        <v>19.162</v>
      </c>
      <c r="D169" s="11" t="n">
        <v>18.9907</v>
      </c>
      <c r="E169" s="11" t="n">
        <v>19.3332</v>
      </c>
      <c r="F169" s="12" t="n">
        <f aca="false">IF(C169="","",B169/C169)</f>
        <v>561.718505375222</v>
      </c>
      <c r="G169" s="12" t="n">
        <f aca="false">MEDIAN(F159:F179)</f>
        <v>555.842557786962</v>
      </c>
      <c r="H169" s="13" t="n">
        <f aca="false">B169/G169</f>
        <v>19.3645661873292</v>
      </c>
      <c r="I169" s="14" t="n">
        <f aca="false">B169/Summary!$C$8*100</f>
        <v>107.861931436703</v>
      </c>
      <c r="J169" s="14" t="n">
        <f aca="false">G169/Summary!$E$8*100</f>
        <v>94.4686797577306</v>
      </c>
      <c r="K169" s="15" t="n">
        <f aca="false">Summary!$D$9</f>
        <v>16.9374488591431</v>
      </c>
      <c r="L169" s="16" t="str">
        <f aca="false">IF(OR(D169="",E169=""),"edge hidden",IF(AND(H169&gt;=D169-0.02,H169&lt;=E169+0.02),"yes","no"))</f>
        <v>no</v>
      </c>
    </row>
    <row r="170" customFormat="false" ht="15" hidden="false" customHeight="false" outlineLevel="0" collapsed="false">
      <c r="A170" s="9" t="n">
        <v>44019</v>
      </c>
      <c r="B170" s="10" t="n">
        <v>10799.65</v>
      </c>
      <c r="C170" s="11" t="n">
        <v>19.1738</v>
      </c>
      <c r="D170" s="11" t="n">
        <v>19.0065</v>
      </c>
      <c r="E170" s="11" t="n">
        <v>19.3411</v>
      </c>
      <c r="F170" s="12" t="n">
        <f aca="false">IF(C170="","",B170/C170)</f>
        <v>563.250372904693</v>
      </c>
      <c r="G170" s="12" t="n">
        <f aca="false">MEDIAN(F160:F180)</f>
        <v>555.842557786962</v>
      </c>
      <c r="H170" s="13" t="n">
        <f aca="false">B170/G170</f>
        <v>19.4293327286738</v>
      </c>
      <c r="I170" s="14" t="n">
        <f aca="false">B170/Summary!$C$8*100</f>
        <v>108.222685412512</v>
      </c>
      <c r="J170" s="14" t="n">
        <f aca="false">G170/Summary!$E$8*100</f>
        <v>94.4686797577306</v>
      </c>
      <c r="K170" s="15" t="n">
        <f aca="false">Summary!$D$9</f>
        <v>16.9374488591431</v>
      </c>
      <c r="L170" s="16" t="str">
        <f aca="false">IF(OR(D170="",E170=""),"edge hidden",IF(AND(H170&gt;=D170-0.02,H170&lt;=E170+0.02),"yes","no"))</f>
        <v>no</v>
      </c>
    </row>
    <row r="171" customFormat="false" ht="15" hidden="false" customHeight="false" outlineLevel="0" collapsed="false">
      <c r="A171" s="9" t="n">
        <v>44020</v>
      </c>
      <c r="B171" s="10" t="n">
        <v>10705.75</v>
      </c>
      <c r="C171" s="11" t="n">
        <v>19.2604</v>
      </c>
      <c r="D171" s="11" t="n">
        <v>19.1403</v>
      </c>
      <c r="E171" s="11" t="n">
        <v>19.3805</v>
      </c>
      <c r="F171" s="12" t="n">
        <f aca="false">IF(C171="","",B171/C171)</f>
        <v>555.842557786962</v>
      </c>
      <c r="G171" s="12" t="n">
        <f aca="false">MEDIAN(F161:F181)</f>
        <v>555.641481511931</v>
      </c>
      <c r="H171" s="13" t="n">
        <f aca="false">B171/G171</f>
        <v>19.2673699790539</v>
      </c>
      <c r="I171" s="14" t="n">
        <f aca="false">B171/Summary!$C$8*100</f>
        <v>107.281718792276</v>
      </c>
      <c r="J171" s="14" t="n">
        <f aca="false">G171/Summary!$E$8*100</f>
        <v>94.4345056737808</v>
      </c>
      <c r="K171" s="15" t="n">
        <f aca="false">Summary!$D$9</f>
        <v>16.9374488591431</v>
      </c>
      <c r="L171" s="16" t="str">
        <f aca="false">IF(OR(D171="",E171=""),"edge hidden",IF(AND(H171&gt;=D171-0.02,H171&lt;=E171+0.02),"yes","no"))</f>
        <v>yes</v>
      </c>
    </row>
    <row r="172" customFormat="false" ht="15" hidden="false" customHeight="false" outlineLevel="0" collapsed="false">
      <c r="A172" s="9" t="n">
        <v>44021</v>
      </c>
      <c r="B172" s="10" t="n">
        <v>10813.45</v>
      </c>
      <c r="C172" s="11" t="n">
        <v>19.4612</v>
      </c>
      <c r="D172" s="11" t="n">
        <v>19.1561</v>
      </c>
      <c r="E172" s="11" t="n">
        <v>19.7663</v>
      </c>
      <c r="F172" s="12" t="n">
        <f aca="false">IF(C172="","",B172/C172)</f>
        <v>555.641481511931</v>
      </c>
      <c r="G172" s="12" t="n">
        <f aca="false">MEDIAN(F162:F182)</f>
        <v>555.39901453438</v>
      </c>
      <c r="H172" s="13" t="n">
        <f aca="false">B172/G172</f>
        <v>19.4696960509832</v>
      </c>
      <c r="I172" s="14" t="n">
        <f aca="false">B172/Summary!$C$8*100</f>
        <v>108.360974436572</v>
      </c>
      <c r="J172" s="14" t="n">
        <f aca="false">G172/Summary!$E$8*100</f>
        <v>94.3932969988903</v>
      </c>
      <c r="K172" s="15" t="n">
        <f aca="false">Summary!$D$9</f>
        <v>16.9374488591431</v>
      </c>
      <c r="L172" s="16" t="str">
        <f aca="false">IF(OR(D172="",E172=""),"edge hidden",IF(AND(H172&gt;=D172-0.02,H172&lt;=E172+0.02),"yes","no"))</f>
        <v>yes</v>
      </c>
    </row>
    <row r="173" customFormat="false" ht="15" hidden="false" customHeight="false" outlineLevel="0" collapsed="false">
      <c r="A173" s="9" t="n">
        <v>44022</v>
      </c>
      <c r="B173" s="10" t="n">
        <v>10768.05</v>
      </c>
      <c r="C173" s="11" t="n">
        <v>19.4769</v>
      </c>
      <c r="D173" s="11" t="n">
        <v>19.1639</v>
      </c>
      <c r="E173" s="11" t="n">
        <v>19.7899</v>
      </c>
      <c r="F173" s="12" t="n">
        <f aca="false">IF(C173="","",B173/C173)</f>
        <v>552.862621875144</v>
      </c>
      <c r="G173" s="12" t="n">
        <f aca="false">MEDIAN(F163:F183)</f>
        <v>554.431678395163</v>
      </c>
      <c r="H173" s="13" t="n">
        <f aca="false">B173/G173</f>
        <v>19.4217798506189</v>
      </c>
      <c r="I173" s="14" t="n">
        <f aca="false">B173/Summary!$C$8*100</f>
        <v>107.906023589302</v>
      </c>
      <c r="J173" s="14" t="n">
        <f aca="false">G173/Summary!$E$8*100</f>
        <v>94.2288925885522</v>
      </c>
      <c r="K173" s="15" t="n">
        <f aca="false">Summary!$D$9</f>
        <v>16.9374488591431</v>
      </c>
      <c r="L173" s="16" t="str">
        <f aca="false">IF(OR(D173="",E173=""),"edge hidden",IF(AND(H173&gt;=D173-0.02,H173&lt;=E173+0.02),"yes","no"))</f>
        <v>yes</v>
      </c>
    </row>
    <row r="174" customFormat="false" ht="15" hidden="false" customHeight="false" outlineLevel="0" collapsed="false">
      <c r="A174" s="9" t="n">
        <v>44025</v>
      </c>
      <c r="B174" s="10" t="n">
        <v>10802.7</v>
      </c>
      <c r="C174" s="11" t="n">
        <v>19.5399</v>
      </c>
      <c r="D174" s="11" t="n">
        <v>19.2663</v>
      </c>
      <c r="E174" s="11" t="n">
        <v>19.8136</v>
      </c>
      <c r="F174" s="12" t="n">
        <f aca="false">IF(C174="","",B174/C174)</f>
        <v>552.853392289623</v>
      </c>
      <c r="G174" s="12" t="n">
        <f aca="false">MEDIAN(F164:F184)</f>
        <v>554.020479775109</v>
      </c>
      <c r="H174" s="13" t="n">
        <f aca="false">B174/G174</f>
        <v>19.498737671909</v>
      </c>
      <c r="I174" s="14" t="n">
        <f aca="false">B174/Summary!$C$8*100</f>
        <v>108.253249291018</v>
      </c>
      <c r="J174" s="14" t="n">
        <f aca="false">G174/Summary!$E$8*100</f>
        <v>94.1590069883754</v>
      </c>
      <c r="K174" s="15" t="n">
        <f aca="false">Summary!$D$9</f>
        <v>16.9374488591431</v>
      </c>
      <c r="L174" s="16" t="str">
        <f aca="false">IF(OR(D174="",E174=""),"edge hidden",IF(AND(H174&gt;=D174-0.02,H174&lt;=E174+0.02),"yes","no"))</f>
        <v>yes</v>
      </c>
    </row>
    <row r="175" customFormat="false" ht="15" hidden="false" customHeight="false" outlineLevel="0" collapsed="false">
      <c r="A175" s="9" t="n">
        <v>44026</v>
      </c>
      <c r="B175" s="10" t="n">
        <v>10607.35</v>
      </c>
      <c r="C175" s="11" t="n">
        <v>19.5478</v>
      </c>
      <c r="D175" s="11" t="n">
        <v>19.2899</v>
      </c>
      <c r="E175" s="11" t="n">
        <v>19.8057</v>
      </c>
      <c r="F175" s="12" t="n">
        <f aca="false">IF(C175="","",B175/C175)</f>
        <v>542.636511525594</v>
      </c>
      <c r="G175" s="12" t="n">
        <f aca="false">MEDIAN(F165:F185)</f>
        <v>554.431678395163</v>
      </c>
      <c r="H175" s="13" t="n">
        <f aca="false">B175/G175</f>
        <v>19.1319334975657</v>
      </c>
      <c r="I175" s="14" t="n">
        <f aca="false">B175/Summary!$C$8*100</f>
        <v>106.295657925063</v>
      </c>
      <c r="J175" s="14" t="n">
        <f aca="false">G175/Summary!$E$8*100</f>
        <v>94.2288925885522</v>
      </c>
      <c r="K175" s="15" t="n">
        <f aca="false">Summary!$D$9</f>
        <v>16.9374488591431</v>
      </c>
      <c r="L175" s="16" t="str">
        <f aca="false">IF(OR(D175="",E175=""),"edge hidden",IF(AND(H175&gt;=D175-0.02,H175&lt;=E175+0.02),"yes","no"))</f>
        <v>no</v>
      </c>
    </row>
    <row r="176" customFormat="false" ht="15" hidden="false" customHeight="false" outlineLevel="0" collapsed="false">
      <c r="A176" s="9" t="n">
        <v>44027</v>
      </c>
      <c r="B176" s="10" t="n">
        <v>10618.2</v>
      </c>
      <c r="C176" s="11" t="n">
        <v>19.599</v>
      </c>
      <c r="D176" s="11" t="n">
        <v>19.3844</v>
      </c>
      <c r="E176" s="11" t="n">
        <v>19.8136</v>
      </c>
      <c r="F176" s="12" t="n">
        <f aca="false">IF(C176="","",B176/C176)</f>
        <v>541.772539415276</v>
      </c>
      <c r="G176" s="12" t="n">
        <f aca="false">MEDIAN(F166:F186)</f>
        <v>554.431678395163</v>
      </c>
      <c r="H176" s="13" t="n">
        <f aca="false">B176/G176</f>
        <v>19.1515030864308</v>
      </c>
      <c r="I176" s="14" t="n">
        <f aca="false">B176/Summary!$C$8*100</f>
        <v>106.404385164995</v>
      </c>
      <c r="J176" s="14" t="n">
        <f aca="false">G176/Summary!$E$8*100</f>
        <v>94.2288925885522</v>
      </c>
      <c r="K176" s="15" t="n">
        <f aca="false">Summary!$D$9</f>
        <v>16.9374488591431</v>
      </c>
      <c r="L176" s="16" t="str">
        <f aca="false">IF(OR(D176="",E176=""),"edge hidden",IF(AND(H176&gt;=D176-0.02,H176&lt;=E176+0.02),"yes","no"))</f>
        <v>no</v>
      </c>
    </row>
    <row r="177" customFormat="false" ht="15" hidden="false" customHeight="false" outlineLevel="0" collapsed="false">
      <c r="A177" s="9" t="n">
        <v>44028</v>
      </c>
      <c r="B177" s="10" t="n">
        <v>10739.95</v>
      </c>
      <c r="C177" s="11" t="n">
        <v>19.658</v>
      </c>
      <c r="D177" s="11" t="n">
        <v>19.408</v>
      </c>
      <c r="E177" s="11" t="n">
        <v>19.908</v>
      </c>
      <c r="F177" s="12" t="n">
        <f aca="false">IF(C177="","",B177/C177)</f>
        <v>546.339912503815</v>
      </c>
      <c r="G177" s="12" t="n">
        <f aca="false">MEDIAN(F167:F187)</f>
        <v>554.020479775109</v>
      </c>
      <c r="H177" s="13" t="n">
        <f aca="false">B177/G177</f>
        <v>19.3854747108981</v>
      </c>
      <c r="I177" s="14" t="n">
        <f aca="false">B177/Summary!$C$8*100</f>
        <v>107.624435069295</v>
      </c>
      <c r="J177" s="14" t="n">
        <f aca="false">G177/Summary!$E$8*100</f>
        <v>94.1590069883754</v>
      </c>
      <c r="K177" s="15" t="n">
        <f aca="false">Summary!$D$9</f>
        <v>16.9374488591431</v>
      </c>
      <c r="L177" s="16" t="str">
        <f aca="false">IF(OR(D177="",E177=""),"edge hidden",IF(AND(H177&gt;=D177-0.02,H177&lt;=E177+0.02),"yes","no"))</f>
        <v>no</v>
      </c>
    </row>
    <row r="178" customFormat="false" ht="15" hidden="false" customHeight="false" outlineLevel="0" collapsed="false">
      <c r="A178" s="9" t="n">
        <v>44029</v>
      </c>
      <c r="B178" s="10" t="n">
        <v>10901.7</v>
      </c>
      <c r="C178" s="11" t="n">
        <v>19.784</v>
      </c>
      <c r="D178" s="11" t="n">
        <v>19.4238</v>
      </c>
      <c r="E178" s="11" t="n">
        <v>20.1443</v>
      </c>
      <c r="F178" s="12" t="n">
        <f aca="false">IF(C178="","",B178/C178)</f>
        <v>551.036190861302</v>
      </c>
      <c r="G178" s="12" t="n">
        <f aca="false">MEDIAN(F168:F188)</f>
        <v>552.943179799017</v>
      </c>
      <c r="H178" s="13" t="n">
        <f aca="false">B178/G178</f>
        <v>19.7157689944969</v>
      </c>
      <c r="I178" s="14" t="n">
        <f aca="false">B178/Summary!$C$8*100</f>
        <v>109.245322724494</v>
      </c>
      <c r="J178" s="14" t="n">
        <f aca="false">G178/Summary!$E$8*100</f>
        <v>93.9759135835638</v>
      </c>
      <c r="K178" s="15" t="n">
        <f aca="false">Summary!$D$9</f>
        <v>16.9374488591431</v>
      </c>
      <c r="L178" s="16" t="str">
        <f aca="false">IF(OR(D178="",E178=""),"edge hidden",IF(AND(H178&gt;=D178-0.02,H178&lt;=E178+0.02),"yes","no"))</f>
        <v>yes</v>
      </c>
    </row>
    <row r="179" customFormat="false" ht="15" hidden="false" customHeight="false" outlineLevel="0" collapsed="false">
      <c r="A179" s="9" t="n">
        <v>44032</v>
      </c>
      <c r="B179" s="10" t="n">
        <v>11022.2</v>
      </c>
      <c r="C179" s="11" t="n">
        <v>20.0006</v>
      </c>
      <c r="D179" s="11" t="n">
        <v>19.7309</v>
      </c>
      <c r="E179" s="11" t="n">
        <v>20.2702</v>
      </c>
      <c r="F179" s="12" t="n">
        <f aca="false">IF(C179="","",B179/C179)</f>
        <v>551.093467195984</v>
      </c>
      <c r="G179" s="12" t="n">
        <f aca="false">MEDIAN(F169:F189)</f>
        <v>552.862621875144</v>
      </c>
      <c r="H179" s="13" t="n">
        <f aca="false">B179/G179</f>
        <v>19.9365982865979</v>
      </c>
      <c r="I179" s="14" t="n">
        <f aca="false">B179/Summary!$C$8*100</f>
        <v>110.452846449079</v>
      </c>
      <c r="J179" s="14" t="n">
        <f aca="false">G179/Summary!$E$8*100</f>
        <v>93.9622222952563</v>
      </c>
      <c r="K179" s="15" t="n">
        <f aca="false">Summary!$D$9</f>
        <v>16.9374488591431</v>
      </c>
      <c r="L179" s="16" t="str">
        <f aca="false">IF(OR(D179="",E179=""),"edge hidden",IF(AND(H179&gt;=D179-0.02,H179&lt;=E179+0.02),"yes","no"))</f>
        <v>yes</v>
      </c>
    </row>
    <row r="180" customFormat="false" ht="15" hidden="false" customHeight="false" outlineLevel="0" collapsed="false">
      <c r="A180" s="9" t="n">
        <v>44033</v>
      </c>
      <c r="B180" s="10" t="n">
        <v>11162.25</v>
      </c>
      <c r="C180" s="11" t="n">
        <v>20.0124</v>
      </c>
      <c r="D180" s="11" t="n">
        <v>19.7466</v>
      </c>
      <c r="E180" s="11" t="n">
        <v>20.2781</v>
      </c>
      <c r="F180" s="12" t="n">
        <f aca="false">IF(C180="","",B180/C180)</f>
        <v>557.766684655514</v>
      </c>
      <c r="G180" s="12" t="n">
        <f aca="false">MEDIAN(F170:F190)</f>
        <v>552.853392289623</v>
      </c>
      <c r="H180" s="13" t="n">
        <f aca="false">B180/G180</f>
        <v>20.1902532491877</v>
      </c>
      <c r="I180" s="14" t="n">
        <f aca="false">B180/Summary!$C$8*100</f>
        <v>111.856279624415</v>
      </c>
      <c r="J180" s="14" t="n">
        <f aca="false">G180/Summary!$E$8*100</f>
        <v>93.9606536734465</v>
      </c>
      <c r="K180" s="15" t="n">
        <f aca="false">Summary!$D$9</f>
        <v>16.9374488591431</v>
      </c>
      <c r="L180" s="16" t="str">
        <f aca="false">IF(OR(D180="",E180=""),"edge hidden",IF(AND(H180&gt;=D180-0.02,H180&lt;=E180+0.02),"yes","no"))</f>
        <v>yes</v>
      </c>
    </row>
    <row r="181" customFormat="false" ht="15" hidden="false" customHeight="false" outlineLevel="0" collapsed="false">
      <c r="A181" s="9" t="n">
        <v>44034</v>
      </c>
      <c r="B181" s="10" t="n">
        <v>11132.6</v>
      </c>
      <c r="C181" s="11" t="n">
        <v>20.0793</v>
      </c>
      <c r="D181" s="11" t="n">
        <v>19.8726</v>
      </c>
      <c r="E181" s="11" t="n">
        <v>20.286</v>
      </c>
      <c r="F181" s="12" t="n">
        <f aca="false">IF(C181="","",B181/C181)</f>
        <v>554.431678395163</v>
      </c>
      <c r="G181" s="12" t="n">
        <f aca="false">MEDIAN(F171:F191)</f>
        <v>552.697737862918</v>
      </c>
      <c r="H181" s="13" t="n">
        <f aca="false">B181/G181</f>
        <v>20.1422934044307</v>
      </c>
      <c r="I181" s="14" t="n">
        <f aca="false">B181/Summary!$C$8*100</f>
        <v>111.559158641561</v>
      </c>
      <c r="J181" s="14" t="n">
        <f aca="false">G181/Summary!$E$8*100</f>
        <v>93.9341992971429</v>
      </c>
      <c r="K181" s="15" t="n">
        <f aca="false">Summary!$D$9</f>
        <v>16.9374488591431</v>
      </c>
      <c r="L181" s="16" t="str">
        <f aca="false">IF(OR(D181="",E181=""),"edge hidden",IF(AND(H181&gt;=D181-0.02,H181&lt;=E181+0.02),"yes","no"))</f>
        <v>yes</v>
      </c>
    </row>
    <row r="182" customFormat="false" ht="15" hidden="false" customHeight="false" outlineLevel="0" collapsed="false">
      <c r="A182" s="9" t="n">
        <v>44035</v>
      </c>
      <c r="B182" s="10" t="n">
        <v>11215.45</v>
      </c>
      <c r="C182" s="11" t="n">
        <v>20.1935</v>
      </c>
      <c r="D182" s="11" t="n">
        <v>20.101</v>
      </c>
      <c r="E182" s="11" t="n">
        <v>20.286</v>
      </c>
      <c r="F182" s="12" t="n">
        <f aca="false">IF(C182="","",B182/C182)</f>
        <v>555.39901453438</v>
      </c>
      <c r="G182" s="12" t="n">
        <f aca="false">MEDIAN(F172:F192)</f>
        <v>552.697737862918</v>
      </c>
      <c r="H182" s="13" t="n">
        <f aca="false">B182/G182</f>
        <v>20.2921945064695</v>
      </c>
      <c r="I182" s="14" t="n">
        <f aca="false">B182/Summary!$C$8*100</f>
        <v>112.389393833111</v>
      </c>
      <c r="J182" s="14" t="n">
        <f aca="false">G182/Summary!$E$8*100</f>
        <v>93.9341992971429</v>
      </c>
      <c r="K182" s="15" t="n">
        <f aca="false">Summary!$D$9</f>
        <v>16.9374488591431</v>
      </c>
      <c r="L182" s="16" t="str">
        <f aca="false">IF(OR(D182="",E182=""),"edge hidden",IF(AND(H182&gt;=D182-0.02,H182&lt;=E182+0.02),"yes","no"))</f>
        <v>yes</v>
      </c>
    </row>
    <row r="183" customFormat="false" ht="15" hidden="false" customHeight="false" outlineLevel="0" collapsed="false">
      <c r="A183" s="9" t="n">
        <v>44036</v>
      </c>
      <c r="B183" s="10" t="n">
        <v>11194.15</v>
      </c>
      <c r="C183" s="11" t="n">
        <v>20.2053</v>
      </c>
      <c r="D183" s="11" t="n">
        <v>20.1167</v>
      </c>
      <c r="E183" s="11" t="n">
        <v>20.2939</v>
      </c>
      <c r="F183" s="12" t="n">
        <f aca="false">IF(C183="","",B183/C183)</f>
        <v>554.020479775109</v>
      </c>
      <c r="G183" s="12" t="n">
        <f aca="false">MEDIAN(F173:F193)</f>
        <v>552.352377817017</v>
      </c>
      <c r="H183" s="13" t="n">
        <f aca="false">B183/G183</f>
        <v>20.2663199246847</v>
      </c>
      <c r="I183" s="14" t="n">
        <f aca="false">B183/Summary!$C$8*100</f>
        <v>112.175947730757</v>
      </c>
      <c r="J183" s="14" t="n">
        <f aca="false">G183/Summary!$E$8*100</f>
        <v>93.8755033460679</v>
      </c>
      <c r="K183" s="15" t="n">
        <f aca="false">Summary!$D$9</f>
        <v>16.9374488591431</v>
      </c>
      <c r="L183" s="16" t="str">
        <f aca="false">IF(OR(D183="",E183=""),"edge hidden",IF(AND(H183&gt;=D183-0.02,H183&lt;=E183+0.02),"yes","no"))</f>
        <v>yes</v>
      </c>
    </row>
    <row r="184" customFormat="false" ht="15" hidden="false" customHeight="false" outlineLevel="0" collapsed="false">
      <c r="A184" s="9" t="n">
        <v>44039</v>
      </c>
      <c r="B184" s="10" t="n">
        <v>11131.8</v>
      </c>
      <c r="C184" s="11" t="n">
        <v>20.2722</v>
      </c>
      <c r="D184" s="11" t="n">
        <v>20.1246</v>
      </c>
      <c r="E184" s="11" t="n">
        <v>20.4199</v>
      </c>
      <c r="F184" s="12" t="n">
        <f aca="false">IF(C184="","",B184/C184)</f>
        <v>549.116524106905</v>
      </c>
      <c r="G184" s="12" t="n">
        <f aca="false">MEDIAN(F174:F194)</f>
        <v>552.29318684119</v>
      </c>
      <c r="H184" s="13" t="n">
        <f aca="false">B184/G184</f>
        <v>20.1555989920276</v>
      </c>
      <c r="I184" s="14" t="n">
        <f aca="false">B184/Summary!$C$8*100</f>
        <v>111.551141886543</v>
      </c>
      <c r="J184" s="14" t="n">
        <f aca="false">G184/Summary!$E$8*100</f>
        <v>93.8654434950153</v>
      </c>
      <c r="K184" s="15" t="n">
        <f aca="false">Summary!$D$9</f>
        <v>16.9374488591431</v>
      </c>
      <c r="L184" s="16" t="str">
        <f aca="false">IF(OR(D184="",E184=""),"edge hidden",IF(AND(H184&gt;=D184-0.02,H184&lt;=E184+0.02),"yes","no"))</f>
        <v>yes</v>
      </c>
    </row>
    <row r="185" customFormat="false" ht="15" hidden="false" customHeight="false" outlineLevel="0" collapsed="false">
      <c r="A185" s="9" t="n">
        <v>44040</v>
      </c>
      <c r="B185" s="10" t="n">
        <v>11300.55</v>
      </c>
      <c r="C185" s="11" t="n">
        <v>20.2683</v>
      </c>
      <c r="D185" s="11" t="n">
        <v>20.1167</v>
      </c>
      <c r="E185" s="11" t="n">
        <v>20.4199</v>
      </c>
      <c r="F185" s="12" t="n">
        <f aca="false">IF(C185="","",B185/C185)</f>
        <v>557.547993664984</v>
      </c>
      <c r="G185" s="12" t="n">
        <f aca="false">MEDIAN(F175:F195)</f>
        <v>552.29318684119</v>
      </c>
      <c r="H185" s="13" t="n">
        <f aca="false">B185/G185</f>
        <v>20.461143228351</v>
      </c>
      <c r="I185" s="14" t="n">
        <f aca="false">B185/Summary!$C$8*100</f>
        <v>113.24217614815</v>
      </c>
      <c r="J185" s="14" t="n">
        <f aca="false">G185/Summary!$E$8*100</f>
        <v>93.8654434950153</v>
      </c>
      <c r="K185" s="15" t="n">
        <f aca="false">Summary!$D$9</f>
        <v>16.9374488591431</v>
      </c>
      <c r="L185" s="16" t="str">
        <f aca="false">IF(OR(D185="",E185=""),"edge hidden",IF(AND(H185&gt;=D185-0.02,H185&lt;=E185+0.02),"yes","no"))</f>
        <v>no</v>
      </c>
    </row>
    <row r="186" customFormat="false" ht="15" hidden="false" customHeight="false" outlineLevel="0" collapsed="false">
      <c r="A186" s="9" t="n">
        <v>44041</v>
      </c>
      <c r="B186" s="10" t="n">
        <v>11202.85</v>
      </c>
      <c r="C186" s="11" t="n">
        <v>20.2604</v>
      </c>
      <c r="D186" s="11" t="n">
        <v>20.101</v>
      </c>
      <c r="E186" s="11" t="n">
        <v>20.4199</v>
      </c>
      <c r="F186" s="12" t="n">
        <f aca="false">IF(C186="","",B186/C186)</f>
        <v>552.943179799017</v>
      </c>
      <c r="G186" s="12" t="n">
        <f aca="false">MEDIAN(F176:F196)</f>
        <v>552.352377817017</v>
      </c>
      <c r="H186" s="13" t="n">
        <f aca="false">B186/G186</f>
        <v>20.2820707394714</v>
      </c>
      <c r="I186" s="14" t="n">
        <f aca="false">B186/Summary!$C$8*100</f>
        <v>112.263129941578</v>
      </c>
      <c r="J186" s="14" t="n">
        <f aca="false">G186/Summary!$E$8*100</f>
        <v>93.8755033460679</v>
      </c>
      <c r="K186" s="15" t="n">
        <f aca="false">Summary!$D$9</f>
        <v>16.9374488591431</v>
      </c>
      <c r="L186" s="16" t="str">
        <f aca="false">IF(OR(D186="",E186=""),"edge hidden",IF(AND(H186&gt;=D186-0.02,H186&lt;=E186+0.02),"yes","no"))</f>
        <v>yes</v>
      </c>
    </row>
    <row r="187" customFormat="false" ht="15" hidden="false" customHeight="false" outlineLevel="0" collapsed="false">
      <c r="A187" s="9" t="n">
        <v>44042</v>
      </c>
      <c r="B187" s="10" t="n">
        <v>11102.15</v>
      </c>
      <c r="C187" s="11" t="n">
        <v>20.0872</v>
      </c>
      <c r="D187" s="11" t="n">
        <v>19.786</v>
      </c>
      <c r="E187" s="11" t="n">
        <v>20.3884</v>
      </c>
      <c r="F187" s="12" t="n">
        <f aca="false">IF(C187="","",B187/C187)</f>
        <v>552.697737862918</v>
      </c>
      <c r="G187" s="12" t="n">
        <f aca="false">MEDIAN(F177:F197)</f>
        <v>552.697737862918</v>
      </c>
      <c r="H187" s="13" t="n">
        <f aca="false">B187/G187</f>
        <v>20.0872</v>
      </c>
      <c r="I187" s="14" t="n">
        <f aca="false">B187/Summary!$C$8*100</f>
        <v>111.254020903689</v>
      </c>
      <c r="J187" s="14" t="n">
        <f aca="false">G187/Summary!$E$8*100</f>
        <v>93.9341992971429</v>
      </c>
      <c r="K187" s="15" t="n">
        <f aca="false">Summary!$D$9</f>
        <v>16.9374488591431</v>
      </c>
      <c r="L187" s="16" t="str">
        <f aca="false">IF(OR(D187="",E187=""),"edge hidden",IF(AND(H187&gt;=D187-0.02,H187&lt;=E187+0.02),"yes","no"))</f>
        <v>yes</v>
      </c>
    </row>
    <row r="188" customFormat="false" ht="15" hidden="false" customHeight="false" outlineLevel="0" collapsed="false">
      <c r="A188" s="9" t="n">
        <v>44043</v>
      </c>
      <c r="B188" s="10" t="n">
        <v>11073.45</v>
      </c>
      <c r="C188" s="11" t="n">
        <v>20.0478</v>
      </c>
      <c r="D188" s="11" t="n">
        <v>19.7702</v>
      </c>
      <c r="E188" s="11" t="n">
        <v>20.3254</v>
      </c>
      <c r="F188" s="12" t="n">
        <f aca="false">IF(C188="","",B188/C188)</f>
        <v>552.352377817017</v>
      </c>
      <c r="G188" s="12" t="n">
        <f aca="false">MEDIAN(F178:F198)</f>
        <v>552.697737862918</v>
      </c>
      <c r="H188" s="13" t="n">
        <f aca="false">B188/G188</f>
        <v>20.0352728831803</v>
      </c>
      <c r="I188" s="14" t="n">
        <f aca="false">B188/Summary!$C$8*100</f>
        <v>110.966419817418</v>
      </c>
      <c r="J188" s="14" t="n">
        <f aca="false">G188/Summary!$E$8*100</f>
        <v>93.9341992971429</v>
      </c>
      <c r="K188" s="15" t="n">
        <f aca="false">Summary!$D$9</f>
        <v>16.9374488591431</v>
      </c>
      <c r="L188" s="16" t="str">
        <f aca="false">IF(OR(D188="",E188=""),"edge hidden",IF(AND(H188&gt;=D188-0.02,H188&lt;=E188+0.02),"yes","no"))</f>
        <v>yes</v>
      </c>
    </row>
    <row r="189" customFormat="false" ht="15" hidden="false" customHeight="false" outlineLevel="0" collapsed="false">
      <c r="A189" s="9" t="n">
        <v>44046</v>
      </c>
      <c r="B189" s="10" t="n">
        <v>10891.6</v>
      </c>
      <c r="C189" s="11" t="n">
        <v>20.1069</v>
      </c>
      <c r="D189" s="11" t="n">
        <v>19.7624</v>
      </c>
      <c r="E189" s="11" t="n">
        <v>20.4514</v>
      </c>
      <c r="F189" s="12" t="n">
        <f aca="false">IF(C189="","",B189/C189)</f>
        <v>541.684695303602</v>
      </c>
      <c r="G189" s="12" t="n">
        <f aca="false">MEDIAN(F179:F199)</f>
        <v>552.943179799017</v>
      </c>
      <c r="H189" s="13" t="n">
        <f aca="false">B189/G189</f>
        <v>19.6975031032282</v>
      </c>
      <c r="I189" s="14" t="n">
        <f aca="false">B189/Summary!$C$8*100</f>
        <v>109.144111192392</v>
      </c>
      <c r="J189" s="14" t="n">
        <f aca="false">G189/Summary!$E$8*100</f>
        <v>93.9759135835638</v>
      </c>
      <c r="K189" s="15" t="n">
        <f aca="false">Summary!$D$9</f>
        <v>16.9374488591431</v>
      </c>
      <c r="L189" s="16" t="str">
        <f aca="false">IF(OR(D189="",E189=""),"edge hidden",IF(AND(H189&gt;=D189-0.02,H189&lt;=E189+0.02),"yes","no"))</f>
        <v>no</v>
      </c>
    </row>
    <row r="190" customFormat="false" ht="15" hidden="false" customHeight="false" outlineLevel="0" collapsed="false">
      <c r="A190" s="9" t="n">
        <v>44047</v>
      </c>
      <c r="B190" s="10" t="n">
        <v>11095.25</v>
      </c>
      <c r="C190" s="11" t="n">
        <v>20.1147</v>
      </c>
      <c r="D190" s="11" t="n">
        <v>19.7624</v>
      </c>
      <c r="E190" s="11" t="n">
        <v>20.4671</v>
      </c>
      <c r="F190" s="12" t="n">
        <f aca="false">IF(C190="","",B190/C190)</f>
        <v>551.599079280327</v>
      </c>
      <c r="G190" s="12" t="n">
        <f aca="false">MEDIAN(F180:F200)</f>
        <v>554.020479775109</v>
      </c>
      <c r="H190" s="13" t="n">
        <f aca="false">B190/G190</f>
        <v>20.0267867435223</v>
      </c>
      <c r="I190" s="14" t="n">
        <f aca="false">B190/Summary!$C$8*100</f>
        <v>111.184876391659</v>
      </c>
      <c r="J190" s="14" t="n">
        <f aca="false">G190/Summary!$E$8*100</f>
        <v>94.1590069883754</v>
      </c>
      <c r="K190" s="15" t="n">
        <f aca="false">Summary!$D$9</f>
        <v>16.9374488591431</v>
      </c>
      <c r="L190" s="16" t="str">
        <f aca="false">IF(OR(D190="",E190=""),"edge hidden",IF(AND(H190&gt;=D190-0.02,H190&lt;=E190+0.02),"yes","no"))</f>
        <v>yes</v>
      </c>
    </row>
    <row r="191" customFormat="false" ht="15" hidden="false" customHeight="false" outlineLevel="0" collapsed="false">
      <c r="A191" s="9" t="n">
        <v>44048</v>
      </c>
      <c r="B191" s="10" t="n">
        <v>11101.65</v>
      </c>
      <c r="C191" s="11" t="n">
        <v>20.1384</v>
      </c>
      <c r="D191" s="11" t="n">
        <v>19.786</v>
      </c>
      <c r="E191" s="11" t="n">
        <v>20.4907</v>
      </c>
      <c r="F191" s="12" t="n">
        <f aca="false">IF(C191="","",B191/C191)</f>
        <v>551.267727326898</v>
      </c>
      <c r="G191" s="12" t="n">
        <f aca="false">MEDIAN(F181:F201)</f>
        <v>554.020479775109</v>
      </c>
      <c r="H191" s="13" t="n">
        <f aca="false">B191/G191</f>
        <v>20.0383386630517</v>
      </c>
      <c r="I191" s="14" t="n">
        <f aca="false">B191/Summary!$C$8*100</f>
        <v>111.249010431802</v>
      </c>
      <c r="J191" s="14" t="n">
        <f aca="false">G191/Summary!$E$8*100</f>
        <v>94.1590069883754</v>
      </c>
      <c r="K191" s="15" t="n">
        <f aca="false">Summary!$D$9</f>
        <v>16.9374488591431</v>
      </c>
      <c r="L191" s="16" t="str">
        <f aca="false">IF(OR(D191="",E191=""),"edge hidden",IF(AND(H191&gt;=D191-0.02,H191&lt;=E191+0.02),"yes","no"))</f>
        <v>yes</v>
      </c>
    </row>
    <row r="192" customFormat="false" ht="15" hidden="false" customHeight="false" outlineLevel="0" collapsed="false">
      <c r="A192" s="9" t="n">
        <v>44049</v>
      </c>
      <c r="B192" s="10" t="n">
        <v>11200.15</v>
      </c>
      <c r="C192" s="11" t="n">
        <v>20.158</v>
      </c>
      <c r="D192" s="11" t="n">
        <v>19.8096</v>
      </c>
      <c r="E192" s="11" t="n">
        <v>20.5065</v>
      </c>
      <c r="F192" s="12" t="n">
        <f aca="false">IF(C192="","",B192/C192)</f>
        <v>555.618116876674</v>
      </c>
      <c r="G192" s="12" t="n">
        <f aca="false">MEDIAN(F182:F202)</f>
        <v>554.020479775109</v>
      </c>
      <c r="H192" s="13" t="n">
        <f aca="false">B192/G192</f>
        <v>20.2161299245588</v>
      </c>
      <c r="I192" s="14" t="n">
        <f aca="false">B192/Summary!$C$8*100</f>
        <v>112.236073393392</v>
      </c>
      <c r="J192" s="14" t="n">
        <f aca="false">G192/Summary!$E$8*100</f>
        <v>94.1590069883754</v>
      </c>
      <c r="K192" s="15" t="n">
        <f aca="false">Summary!$D$9</f>
        <v>16.9374488591431</v>
      </c>
      <c r="L192" s="16" t="str">
        <f aca="false">IF(OR(D192="",E192=""),"edge hidden",IF(AND(H192&gt;=D192-0.02,H192&lt;=E192+0.02),"yes","no"))</f>
        <v>yes</v>
      </c>
    </row>
    <row r="193" customFormat="false" ht="15" hidden="false" customHeight="false" outlineLevel="0" collapsed="false">
      <c r="A193" s="9" t="n">
        <v>44050</v>
      </c>
      <c r="B193" s="10" t="n">
        <v>11214.05</v>
      </c>
      <c r="C193" s="11" t="n">
        <v>20.3273</v>
      </c>
      <c r="D193" s="11" t="n">
        <v>20.1403</v>
      </c>
      <c r="E193" s="11" t="n">
        <v>20.5143</v>
      </c>
      <c r="F193" s="12" t="n">
        <f aca="false">IF(C193="","",B193/C193)</f>
        <v>551.674349274129</v>
      </c>
      <c r="G193" s="12" t="n">
        <f aca="false">MEDIAN(F183:F203)</f>
        <v>554.020479775109</v>
      </c>
      <c r="H193" s="13" t="n">
        <f aca="false">B193/G193</f>
        <v>20.2412192497867</v>
      </c>
      <c r="I193" s="14" t="n">
        <f aca="false">B193/Summary!$C$8*100</f>
        <v>112.37536451183</v>
      </c>
      <c r="J193" s="14" t="n">
        <f aca="false">G193/Summary!$E$8*100</f>
        <v>94.1590069883754</v>
      </c>
      <c r="K193" s="15" t="n">
        <f aca="false">Summary!$D$9</f>
        <v>16.9374488591431</v>
      </c>
      <c r="L193" s="16" t="str">
        <f aca="false">IF(OR(D193="",E193=""),"edge hidden",IF(AND(H193&gt;=D193-0.02,H193&lt;=E193+0.02),"yes","no"))</f>
        <v>yes</v>
      </c>
    </row>
    <row r="194" customFormat="false" ht="15" hidden="false" customHeight="false" outlineLevel="0" collapsed="false">
      <c r="A194" s="9" t="n">
        <v>44053</v>
      </c>
      <c r="B194" s="10" t="n">
        <v>11270.15</v>
      </c>
      <c r="C194" s="11" t="n">
        <v>20.4061</v>
      </c>
      <c r="D194" s="11" t="n">
        <v>20.2269</v>
      </c>
      <c r="E194" s="11" t="n">
        <v>20.5852</v>
      </c>
      <c r="F194" s="12" t="n">
        <f aca="false">IF(C194="","",B194/C194)</f>
        <v>552.29318684119</v>
      </c>
      <c r="G194" s="12" t="n">
        <f aca="false">MEDIAN(F184:F204)</f>
        <v>555.020405343387</v>
      </c>
      <c r="H194" s="13" t="n">
        <f aca="false">B194/G194</f>
        <v>20.3058300046234</v>
      </c>
      <c r="I194" s="14" t="n">
        <f aca="false">B194/Summary!$C$8*100</f>
        <v>112.937539457466</v>
      </c>
      <c r="J194" s="14" t="n">
        <f aca="false">G194/Summary!$E$8*100</f>
        <v>94.3289501619737</v>
      </c>
      <c r="K194" s="15" t="n">
        <f aca="false">Summary!$D$9</f>
        <v>16.9374488591431</v>
      </c>
      <c r="L194" s="16" t="str">
        <f aca="false">IF(OR(D194="",E194=""),"edge hidden",IF(AND(H194&gt;=D194-0.02,H194&lt;=E194+0.02),"yes","no"))</f>
        <v>yes</v>
      </c>
    </row>
    <row r="195" customFormat="false" ht="15" hidden="false" customHeight="false" outlineLevel="0" collapsed="false">
      <c r="A195" s="9" t="n">
        <v>44054</v>
      </c>
      <c r="B195" s="10" t="n">
        <v>11322.5</v>
      </c>
      <c r="C195" s="11" t="n">
        <v>20.3706</v>
      </c>
      <c r="D195" s="11" t="n">
        <v>20.1639</v>
      </c>
      <c r="E195" s="11" t="n">
        <v>20.5773</v>
      </c>
      <c r="F195" s="12" t="n">
        <f aca="false">IF(C195="","",B195/C195)</f>
        <v>555.825552511954</v>
      </c>
      <c r="G195" s="12" t="n">
        <f aca="false">MEDIAN(F185:F205)</f>
        <v>555.455134880248</v>
      </c>
      <c r="H195" s="13" t="n">
        <f aca="false">B195/G195</f>
        <v>20.3841845884475</v>
      </c>
      <c r="I195" s="14" t="n">
        <f aca="false">B195/Summary!$C$8*100</f>
        <v>113.462135863956</v>
      </c>
      <c r="J195" s="14" t="n">
        <f aca="false">G195/Summary!$E$8*100</f>
        <v>94.4028349784988</v>
      </c>
      <c r="K195" s="15" t="n">
        <f aca="false">Summary!$D$9</f>
        <v>16.9374488591431</v>
      </c>
      <c r="L195" s="16" t="str">
        <f aca="false">IF(OR(D195="",E195=""),"edge hidden",IF(AND(H195&gt;=D195-0.02,H195&lt;=E195+0.02),"yes","no"))</f>
        <v>yes</v>
      </c>
    </row>
    <row r="196" customFormat="false" ht="15" hidden="false" customHeight="false" outlineLevel="0" collapsed="false">
      <c r="A196" s="9" t="n">
        <v>44055</v>
      </c>
      <c r="B196" s="10" t="n">
        <v>11308.4</v>
      </c>
      <c r="C196" s="11" t="n">
        <v>20.3588</v>
      </c>
      <c r="D196" s="11" t="n">
        <v>20.1403</v>
      </c>
      <c r="E196" s="11" t="n">
        <v>20.5773</v>
      </c>
      <c r="F196" s="12" t="n">
        <f aca="false">IF(C196="","",B196/C196)</f>
        <v>555.455134880248</v>
      </c>
      <c r="G196" s="12" t="n">
        <f aca="false">MEDIAN(F186:F206)</f>
        <v>555.455134880248</v>
      </c>
      <c r="H196" s="13" t="n">
        <f aca="false">B196/G196</f>
        <v>20.3588</v>
      </c>
      <c r="I196" s="14" t="n">
        <f aca="false">B196/Summary!$C$8*100</f>
        <v>113.320840556764</v>
      </c>
      <c r="J196" s="14" t="n">
        <f aca="false">G196/Summary!$E$8*100</f>
        <v>94.4028349784988</v>
      </c>
      <c r="K196" s="15" t="n">
        <f aca="false">Summary!$D$9</f>
        <v>16.9374488591431</v>
      </c>
      <c r="L196" s="16" t="str">
        <f aca="false">IF(OR(D196="",E196=""),"edge hidden",IF(AND(H196&gt;=D196-0.02,H196&lt;=E196+0.02),"yes","no"))</f>
        <v>yes</v>
      </c>
    </row>
    <row r="197" customFormat="false" ht="15" hidden="false" customHeight="false" outlineLevel="0" collapsed="false">
      <c r="A197" s="9" t="n">
        <v>44056</v>
      </c>
      <c r="B197" s="10" t="n">
        <v>11300.45</v>
      </c>
      <c r="C197" s="11" t="n">
        <v>20.3313</v>
      </c>
      <c r="D197" s="11" t="n">
        <v>20.1088</v>
      </c>
      <c r="E197" s="11" t="n">
        <v>20.5537</v>
      </c>
      <c r="F197" s="12" t="n">
        <f aca="false">IF(C197="","",B197/C197)</f>
        <v>555.815417607335</v>
      </c>
      <c r="G197" s="12" t="n">
        <f aca="false">MEDIAN(F187:F207)</f>
        <v>555.618116876674</v>
      </c>
      <c r="H197" s="13" t="n">
        <f aca="false">B197/G197</f>
        <v>20.3385196716115</v>
      </c>
      <c r="I197" s="14" t="n">
        <f aca="false">B197/Summary!$C$8*100</f>
        <v>113.241174053772</v>
      </c>
      <c r="J197" s="14" t="n">
        <f aca="false">G197/Summary!$E$8*100</f>
        <v>94.4305347179501</v>
      </c>
      <c r="K197" s="15" t="n">
        <f aca="false">Summary!$D$9</f>
        <v>16.9374488591431</v>
      </c>
      <c r="L197" s="16" t="str">
        <f aca="false">IF(OR(D197="",E197=""),"edge hidden",IF(AND(H197&gt;=D197-0.02,H197&lt;=E197+0.02),"yes","no"))</f>
        <v>yes</v>
      </c>
    </row>
    <row r="198" customFormat="false" ht="15" hidden="false" customHeight="false" outlineLevel="0" collapsed="false">
      <c r="A198" s="9" t="n">
        <v>44057</v>
      </c>
      <c r="B198" s="10" t="n">
        <v>11178.4</v>
      </c>
      <c r="C198" s="11" t="n">
        <v>20.3234</v>
      </c>
      <c r="D198" s="11" t="n">
        <v>20.1088</v>
      </c>
      <c r="E198" s="11" t="n">
        <v>20.538</v>
      </c>
      <c r="F198" s="12" t="n">
        <f aca="false">IF(C198="","",B198/C198)</f>
        <v>550.026078313668</v>
      </c>
      <c r="G198" s="12" t="n">
        <f aca="false">MEDIAN(F188:F208)</f>
        <v>555.815417607335</v>
      </c>
      <c r="H198" s="13" t="n">
        <f aca="false">B198/G198</f>
        <v>20.1117127123256</v>
      </c>
      <c r="I198" s="14" t="n">
        <f aca="false">B198/Summary!$C$8*100</f>
        <v>112.018117866341</v>
      </c>
      <c r="J198" s="14" t="n">
        <f aca="false">G198/Summary!$E$8*100</f>
        <v>94.4640671261466</v>
      </c>
      <c r="K198" s="15" t="n">
        <f aca="false">Summary!$D$9</f>
        <v>16.9374488591431</v>
      </c>
      <c r="L198" s="16" t="str">
        <f aca="false">IF(OR(D198="",E198=""),"edge hidden",IF(AND(H198&gt;=D198-0.02,H198&lt;=E198+0.02),"yes","no"))</f>
        <v>yes</v>
      </c>
    </row>
    <row r="199" customFormat="false" ht="15" hidden="false" customHeight="false" outlineLevel="0" collapsed="false">
      <c r="A199" s="9" t="n">
        <v>44060</v>
      </c>
      <c r="B199" s="10" t="n">
        <v>11247.1</v>
      </c>
      <c r="C199" s="11" t="n">
        <v>20.2643</v>
      </c>
      <c r="D199" s="11" t="n">
        <v>20.1088</v>
      </c>
      <c r="E199" s="11" t="n">
        <v>20.4199</v>
      </c>
      <c r="F199" s="12" t="n">
        <f aca="false">IF(C199="","",B199/C199)</f>
        <v>555.020405343387</v>
      </c>
      <c r="G199" s="12" t="n">
        <f aca="false">MEDIAN(F189:F209)</f>
        <v>555.825552511954</v>
      </c>
      <c r="H199" s="13" t="n">
        <f aca="false">B199/G199</f>
        <v>20.2349459271362</v>
      </c>
      <c r="I199" s="14" t="n">
        <f aca="false">B199/Summary!$C$8*100</f>
        <v>112.70655670351</v>
      </c>
      <c r="J199" s="14" t="n">
        <f aca="false">G199/Summary!$E$8*100</f>
        <v>94.4657896122093</v>
      </c>
      <c r="K199" s="15" t="n">
        <f aca="false">Summary!$D$9</f>
        <v>16.9374488591431</v>
      </c>
      <c r="L199" s="16" t="str">
        <f aca="false">IF(OR(D199="",E199=""),"edge hidden",IF(AND(H199&gt;=D199-0.02,H199&lt;=E199+0.02),"yes","no"))</f>
        <v>yes</v>
      </c>
    </row>
    <row r="200" customFormat="false" ht="15" hidden="false" customHeight="false" outlineLevel="0" collapsed="false">
      <c r="A200" s="9" t="n">
        <v>44061</v>
      </c>
      <c r="B200" s="10" t="n">
        <v>11385.35</v>
      </c>
      <c r="C200" s="11" t="n">
        <v>20.2683</v>
      </c>
      <c r="D200" s="11" t="n">
        <v>20.1167</v>
      </c>
      <c r="E200" s="11" t="n">
        <v>20.4199</v>
      </c>
      <c r="F200" s="12" t="n">
        <f aca="false">IF(C200="","",B200/C200)</f>
        <v>561.73186700414</v>
      </c>
      <c r="G200" s="12" t="n">
        <f aca="false">MEDIAN(F190:F210)</f>
        <v>556.6096224057</v>
      </c>
      <c r="H200" s="13" t="n">
        <f aca="false">B200/G200</f>
        <v>20.4548206529234</v>
      </c>
      <c r="I200" s="14" t="n">
        <f aca="false">B200/Summary!$C$8*100</f>
        <v>114.091952180056</v>
      </c>
      <c r="J200" s="14" t="n">
        <f aca="false">G200/Summary!$E$8*100</f>
        <v>94.5990468568415</v>
      </c>
      <c r="K200" s="15" t="n">
        <f aca="false">Summary!$D$9</f>
        <v>16.9374488591431</v>
      </c>
      <c r="L200" s="16" t="str">
        <f aca="false">IF(OR(D200="",E200=""),"edge hidden",IF(AND(H200&gt;=D200-0.02,H200&lt;=E200+0.02),"yes","no"))</f>
        <v>no</v>
      </c>
    </row>
    <row r="201" customFormat="false" ht="15" hidden="false" customHeight="false" outlineLevel="0" collapsed="false">
      <c r="A201" s="9" t="n">
        <v>44062</v>
      </c>
      <c r="B201" s="10" t="n">
        <v>11408.4</v>
      </c>
      <c r="C201" s="11" t="n">
        <v>20.3155</v>
      </c>
      <c r="D201" s="11" t="n">
        <v>20.2112</v>
      </c>
      <c r="E201" s="11" t="n">
        <v>20.4199</v>
      </c>
      <c r="F201" s="12" t="n">
        <f aca="false">IF(C201="","",B201/C201)</f>
        <v>561.561369397751</v>
      </c>
      <c r="G201" s="12" t="n">
        <f aca="false">MEDIAN(F191:F211)</f>
        <v>558.990517669382</v>
      </c>
      <c r="H201" s="13" t="n">
        <f aca="false">B201/G201</f>
        <v>20.4089329593021</v>
      </c>
      <c r="I201" s="14" t="n">
        <f aca="false">B201/Summary!$C$8*100</f>
        <v>114.322934934012</v>
      </c>
      <c r="J201" s="14" t="n">
        <f aca="false">G201/Summary!$E$8*100</f>
        <v>95.0036938725306</v>
      </c>
      <c r="K201" s="15" t="n">
        <f aca="false">Summary!$D$9</f>
        <v>16.9374488591431</v>
      </c>
      <c r="L201" s="16" t="str">
        <f aca="false">IF(OR(D201="",E201=""),"edge hidden",IF(AND(H201&gt;=D201-0.02,H201&lt;=E201+0.02),"yes","no"))</f>
        <v>yes</v>
      </c>
    </row>
    <row r="202" customFormat="false" ht="15" hidden="false" customHeight="false" outlineLevel="0" collapsed="false">
      <c r="A202" s="9" t="n">
        <v>44063</v>
      </c>
      <c r="B202" s="10" t="n">
        <v>11312.2</v>
      </c>
      <c r="C202" s="11" t="n">
        <v>20.3234</v>
      </c>
      <c r="D202" s="11" t="n">
        <v>20.2269</v>
      </c>
      <c r="E202" s="11" t="n">
        <v>20.4199</v>
      </c>
      <c r="F202" s="12" t="n">
        <f aca="false">IF(C202="","",B202/C202)</f>
        <v>556.6096224057</v>
      </c>
      <c r="G202" s="12" t="n">
        <f aca="false">MEDIAN(F192:F212)</f>
        <v>560.532598262411</v>
      </c>
      <c r="H202" s="13" t="n">
        <f aca="false">B202/G202</f>
        <v>20.1811634774973</v>
      </c>
      <c r="I202" s="14" t="n">
        <f aca="false">B202/Summary!$C$8*100</f>
        <v>113.358920143099</v>
      </c>
      <c r="J202" s="14" t="n">
        <f aca="false">G202/Summary!$E$8*100</f>
        <v>95.2657794499348</v>
      </c>
      <c r="K202" s="15" t="n">
        <f aca="false">Summary!$D$9</f>
        <v>16.9374488591431</v>
      </c>
      <c r="L202" s="16" t="str">
        <f aca="false">IF(OR(D202="",E202=""),"edge hidden",IF(AND(H202&gt;=D202-0.02,H202&lt;=E202+0.02),"yes","no"))</f>
        <v>no</v>
      </c>
    </row>
    <row r="203" customFormat="false" ht="15" hidden="false" customHeight="false" outlineLevel="0" collapsed="false">
      <c r="A203" s="9" t="n">
        <v>44064</v>
      </c>
      <c r="B203" s="10" t="n">
        <v>11371.6</v>
      </c>
      <c r="C203" s="11" t="n">
        <v>20.3431</v>
      </c>
      <c r="D203" s="11" t="n">
        <v>20.2506</v>
      </c>
      <c r="E203" s="11" t="n">
        <v>20.4356</v>
      </c>
      <c r="F203" s="12" t="n">
        <f aca="false">IF(C203="","",B203/C203)</f>
        <v>558.990517669382</v>
      </c>
      <c r="G203" s="12" t="n">
        <f aca="false">MEDIAN(F193:F213)</f>
        <v>561.330586761655</v>
      </c>
      <c r="H203" s="13" t="n">
        <f aca="false">B203/G203</f>
        <v>20.2582938970124</v>
      </c>
      <c r="I203" s="14" t="n">
        <f aca="false">B203/Summary!$C$8*100</f>
        <v>113.954164203185</v>
      </c>
      <c r="J203" s="14" t="n">
        <f aca="false">G203/Summary!$E$8*100</f>
        <v>95.4014022426292</v>
      </c>
      <c r="K203" s="15" t="n">
        <f aca="false">Summary!$D$9</f>
        <v>16.9374488591431</v>
      </c>
      <c r="L203" s="16" t="str">
        <f aca="false">IF(OR(D203="",E203=""),"edge hidden",IF(AND(H203&gt;=D203-0.02,H203&lt;=E203+0.02),"yes","no"))</f>
        <v>yes</v>
      </c>
    </row>
    <row r="204" customFormat="false" ht="15" hidden="false" customHeight="false" outlineLevel="0" collapsed="false">
      <c r="A204" s="9" t="n">
        <v>44067</v>
      </c>
      <c r="B204" s="10" t="n">
        <v>11466.45</v>
      </c>
      <c r="C204" s="11" t="n">
        <v>20.4218</v>
      </c>
      <c r="D204" s="11" t="n">
        <v>20.2978</v>
      </c>
      <c r="E204" s="11" t="n">
        <v>20.5458</v>
      </c>
      <c r="F204" s="12" t="n">
        <f aca="false">IF(C204="","",B204/C204)</f>
        <v>561.480868483679</v>
      </c>
      <c r="G204" s="12" t="n">
        <f aca="false">MEDIAN(F194:F214)</f>
        <v>561.480868483679</v>
      </c>
      <c r="H204" s="13" t="n">
        <f aca="false">B204/G204</f>
        <v>20.4218</v>
      </c>
      <c r="I204" s="14" t="n">
        <f aca="false">B204/Summary!$C$8*100</f>
        <v>114.904650720005</v>
      </c>
      <c r="J204" s="14" t="n">
        <f aca="false">G204/Summary!$E$8*100</f>
        <v>95.4269434964833</v>
      </c>
      <c r="K204" s="15" t="n">
        <f aca="false">Summary!$D$9</f>
        <v>16.9374488591431</v>
      </c>
      <c r="L204" s="16" t="str">
        <f aca="false">IF(OR(D204="",E204=""),"edge hidden",IF(AND(H204&gt;=D204-0.02,H204&lt;=E204+0.02),"yes","no"))</f>
        <v>yes</v>
      </c>
    </row>
    <row r="205" customFormat="false" ht="15" hidden="false" customHeight="false" outlineLevel="0" collapsed="false">
      <c r="A205" s="9" t="n">
        <v>44068</v>
      </c>
      <c r="B205" s="10" t="n">
        <v>11472.25</v>
      </c>
      <c r="C205" s="11" t="n">
        <v>20.4376</v>
      </c>
      <c r="D205" s="11" t="n">
        <v>20.2978</v>
      </c>
      <c r="E205" s="11" t="n">
        <v>20.5773</v>
      </c>
      <c r="F205" s="12" t="n">
        <f aca="false">IF(C205="","",B205/C205)</f>
        <v>561.330586761655</v>
      </c>
      <c r="G205" s="12" t="n">
        <f aca="false">MEDIAN(F195:F215)</f>
        <v>561.561369397751</v>
      </c>
      <c r="H205" s="13" t="n">
        <f aca="false">B205/G205</f>
        <v>20.429200841047</v>
      </c>
      <c r="I205" s="14" t="n">
        <f aca="false">B205/Summary!$C$8*100</f>
        <v>114.962772193885</v>
      </c>
      <c r="J205" s="14" t="n">
        <f aca="false">G205/Summary!$E$8*100</f>
        <v>95.4406250956431</v>
      </c>
      <c r="K205" s="15" t="n">
        <f aca="false">Summary!$D$9</f>
        <v>16.9374488591431</v>
      </c>
      <c r="L205" s="16" t="str">
        <f aca="false">IF(OR(D205="",E205=""),"edge hidden",IF(AND(H205&gt;=D205-0.02,H205&lt;=E205+0.02),"yes","no"))</f>
        <v>yes</v>
      </c>
    </row>
    <row r="206" customFormat="false" ht="15" hidden="false" customHeight="false" outlineLevel="0" collapsed="false">
      <c r="A206" s="9" t="n">
        <v>44069</v>
      </c>
      <c r="B206" s="10" t="n">
        <v>11549.6</v>
      </c>
      <c r="C206" s="11" t="n">
        <v>20.4415</v>
      </c>
      <c r="D206" s="11" t="n">
        <v>20.2978</v>
      </c>
      <c r="E206" s="11" t="n">
        <v>20.5852</v>
      </c>
      <c r="F206" s="12" t="n">
        <f aca="false">IF(C206="","",B206/C206)</f>
        <v>565.007460313578</v>
      </c>
      <c r="G206" s="12" t="n">
        <f aca="false">MEDIAN(F196:F216)</f>
        <v>561.73186700414</v>
      </c>
      <c r="H206" s="13" t="n">
        <f aca="false">B206/G206</f>
        <v>20.5606992916335</v>
      </c>
      <c r="I206" s="14" t="n">
        <f aca="false">B206/Summary!$C$8*100</f>
        <v>115.737892194687</v>
      </c>
      <c r="J206" s="14" t="n">
        <f aca="false">G206/Summary!$E$8*100</f>
        <v>95.4696021567763</v>
      </c>
      <c r="K206" s="15" t="n">
        <f aca="false">Summary!$D$9</f>
        <v>16.9374488591431</v>
      </c>
      <c r="L206" s="16" t="str">
        <f aca="false">IF(OR(D206="",E206=""),"edge hidden",IF(AND(H206&gt;=D206-0.02,H206&lt;=E206+0.02),"yes","no"))</f>
        <v>yes</v>
      </c>
    </row>
    <row r="207" customFormat="false" ht="15" hidden="false" customHeight="false" outlineLevel="0" collapsed="false">
      <c r="A207" s="9" t="n">
        <v>44070</v>
      </c>
      <c r="B207" s="10" t="n">
        <v>11559.25</v>
      </c>
      <c r="C207" s="11" t="n">
        <v>20.3588</v>
      </c>
      <c r="D207" s="11" t="n">
        <v>20.1325</v>
      </c>
      <c r="E207" s="11" t="n">
        <v>20.5852</v>
      </c>
      <c r="F207" s="12" t="n">
        <f aca="false">IF(C207="","",B207/C207)</f>
        <v>567.776588011081</v>
      </c>
      <c r="G207" s="12" t="n">
        <f aca="false">MEDIAN(F197:F217)</f>
        <v>564.232446533116</v>
      </c>
      <c r="H207" s="13" t="n">
        <f aca="false">B207/G207</f>
        <v>20.4866807483776</v>
      </c>
      <c r="I207" s="14" t="n">
        <f aca="false">B207/Summary!$C$8*100</f>
        <v>115.834594302091</v>
      </c>
      <c r="J207" s="14" t="n">
        <f aca="false">G207/Summary!$E$8*100</f>
        <v>95.8945902103577</v>
      </c>
      <c r="K207" s="15" t="n">
        <f aca="false">Summary!$D$9</f>
        <v>16.9374488591431</v>
      </c>
      <c r="L207" s="16" t="str">
        <f aca="false">IF(OR(D207="",E207=""),"edge hidden",IF(AND(H207&gt;=D207-0.02,H207&lt;=E207+0.02),"yes","no"))</f>
        <v>yes</v>
      </c>
    </row>
    <row r="208" customFormat="false" ht="15" hidden="false" customHeight="false" outlineLevel="0" collapsed="false">
      <c r="A208" s="9" t="n">
        <v>44071</v>
      </c>
      <c r="B208" s="10" t="n">
        <v>11647.6</v>
      </c>
      <c r="C208" s="11" t="n">
        <v>20.351</v>
      </c>
      <c r="D208" s="11" t="n">
        <v>20.1167</v>
      </c>
      <c r="E208" s="11" t="n">
        <v>20.5852</v>
      </c>
      <c r="F208" s="12" t="n">
        <f aca="false">IF(C208="","",B208/C208)</f>
        <v>572.335511768464</v>
      </c>
      <c r="G208" s="12" t="n">
        <f aca="false">MEDIAN(F198:F218)</f>
        <v>565.007460313578</v>
      </c>
      <c r="H208" s="13" t="n">
        <f aca="false">B208/G208</f>
        <v>20.6149490371961</v>
      </c>
      <c r="I208" s="14" t="n">
        <f aca="false">B208/Summary!$C$8*100</f>
        <v>116.71994468439</v>
      </c>
      <c r="J208" s="14" t="n">
        <f aca="false">G208/Summary!$E$8*100</f>
        <v>96.0263083157971</v>
      </c>
      <c r="K208" s="15" t="n">
        <f aca="false">Summary!$D$9</f>
        <v>16.9374488591431</v>
      </c>
      <c r="L208" s="16" t="str">
        <f aca="false">IF(OR(D208="",E208=""),"edge hidden",IF(AND(H208&gt;=D208-0.02,H208&lt;=E208+0.02),"yes","no"))</f>
        <v>no</v>
      </c>
    </row>
    <row r="209" customFormat="false" ht="15" hidden="false" customHeight="false" outlineLevel="0" collapsed="false">
      <c r="A209" s="9" t="n">
        <v>44074</v>
      </c>
      <c r="B209" s="10" t="n">
        <v>11387.5</v>
      </c>
      <c r="C209" s="11" t="n">
        <v>20.3155</v>
      </c>
      <c r="D209" s="11" t="n">
        <v>20.0773</v>
      </c>
      <c r="E209" s="11" t="n">
        <v>20.5537</v>
      </c>
      <c r="F209" s="12" t="n">
        <f aca="false">IF(C209="","",B209/C209)</f>
        <v>560.532598262411</v>
      </c>
      <c r="G209" s="12" t="n">
        <f aca="false">MEDIAN(F199:F219)</f>
        <v>565.443661195063</v>
      </c>
      <c r="H209" s="13" t="n">
        <f aca="false">B209/G209</f>
        <v>20.1390532452563</v>
      </c>
      <c r="I209" s="14" t="n">
        <f aca="false">B209/Summary!$C$8*100</f>
        <v>114.113497209167</v>
      </c>
      <c r="J209" s="14" t="n">
        <f aca="false">G209/Summary!$E$8*100</f>
        <v>96.1004431959097</v>
      </c>
      <c r="K209" s="15" t="n">
        <f aca="false">Summary!$D$9</f>
        <v>16.9374488591431</v>
      </c>
      <c r="L209" s="16" t="str">
        <f aca="false">IF(OR(D209="",E209=""),"edge hidden",IF(AND(H209&gt;=D209-0.02,H209&lt;=E209+0.02),"yes","no"))</f>
        <v>yes</v>
      </c>
    </row>
    <row r="210" customFormat="false" ht="15" hidden="false" customHeight="false" outlineLevel="0" collapsed="false">
      <c r="A210" s="9" t="n">
        <v>44075</v>
      </c>
      <c r="B210" s="10" t="n">
        <v>11470.25</v>
      </c>
      <c r="C210" s="11" t="n">
        <v>20.2092</v>
      </c>
      <c r="D210" s="11" t="n">
        <v>19.9592</v>
      </c>
      <c r="E210" s="11" t="n">
        <v>20.4592</v>
      </c>
      <c r="F210" s="12" t="n">
        <f aca="false">IF(C210="","",B210/C210)</f>
        <v>567.57565861093</v>
      </c>
      <c r="G210" s="12" t="n">
        <f aca="false">MEDIAN(F200:F220)</f>
        <v>567.406507290943</v>
      </c>
      <c r="H210" s="13" t="n">
        <f aca="false">B210/G210</f>
        <v>20.2152246275147</v>
      </c>
      <c r="I210" s="14" t="n">
        <f aca="false">B210/Summary!$C$8*100</f>
        <v>114.94273030634</v>
      </c>
      <c r="J210" s="14" t="n">
        <f aca="false">G210/Summary!$E$8*100</f>
        <v>96.4340403209369</v>
      </c>
      <c r="K210" s="15" t="n">
        <f aca="false">Summary!$D$9</f>
        <v>16.9374488591431</v>
      </c>
      <c r="L210" s="16" t="str">
        <f aca="false">IF(OR(D210="",E210=""),"edge hidden",IF(AND(H210&gt;=D210-0.02,H210&lt;=E210+0.02),"yes","no"))</f>
        <v>yes</v>
      </c>
    </row>
    <row r="211" customFormat="false" ht="15" hidden="false" customHeight="false" outlineLevel="0" collapsed="false">
      <c r="A211" s="9" t="n">
        <v>44076</v>
      </c>
      <c r="B211" s="10" t="n">
        <v>11535</v>
      </c>
      <c r="C211" s="11" t="n">
        <v>20.1384</v>
      </c>
      <c r="D211" s="11" t="n">
        <v>19.9514</v>
      </c>
      <c r="E211" s="11" t="n">
        <v>20.3254</v>
      </c>
      <c r="F211" s="12" t="n">
        <f aca="false">IF(C211="","",B211/C211)</f>
        <v>572.786318674771</v>
      </c>
      <c r="G211" s="12" t="n">
        <f aca="false">MEDIAN(F201:F221)</f>
        <v>567.527517990121</v>
      </c>
      <c r="H211" s="13" t="n">
        <f aca="false">B211/G211</f>
        <v>20.3250056329441</v>
      </c>
      <c r="I211" s="14" t="n">
        <f aca="false">B211/Summary!$C$8*100</f>
        <v>115.591586415609</v>
      </c>
      <c r="J211" s="14" t="n">
        <f aca="false">G211/Summary!$E$8*100</f>
        <v>96.4546067939925</v>
      </c>
      <c r="K211" s="15" t="n">
        <f aca="false">Summary!$D$9</f>
        <v>16.9374488591431</v>
      </c>
      <c r="L211" s="16" t="str">
        <f aca="false">IF(OR(D211="",E211=""),"edge hidden",IF(AND(H211&gt;=D211-0.02,H211&lt;=E211+0.02),"yes","no"))</f>
        <v>yes</v>
      </c>
    </row>
    <row r="212" customFormat="false" ht="15" hidden="false" customHeight="false" outlineLevel="0" collapsed="false">
      <c r="A212" s="9" t="n">
        <v>44077</v>
      </c>
      <c r="B212" s="10" t="n">
        <v>11527.45</v>
      </c>
      <c r="C212" s="11" t="n">
        <v>20.1147</v>
      </c>
      <c r="D212" s="11" t="n">
        <v>19.9356</v>
      </c>
      <c r="E212" s="11" t="n">
        <v>20.2939</v>
      </c>
      <c r="F212" s="12" t="n">
        <f aca="false">IF(C212="","",B212/C212)</f>
        <v>573.085852635138</v>
      </c>
      <c r="G212" s="12" t="n">
        <f aca="false">MEDIAN(F202:F222)</f>
        <v>567.57565861093</v>
      </c>
      <c r="H212" s="13" t="n">
        <f aca="false">B212/G212</f>
        <v>20.3099795157037</v>
      </c>
      <c r="I212" s="14" t="n">
        <f aca="false">B212/Summary!$C$8*100</f>
        <v>115.515928290126</v>
      </c>
      <c r="J212" s="14" t="n">
        <f aca="false">G212/Summary!$E$8*100</f>
        <v>96.4627885728556</v>
      </c>
      <c r="K212" s="15" t="n">
        <f aca="false">Summary!$D$9</f>
        <v>16.9374488591431</v>
      </c>
      <c r="L212" s="16" t="str">
        <f aca="false">IF(OR(D212="",E212=""),"edge hidden",IF(AND(H212&gt;=D212-0.02,H212&lt;=E212+0.02),"yes","no"))</f>
        <v>yes</v>
      </c>
    </row>
    <row r="213" customFormat="false" ht="15" hidden="false" customHeight="false" outlineLevel="0" collapsed="false">
      <c r="A213" s="9" t="n">
        <v>44078</v>
      </c>
      <c r="B213" s="10" t="n">
        <v>11333.85</v>
      </c>
      <c r="C213" s="11" t="n">
        <v>20.0872</v>
      </c>
      <c r="D213" s="11" t="n">
        <v>19.9041</v>
      </c>
      <c r="E213" s="11" t="n">
        <v>20.2702</v>
      </c>
      <c r="F213" s="12" t="n">
        <f aca="false">IF(C213="","",B213/C213)</f>
        <v>564.232446533116</v>
      </c>
      <c r="G213" s="12" t="n">
        <f aca="false">MEDIAN(F203:F223)</f>
        <v>567.776588011081</v>
      </c>
      <c r="H213" s="13" t="n">
        <f aca="false">B213/G213</f>
        <v>19.9618128667517</v>
      </c>
      <c r="I213" s="14" t="n">
        <f aca="false">B213/Summary!$C$8*100</f>
        <v>113.575873575773</v>
      </c>
      <c r="J213" s="14" t="n">
        <f aca="false">G213/Summary!$E$8*100</f>
        <v>96.4969376945645</v>
      </c>
      <c r="K213" s="15" t="n">
        <f aca="false">Summary!$D$9</f>
        <v>16.9374488591431</v>
      </c>
      <c r="L213" s="16" t="str">
        <f aca="false">IF(OR(D213="",E213=""),"edge hidden",IF(AND(H213&gt;=D213-0.02,H213&lt;=E213+0.02),"yes","no"))</f>
        <v>yes</v>
      </c>
    </row>
    <row r="214" customFormat="false" ht="15" hidden="false" customHeight="false" outlineLevel="0" collapsed="false">
      <c r="A214" s="9" t="n">
        <v>44081</v>
      </c>
      <c r="B214" s="10" t="n">
        <v>11355.05</v>
      </c>
      <c r="C214" s="11" t="n">
        <v>19.9454</v>
      </c>
      <c r="D214" s="11" t="n">
        <v>19.8017</v>
      </c>
      <c r="E214" s="11" t="n">
        <v>20.0891</v>
      </c>
      <c r="F214" s="12" t="n">
        <f aca="false">IF(C214="","",B214/C214)</f>
        <v>569.306707310959</v>
      </c>
      <c r="G214" s="12" t="n">
        <f aca="false">MEDIAN(F204:F224)</f>
        <v>569.306707310959</v>
      </c>
      <c r="H214" s="13" t="n">
        <f aca="false">B214/G214</f>
        <v>19.9454</v>
      </c>
      <c r="I214" s="14" t="n">
        <f aca="false">B214/Summary!$C$8*100</f>
        <v>113.78831758375</v>
      </c>
      <c r="J214" s="14" t="n">
        <f aca="false">G214/Summary!$E$8*100</f>
        <v>96.7569903805386</v>
      </c>
      <c r="K214" s="15" t="n">
        <f aca="false">Summary!$D$9</f>
        <v>16.9374488591431</v>
      </c>
      <c r="L214" s="16" t="str">
        <f aca="false">IF(OR(D214="",E214=""),"edge hidden",IF(AND(H214&gt;=D214-0.02,H214&lt;=E214+0.02),"yes","no"))</f>
        <v>yes</v>
      </c>
    </row>
    <row r="215" customFormat="false" ht="15" hidden="false" customHeight="false" outlineLevel="0" collapsed="false">
      <c r="A215" s="9" t="n">
        <v>44082</v>
      </c>
      <c r="B215" s="10" t="n">
        <v>11317.35</v>
      </c>
      <c r="C215" s="11" t="n">
        <v>19.9415</v>
      </c>
      <c r="D215" s="11" t="n">
        <v>19.7939</v>
      </c>
      <c r="E215" s="11" t="n">
        <v>20.0891</v>
      </c>
      <c r="F215" s="12" t="n">
        <f aca="false">IF(C215="","",B215/C215)</f>
        <v>567.527517990121</v>
      </c>
      <c r="G215" s="12" t="n">
        <f aca="false">MEDIAN(F205:F225)</f>
        <v>571.35064638821</v>
      </c>
      <c r="H215" s="13" t="n">
        <f aca="false">B215/G215</f>
        <v>19.8080637022861</v>
      </c>
      <c r="I215" s="14" t="n">
        <f aca="false">B215/Summary!$C$8*100</f>
        <v>113.410528003527</v>
      </c>
      <c r="J215" s="14" t="n">
        <f aca="false">G215/Summary!$E$8*100</f>
        <v>97.1043697300111</v>
      </c>
      <c r="K215" s="15" t="n">
        <f aca="false">Summary!$D$9</f>
        <v>16.9374488591431</v>
      </c>
      <c r="L215" s="16" t="str">
        <f aca="false">IF(OR(D215="",E215=""),"edge hidden",IF(AND(H215&gt;=D215-0.02,H215&lt;=E215+0.02),"yes","no"))</f>
        <v>yes</v>
      </c>
    </row>
    <row r="216" customFormat="false" ht="15" hidden="false" customHeight="false" outlineLevel="0" collapsed="false">
      <c r="A216" s="9" t="n">
        <v>44083</v>
      </c>
      <c r="B216" s="10" t="n">
        <v>11278</v>
      </c>
      <c r="C216" s="11" t="n">
        <v>19.9454</v>
      </c>
      <c r="D216" s="11" t="n">
        <v>19.8017</v>
      </c>
      <c r="E216" s="11" t="n">
        <v>20.0891</v>
      </c>
      <c r="F216" s="12" t="n">
        <f aca="false">IF(C216="","",B216/C216)</f>
        <v>565.443661195063</v>
      </c>
      <c r="G216" s="12" t="n">
        <f aca="false">MEDIAN(F206:F226)</f>
        <v>572.335511768464</v>
      </c>
      <c r="H216" s="13" t="n">
        <f aca="false">B216/G216</f>
        <v>19.7052249390432</v>
      </c>
      <c r="I216" s="14" t="n">
        <f aca="false">B216/Summary!$C$8*100</f>
        <v>113.01620386608</v>
      </c>
      <c r="J216" s="14" t="n">
        <f aca="false">G216/Summary!$E$8*100</f>
        <v>97.2717533369484</v>
      </c>
      <c r="K216" s="15" t="n">
        <f aca="false">Summary!$D$9</f>
        <v>16.9374488591431</v>
      </c>
      <c r="L216" s="16" t="str">
        <f aca="false">IF(OR(D216="",E216=""),"edge hidden",IF(AND(H216&gt;=D216-0.02,H216&lt;=E216+0.02),"yes","no"))</f>
        <v>no</v>
      </c>
    </row>
    <row r="217" customFormat="false" ht="15" hidden="false" customHeight="false" outlineLevel="0" collapsed="false">
      <c r="A217" s="9" t="n">
        <v>44084</v>
      </c>
      <c r="B217" s="10" t="n">
        <v>11449.25</v>
      </c>
      <c r="C217" s="11" t="n">
        <v>19.9533</v>
      </c>
      <c r="D217" s="11" t="n">
        <v>19.8017</v>
      </c>
      <c r="E217" s="11" t="n">
        <v>20.1049</v>
      </c>
      <c r="F217" s="12" t="n">
        <f aca="false">IF(C217="","",B217/C217)</f>
        <v>573.8023284369</v>
      </c>
      <c r="G217" s="12" t="n">
        <f aca="false">MEDIAN(F207:F227)</f>
        <v>572.335511768464</v>
      </c>
      <c r="H217" s="13" t="n">
        <f aca="false">B217/G217</f>
        <v>20.0044375450737</v>
      </c>
      <c r="I217" s="14" t="n">
        <f aca="false">B217/Summary!$C$8*100</f>
        <v>114.732290487118</v>
      </c>
      <c r="J217" s="14" t="n">
        <f aca="false">G217/Summary!$E$8*100</f>
        <v>97.2717533369484</v>
      </c>
      <c r="K217" s="15" t="n">
        <f aca="false">Summary!$D$9</f>
        <v>16.9374488591431</v>
      </c>
      <c r="L217" s="16" t="str">
        <f aca="false">IF(OR(D217="",E217=""),"edge hidden",IF(AND(H217&gt;=D217-0.02,H217&lt;=E217+0.02),"yes","no"))</f>
        <v>yes</v>
      </c>
    </row>
    <row r="218" customFormat="false" ht="15" hidden="false" customHeight="false" outlineLevel="0" collapsed="false">
      <c r="A218" s="9" t="n">
        <v>44085</v>
      </c>
      <c r="B218" s="10" t="n">
        <v>11464.45</v>
      </c>
      <c r="C218" s="11" t="n">
        <v>19.9651</v>
      </c>
      <c r="D218" s="11" t="n">
        <v>19.8175</v>
      </c>
      <c r="E218" s="11" t="n">
        <v>20.1128</v>
      </c>
      <c r="F218" s="12" t="n">
        <f aca="false">IF(C218="","",B218/C218)</f>
        <v>574.224521790525</v>
      </c>
      <c r="G218" s="12" t="n">
        <f aca="false">MEDIAN(F208:F228)</f>
        <v>572.786318674771</v>
      </c>
      <c r="H218" s="13" t="n">
        <f aca="false">B218/G218</f>
        <v>20.0152301586476</v>
      </c>
      <c r="I218" s="14" t="n">
        <f aca="false">B218/Summary!$C$8*100</f>
        <v>114.88460883246</v>
      </c>
      <c r="J218" s="14" t="n">
        <f aca="false">G218/Summary!$E$8*100</f>
        <v>97.3483705960407</v>
      </c>
      <c r="K218" s="15" t="n">
        <f aca="false">Summary!$D$9</f>
        <v>16.9374488591431</v>
      </c>
      <c r="L218" s="16" t="str">
        <f aca="false">IF(OR(D218="",E218=""),"edge hidden",IF(AND(H218&gt;=D218-0.02,H218&lt;=E218+0.02),"yes","no"))</f>
        <v>yes</v>
      </c>
    </row>
    <row r="219" customFormat="false" ht="15" hidden="false" customHeight="false" outlineLevel="0" collapsed="false">
      <c r="A219" s="9" t="n">
        <v>44088</v>
      </c>
      <c r="B219" s="10" t="n">
        <v>11440.05</v>
      </c>
      <c r="C219" s="11" t="n">
        <v>20.162</v>
      </c>
      <c r="D219" s="11" t="n">
        <v>20.038</v>
      </c>
      <c r="E219" s="11" t="n">
        <v>20.286</v>
      </c>
      <c r="F219" s="12" t="n">
        <f aca="false">IF(C219="","",B219/C219)</f>
        <v>567.406507290943</v>
      </c>
      <c r="G219" s="12" t="n">
        <f aca="false">MEDIAN(F209:F229)</f>
        <v>573.085852635138</v>
      </c>
      <c r="H219" s="13" t="n">
        <f aca="false">B219/G219</f>
        <v>19.9621923092271</v>
      </c>
      <c r="I219" s="14" t="n">
        <f aca="false">B219/Summary!$C$8*100</f>
        <v>114.640097804411</v>
      </c>
      <c r="J219" s="14" t="n">
        <f aca="false">G219/Summary!$E$8*100</f>
        <v>97.3992781370019</v>
      </c>
      <c r="K219" s="15" t="n">
        <f aca="false">Summary!$D$9</f>
        <v>16.9374488591431</v>
      </c>
      <c r="L219" s="16" t="str">
        <f aca="false">IF(OR(D219="",E219=""),"edge hidden",IF(AND(H219&gt;=D219-0.02,H219&lt;=E219+0.02),"yes","no"))</f>
        <v>no</v>
      </c>
    </row>
    <row r="220" customFormat="false" ht="15" hidden="false" customHeight="false" outlineLevel="0" collapsed="false">
      <c r="A220" s="9" t="n">
        <v>44089</v>
      </c>
      <c r="B220" s="10" t="n">
        <v>11521.8</v>
      </c>
      <c r="C220" s="11" t="n">
        <v>20.1659</v>
      </c>
      <c r="D220" s="11" t="n">
        <v>20.038</v>
      </c>
      <c r="E220" s="11" t="n">
        <v>20.2939</v>
      </c>
      <c r="F220" s="12" t="n">
        <f aca="false">IF(C220="","",B220/C220)</f>
        <v>571.35064638821</v>
      </c>
      <c r="G220" s="12" t="n">
        <f aca="false">MEDIAN(F210:F230)</f>
        <v>573.085852635138</v>
      </c>
      <c r="H220" s="13" t="n">
        <f aca="false">B220/G220</f>
        <v>20.1048410932166</v>
      </c>
      <c r="I220" s="14" t="n">
        <f aca="false">B220/Summary!$C$8*100</f>
        <v>115.459309957812</v>
      </c>
      <c r="J220" s="14" t="n">
        <f aca="false">G220/Summary!$E$8*100</f>
        <v>97.3992781370019</v>
      </c>
      <c r="K220" s="15" t="n">
        <f aca="false">Summary!$D$9</f>
        <v>16.9374488591431</v>
      </c>
      <c r="L220" s="16" t="str">
        <f aca="false">IF(OR(D220="",E220=""),"edge hidden",IF(AND(H220&gt;=D220-0.02,H220&lt;=E220+0.02),"yes","no"))</f>
        <v>yes</v>
      </c>
    </row>
    <row r="221" customFormat="false" ht="15" hidden="false" customHeight="false" outlineLevel="0" collapsed="false">
      <c r="A221" s="9" t="n">
        <v>44090</v>
      </c>
      <c r="B221" s="10" t="n">
        <v>11604.55</v>
      </c>
      <c r="C221" s="11" t="n">
        <v>20.158</v>
      </c>
      <c r="D221" s="11" t="n">
        <v>20.0222</v>
      </c>
      <c r="E221" s="11" t="n">
        <v>20.2939</v>
      </c>
      <c r="F221" s="12" t="n">
        <f aca="false">IF(C221="","",B221/C221)</f>
        <v>575.679630915765</v>
      </c>
      <c r="G221" s="12" t="n">
        <f aca="false">MEDIAN(F211:F231)</f>
        <v>573.085852635138</v>
      </c>
      <c r="H221" s="13" t="n">
        <f aca="false">B221/G221</f>
        <v>20.2492348164598</v>
      </c>
      <c r="I221" s="14" t="n">
        <f aca="false">B221/Summary!$C$8*100</f>
        <v>116.288543054985</v>
      </c>
      <c r="J221" s="14" t="n">
        <f aca="false">G221/Summary!$E$8*100</f>
        <v>97.3992781370019</v>
      </c>
      <c r="K221" s="15" t="n">
        <f aca="false">Summary!$D$9</f>
        <v>16.9374488591431</v>
      </c>
      <c r="L221" s="16" t="str">
        <f aca="false">IF(OR(D221="",E221=""),"edge hidden",IF(AND(H221&gt;=D221-0.02,H221&lt;=E221+0.02),"yes","no"))</f>
        <v>yes</v>
      </c>
    </row>
    <row r="222" customFormat="false" ht="15" hidden="false" customHeight="false" outlineLevel="0" collapsed="false">
      <c r="A222" s="9" t="n">
        <v>44091</v>
      </c>
      <c r="B222" s="10" t="n">
        <v>11516.1</v>
      </c>
      <c r="C222" s="11" t="n">
        <v>20.0517</v>
      </c>
      <c r="D222" s="11" t="n">
        <v>19.8175</v>
      </c>
      <c r="E222" s="11" t="n">
        <v>20.286</v>
      </c>
      <c r="F222" s="12" t="n">
        <f aca="false">IF(C222="","",B222/C222)</f>
        <v>574.320381813013</v>
      </c>
      <c r="G222" s="12" t="n">
        <f aca="false">MEDIAN(F212:F232)</f>
        <v>573.8023284369</v>
      </c>
      <c r="H222" s="13" t="n">
        <f aca="false">B222/G222</f>
        <v>20.0698035356028</v>
      </c>
      <c r="I222" s="14" t="n">
        <f aca="false">B222/Summary!$C$8*100</f>
        <v>115.402190578309</v>
      </c>
      <c r="J222" s="14" t="n">
        <f aca="false">G222/Summary!$E$8*100</f>
        <v>97.5210473720535</v>
      </c>
      <c r="K222" s="15" t="n">
        <f aca="false">Summary!$D$9</f>
        <v>16.9374488591431</v>
      </c>
      <c r="L222" s="16" t="str">
        <f aca="false">IF(OR(D222="",E222=""),"edge hidden",IF(AND(H222&gt;=D222-0.02,H222&lt;=E222+0.02),"yes","no"))</f>
        <v>yes</v>
      </c>
    </row>
    <row r="223" customFormat="false" ht="15" hidden="false" customHeight="false" outlineLevel="0" collapsed="false">
      <c r="A223" s="9" t="n">
        <v>44092</v>
      </c>
      <c r="B223" s="10" t="n">
        <v>11504.95</v>
      </c>
      <c r="C223" s="11" t="n">
        <v>19.8352</v>
      </c>
      <c r="D223" s="11" t="n">
        <v>19.4002</v>
      </c>
      <c r="E223" s="11" t="n">
        <v>20.2702</v>
      </c>
      <c r="F223" s="12" t="n">
        <f aca="false">IF(C223="","",B223/C223)</f>
        <v>580.026921835928</v>
      </c>
      <c r="G223" s="12" t="n">
        <f aca="false">MEDIAN(F213:F233)</f>
        <v>573.8023284369</v>
      </c>
      <c r="H223" s="13" t="n">
        <f aca="false">B223/G223</f>
        <v>20.0503717566653</v>
      </c>
      <c r="I223" s="14" t="n">
        <f aca="false">B223/Summary!$C$8*100</f>
        <v>115.290457055245</v>
      </c>
      <c r="J223" s="14" t="n">
        <f aca="false">G223/Summary!$E$8*100</f>
        <v>97.5210473720535</v>
      </c>
      <c r="K223" s="15" t="n">
        <f aca="false">Summary!$D$9</f>
        <v>16.9374488591431</v>
      </c>
      <c r="L223" s="16" t="str">
        <f aca="false">IF(OR(D223="",E223=""),"edge hidden",IF(AND(H223&gt;=D223-0.02,H223&lt;=E223+0.02),"yes","no"))</f>
        <v>yes</v>
      </c>
    </row>
    <row r="224" customFormat="false" ht="15" hidden="false" customHeight="false" outlineLevel="0" collapsed="false">
      <c r="A224" s="9" t="n">
        <v>44095</v>
      </c>
      <c r="B224" s="10" t="n">
        <v>11250.55</v>
      </c>
      <c r="C224" s="11" t="n">
        <v>19.3116</v>
      </c>
      <c r="D224" s="11" t="n">
        <v>18.5734</v>
      </c>
      <c r="E224" s="11" t="n">
        <v>20.0498</v>
      </c>
      <c r="F224" s="12" t="n">
        <f aca="false">IF(C224="","",B224/C224)</f>
        <v>582.579900163632</v>
      </c>
      <c r="G224" s="12" t="n">
        <f aca="false">MEDIAN(F214:F234)</f>
        <v>573.8023284369</v>
      </c>
      <c r="H224" s="13" t="n">
        <f aca="false">B224/G224</f>
        <v>19.6070135000109</v>
      </c>
      <c r="I224" s="14" t="n">
        <f aca="false">B224/Summary!$C$8*100</f>
        <v>112.741128959525</v>
      </c>
      <c r="J224" s="14" t="n">
        <f aca="false">G224/Summary!$E$8*100</f>
        <v>97.5210473720535</v>
      </c>
      <c r="K224" s="15" t="n">
        <f aca="false">Summary!$D$9</f>
        <v>16.9374488591431</v>
      </c>
      <c r="L224" s="16" t="str">
        <f aca="false">IF(OR(D224="",E224=""),"edge hidden",IF(AND(H224&gt;=D224-0.02,H224&lt;=E224+0.02),"yes","no"))</f>
        <v>yes</v>
      </c>
    </row>
    <row r="225" customFormat="false" ht="15" hidden="false" customHeight="false" outlineLevel="0" collapsed="false">
      <c r="A225" s="9" t="n">
        <v>44096</v>
      </c>
      <c r="B225" s="10" t="n">
        <v>11153.65</v>
      </c>
      <c r="C225" s="11" t="n">
        <v>19.3037</v>
      </c>
      <c r="D225" s="11" t="n">
        <v>18.5734</v>
      </c>
      <c r="E225" s="11" t="n">
        <v>20.034</v>
      </c>
      <c r="F225" s="12" t="n">
        <f aca="false">IF(C225="","",B225/C225)</f>
        <v>577.798556753369</v>
      </c>
      <c r="G225" s="12" t="n">
        <f aca="false">MEDIAN(F215:F235)</f>
        <v>573.8023284369</v>
      </c>
      <c r="H225" s="13" t="n">
        <f aca="false">B225/G225</f>
        <v>19.4381400131013</v>
      </c>
      <c r="I225" s="14" t="n">
        <f aca="false">B225/Summary!$C$8*100</f>
        <v>111.770099507972</v>
      </c>
      <c r="J225" s="14" t="n">
        <f aca="false">G225/Summary!$E$8*100</f>
        <v>97.5210473720535</v>
      </c>
      <c r="K225" s="15" t="n">
        <f aca="false">Summary!$D$9</f>
        <v>16.9374488591431</v>
      </c>
      <c r="L225" s="16" t="str">
        <f aca="false">IF(OR(D225="",E225=""),"edge hidden",IF(AND(H225&gt;=D225-0.02,H225&lt;=E225+0.02),"yes","no"))</f>
        <v>yes</v>
      </c>
    </row>
    <row r="226" customFormat="false" ht="15" hidden="false" customHeight="false" outlineLevel="0" collapsed="false">
      <c r="A226" s="9" t="n">
        <v>44097</v>
      </c>
      <c r="B226" s="10" t="n">
        <v>11131.85</v>
      </c>
      <c r="C226" s="11" t="n">
        <v>19.0951</v>
      </c>
      <c r="D226" s="11" t="n">
        <v>18.5734</v>
      </c>
      <c r="E226" s="11" t="n">
        <v>19.6167</v>
      </c>
      <c r="F226" s="12" t="n">
        <f aca="false">IF(C226="","",B226/C226)</f>
        <v>582.968929201732</v>
      </c>
      <c r="G226" s="12" t="n">
        <f aca="false">MEDIAN(F216:F236)</f>
        <v>574.017362318248</v>
      </c>
      <c r="H226" s="13" t="n">
        <f aca="false">B226/G226</f>
        <v>19.3928803042516</v>
      </c>
      <c r="I226" s="14" t="n">
        <f aca="false">B226/Summary!$C$8*100</f>
        <v>111.551642933732</v>
      </c>
      <c r="J226" s="14" t="n">
        <f aca="false">G226/Summary!$E$8*100</f>
        <v>97.5575936324819</v>
      </c>
      <c r="K226" s="15" t="n">
        <f aca="false">Summary!$D$9</f>
        <v>16.9374488591431</v>
      </c>
      <c r="L226" s="16" t="str">
        <f aca="false">IF(OR(D226="",E226=""),"edge hidden",IF(AND(H226&gt;=D226-0.02,H226&lt;=E226+0.02),"yes","no"))</f>
        <v>yes</v>
      </c>
    </row>
    <row r="227" customFormat="false" ht="15" hidden="false" customHeight="false" outlineLevel="0" collapsed="false">
      <c r="A227" s="9" t="n">
        <v>44098</v>
      </c>
      <c r="B227" s="10" t="n">
        <v>10805.55</v>
      </c>
      <c r="C227" s="11" t="n">
        <v>19.0675</v>
      </c>
      <c r="D227" s="11" t="n">
        <v>18.5655</v>
      </c>
      <c r="E227" s="11" t="n">
        <v>19.5695</v>
      </c>
      <c r="F227" s="12" t="n">
        <f aca="false">IF(C227="","",B227/C227)</f>
        <v>566.699881998164</v>
      </c>
      <c r="G227" s="12" t="n">
        <f aca="false">MEDIAN(F217:F237)</f>
        <v>574.224521790525</v>
      </c>
      <c r="H227" s="13" t="n">
        <f aca="false">B227/G227</f>
        <v>18.8176394249179</v>
      </c>
      <c r="I227" s="14" t="n">
        <f aca="false">B227/Summary!$C$8*100</f>
        <v>108.28180898077</v>
      </c>
      <c r="J227" s="14" t="n">
        <f aca="false">G227/Summary!$E$8*100</f>
        <v>97.5928015912306</v>
      </c>
      <c r="K227" s="15" t="n">
        <f aca="false">Summary!$D$9</f>
        <v>16.9374488591431</v>
      </c>
      <c r="L227" s="16" t="str">
        <f aca="false">IF(OR(D227="",E227=""),"edge hidden",IF(AND(H227&gt;=D227-0.02,H227&lt;=E227+0.02),"yes","no"))</f>
        <v>yes</v>
      </c>
    </row>
    <row r="228" customFormat="false" ht="15" hidden="false" customHeight="false" outlineLevel="0" collapsed="false">
      <c r="A228" s="9" t="n">
        <v>44099</v>
      </c>
      <c r="B228" s="10" t="n">
        <v>11050.25</v>
      </c>
      <c r="C228" s="11" t="n">
        <v>19.0714</v>
      </c>
      <c r="D228" s="11" t="n">
        <v>18.5734</v>
      </c>
      <c r="E228" s="11" t="n">
        <v>19.5695</v>
      </c>
      <c r="F228" s="12" t="n">
        <f aca="false">IF(C228="","",B228/C228)</f>
        <v>579.414725714945</v>
      </c>
      <c r="G228" s="12" t="n">
        <f aca="false">MEDIAN(F218:F238)</f>
        <v>574.302782077848</v>
      </c>
      <c r="H228" s="13" t="n">
        <f aca="false">B228/G228</f>
        <v>19.2411570078414</v>
      </c>
      <c r="I228" s="14" t="n">
        <f aca="false">B228/Summary!$C$8*100</f>
        <v>110.733933921897</v>
      </c>
      <c r="J228" s="14" t="n">
        <f aca="false">G228/Summary!$E$8*100</f>
        <v>97.6061023828258</v>
      </c>
      <c r="K228" s="15" t="n">
        <f aca="false">Summary!$D$9</f>
        <v>16.9374488591431</v>
      </c>
      <c r="L228" s="16" t="str">
        <f aca="false">IF(OR(D228="",E228=""),"edge hidden",IF(AND(H228&gt;=D228-0.02,H228&lt;=E228+0.02),"yes","no"))</f>
        <v>yes</v>
      </c>
    </row>
    <row r="229" customFormat="false" ht="15" hidden="false" customHeight="false" outlineLevel="0" collapsed="false">
      <c r="A229" s="9" t="n">
        <v>44102</v>
      </c>
      <c r="B229" s="10" t="n">
        <v>11227.55</v>
      </c>
      <c r="C229" s="11" t="n">
        <v>19.5596</v>
      </c>
      <c r="D229" s="11" t="n">
        <v>19.2821</v>
      </c>
      <c r="E229" s="11" t="n">
        <v>19.8372</v>
      </c>
      <c r="F229" s="12" t="n">
        <f aca="false">IF(C229="","",B229/C229)</f>
        <v>574.017362318248</v>
      </c>
      <c r="G229" s="12" t="n">
        <f aca="false">MEDIAN(F219:F239)</f>
        <v>574.320381813013</v>
      </c>
      <c r="H229" s="13" t="n">
        <f aca="false">B229/G229</f>
        <v>19.549280080496</v>
      </c>
      <c r="I229" s="14" t="n">
        <f aca="false">B229/Summary!$C$8*100</f>
        <v>112.510647252758</v>
      </c>
      <c r="J229" s="14" t="n">
        <f aca="false">G229/Summary!$E$8*100</f>
        <v>97.6090935603128</v>
      </c>
      <c r="K229" s="15" t="n">
        <f aca="false">Summary!$D$9</f>
        <v>16.9374488591431</v>
      </c>
      <c r="L229" s="16" t="str">
        <f aca="false">IF(OR(D229="",E229=""),"edge hidden",IF(AND(H229&gt;=D229-0.02,H229&lt;=E229+0.02),"yes","no"))</f>
        <v>yes</v>
      </c>
    </row>
    <row r="230" customFormat="false" ht="15" hidden="false" customHeight="false" outlineLevel="0" collapsed="false">
      <c r="A230" s="9" t="n">
        <v>44103</v>
      </c>
      <c r="B230" s="10" t="n">
        <v>11222.4</v>
      </c>
      <c r="C230" s="11" t="n">
        <v>19.5832</v>
      </c>
      <c r="D230" s="11" t="n">
        <v>19.3136</v>
      </c>
      <c r="E230" s="11" t="n">
        <v>19.8529</v>
      </c>
      <c r="F230" s="12" t="n">
        <f aca="false">IF(C230="","",B230/C230)</f>
        <v>573.062625107235</v>
      </c>
      <c r="G230" s="12" t="n">
        <f aca="false">MEDIAN(F220:F240)</f>
        <v>575.679131483715</v>
      </c>
      <c r="H230" s="13" t="n">
        <f aca="false">B230/G230</f>
        <v>19.4941928346024</v>
      </c>
      <c r="I230" s="14" t="n">
        <f aca="false">B230/Summary!$C$8*100</f>
        <v>112.45903939233</v>
      </c>
      <c r="J230" s="14" t="n">
        <f aca="false">G230/Summary!$E$8*100</f>
        <v>97.8400209798028</v>
      </c>
      <c r="K230" s="15" t="n">
        <f aca="false">Summary!$D$9</f>
        <v>16.9374488591431</v>
      </c>
      <c r="L230" s="16" t="str">
        <f aca="false">IF(OR(D230="",E230=""),"edge hidden",IF(AND(H230&gt;=D230-0.02,H230&lt;=E230+0.02),"yes","no"))</f>
        <v>yes</v>
      </c>
    </row>
    <row r="231" customFormat="false" ht="15" hidden="false" customHeight="false" outlineLevel="0" collapsed="false">
      <c r="A231" s="9" t="n">
        <v>44104</v>
      </c>
      <c r="B231" s="10" t="n">
        <v>11247.55</v>
      </c>
      <c r="C231" s="11" t="n">
        <v>19.662</v>
      </c>
      <c r="D231" s="11" t="n">
        <v>19.4632</v>
      </c>
      <c r="E231" s="11" t="n">
        <v>19.8608</v>
      </c>
      <c r="F231" s="12" t="n">
        <f aca="false">IF(C231="","",B231/C231)</f>
        <v>572.045061540026</v>
      </c>
      <c r="G231" s="12" t="n">
        <f aca="false">MEDIAN(F221:F241)</f>
        <v>575.679131483715</v>
      </c>
      <c r="H231" s="13" t="n">
        <f aca="false">B231/G231</f>
        <v>19.5378803657714</v>
      </c>
      <c r="I231" s="14" t="n">
        <f aca="false">B231/Summary!$C$8*100</f>
        <v>112.711066128208</v>
      </c>
      <c r="J231" s="14" t="n">
        <f aca="false">G231/Summary!$E$8*100</f>
        <v>97.8400209798028</v>
      </c>
      <c r="K231" s="15" t="n">
        <f aca="false">Summary!$D$9</f>
        <v>16.9374488591431</v>
      </c>
      <c r="L231" s="16" t="str">
        <f aca="false">IF(OR(D231="",E231=""),"edge hidden",IF(AND(H231&gt;=D231-0.02,H231&lt;=E231+0.02),"yes","no"))</f>
        <v>yes</v>
      </c>
    </row>
    <row r="232" customFormat="false" ht="15" hidden="false" customHeight="false" outlineLevel="0" collapsed="false">
      <c r="A232" s="9" t="n">
        <v>44105</v>
      </c>
      <c r="B232" s="10" t="n">
        <v>11416.95</v>
      </c>
      <c r="C232" s="11" t="n">
        <v>19.7171</v>
      </c>
      <c r="D232" s="11" t="n">
        <v>19.5576</v>
      </c>
      <c r="E232" s="11" t="n">
        <v>19.8765</v>
      </c>
      <c r="F232" s="12" t="n">
        <f aca="false">IF(C232="","",B232/C232)</f>
        <v>579.037992402534</v>
      </c>
      <c r="G232" s="12" t="n">
        <f aca="false">MEDIAN(F222:F242)</f>
        <v>574.320381813013</v>
      </c>
      <c r="H232" s="13" t="n">
        <f aca="false">B232/G232</f>
        <v>19.8790611678433</v>
      </c>
      <c r="I232" s="14" t="n">
        <f aca="false">B232/Summary!$C$8*100</f>
        <v>114.408614003267</v>
      </c>
      <c r="J232" s="14" t="n">
        <f aca="false">G232/Summary!$E$8*100</f>
        <v>97.6090935603128</v>
      </c>
      <c r="K232" s="15" t="n">
        <f aca="false">Summary!$D$9</f>
        <v>16.9374488591431</v>
      </c>
      <c r="L232" s="16" t="str">
        <f aca="false">IF(OR(D232="",E232=""),"edge hidden",IF(AND(H232&gt;=D232-0.02,H232&lt;=E232+0.02),"yes","no"))</f>
        <v>yes</v>
      </c>
    </row>
    <row r="233" customFormat="false" ht="15" hidden="false" customHeight="false" outlineLevel="0" collapsed="false">
      <c r="A233" s="9" t="n">
        <v>44109</v>
      </c>
      <c r="B233" s="10" t="n">
        <v>11503.35</v>
      </c>
      <c r="C233" s="11" t="n">
        <v>20.3706</v>
      </c>
      <c r="D233" s="11" t="n">
        <v>19.8096</v>
      </c>
      <c r="E233" s="11" t="n">
        <v>20.9317</v>
      </c>
      <c r="F233" s="12" t="n">
        <f aca="false">IF(C233="","",B233/C233)</f>
        <v>564.703543341875</v>
      </c>
      <c r="G233" s="12" t="n">
        <f aca="false">MEDIAN(F223:F243)</f>
        <v>575.679131483715</v>
      </c>
      <c r="H233" s="13" t="n">
        <f aca="false">B233/G233</f>
        <v>19.9822251161894</v>
      </c>
      <c r="I233" s="14" t="n">
        <f aca="false">B233/Summary!$C$8*100</f>
        <v>115.274423545209</v>
      </c>
      <c r="J233" s="14" t="n">
        <f aca="false">G233/Summary!$E$8*100</f>
        <v>97.8400209798028</v>
      </c>
      <c r="K233" s="15" t="n">
        <f aca="false">Summary!$D$9</f>
        <v>16.9374488591431</v>
      </c>
      <c r="L233" s="16" t="str">
        <f aca="false">IF(OR(D233="",E233=""),"edge hidden",IF(AND(H233&gt;=D233-0.02,H233&lt;=E233+0.02),"yes","no"))</f>
        <v>yes</v>
      </c>
    </row>
    <row r="234" customFormat="false" ht="15" hidden="false" customHeight="false" outlineLevel="0" collapsed="false">
      <c r="A234" s="9" t="n">
        <v>44110</v>
      </c>
      <c r="B234" s="10" t="n">
        <v>11662.4</v>
      </c>
      <c r="C234" s="11" t="n">
        <v>20.41</v>
      </c>
      <c r="D234" s="11" t="n">
        <v>19.8175</v>
      </c>
      <c r="E234" s="11" t="n">
        <v>21.0025</v>
      </c>
      <c r="F234" s="12" t="n">
        <f aca="false">IF(C234="","",B234/C234)</f>
        <v>571.40617344439</v>
      </c>
      <c r="G234" s="12" t="n">
        <f aca="false">MEDIAN(F224:F244)</f>
        <v>575.679131483715</v>
      </c>
      <c r="H234" s="13" t="n">
        <f aca="false">B234/G234</f>
        <v>20.258507495212</v>
      </c>
      <c r="I234" s="14" t="n">
        <f aca="false">B234/Summary!$C$8*100</f>
        <v>116.868254652223</v>
      </c>
      <c r="J234" s="14" t="n">
        <f aca="false">G234/Summary!$E$8*100</f>
        <v>97.8400209798028</v>
      </c>
      <c r="K234" s="15" t="n">
        <f aca="false">Summary!$D$9</f>
        <v>16.9374488591431</v>
      </c>
      <c r="L234" s="16" t="str">
        <f aca="false">IF(OR(D234="",E234=""),"edge hidden",IF(AND(H234&gt;=D234-0.02,H234&lt;=E234+0.02),"yes","no"))</f>
        <v>yes</v>
      </c>
    </row>
    <row r="235" customFormat="false" ht="15" hidden="false" customHeight="false" outlineLevel="0" collapsed="false">
      <c r="A235" s="9" t="n">
        <v>44111</v>
      </c>
      <c r="B235" s="10" t="n">
        <v>11738.85</v>
      </c>
      <c r="C235" s="11" t="n">
        <v>20.4888</v>
      </c>
      <c r="D235" s="11" t="n">
        <v>19.9592</v>
      </c>
      <c r="E235" s="11" t="n">
        <v>21.0183</v>
      </c>
      <c r="F235" s="12" t="n">
        <f aca="false">IF(C235="","",B235/C235)</f>
        <v>572.939850064425</v>
      </c>
      <c r="G235" s="12" t="n">
        <f aca="false">MEDIAN(F225:F245)</f>
        <v>575.679131483715</v>
      </c>
      <c r="H235" s="13" t="n">
        <f aca="false">B235/G235</f>
        <v>20.391307167493</v>
      </c>
      <c r="I235" s="14" t="n">
        <f aca="false">B235/Summary!$C$8*100</f>
        <v>117.63435580363</v>
      </c>
      <c r="J235" s="14" t="n">
        <f aca="false">G235/Summary!$E$8*100</f>
        <v>97.8400209798028</v>
      </c>
      <c r="K235" s="15" t="n">
        <f aca="false">Summary!$D$9</f>
        <v>16.9374488591431</v>
      </c>
      <c r="L235" s="16" t="str">
        <f aca="false">IF(OR(D235="",E235=""),"edge hidden",IF(AND(H235&gt;=D235-0.02,H235&lt;=E235+0.02),"yes","no"))</f>
        <v>yes</v>
      </c>
    </row>
    <row r="236" customFormat="false" ht="15" hidden="false" customHeight="false" outlineLevel="0" collapsed="false">
      <c r="A236" s="9" t="n">
        <v>44112</v>
      </c>
      <c r="B236" s="10" t="n">
        <v>11834.6</v>
      </c>
      <c r="C236" s="11" t="n">
        <v>20.6069</v>
      </c>
      <c r="D236" s="11" t="n">
        <v>20.1954</v>
      </c>
      <c r="E236" s="11" t="n">
        <v>21.0183</v>
      </c>
      <c r="F236" s="12" t="n">
        <f aca="false">IF(C236="","",B236/C236)</f>
        <v>574.302782077848</v>
      </c>
      <c r="G236" s="12" t="n">
        <f aca="false">MEDIAN(F226:F246)</f>
        <v>575.679131483715</v>
      </c>
      <c r="H236" s="13" t="n">
        <f aca="false">B236/G236</f>
        <v>20.5576324601142</v>
      </c>
      <c r="I236" s="14" t="n">
        <f aca="false">B236/Summary!$C$8*100</f>
        <v>118.593861169845</v>
      </c>
      <c r="J236" s="14" t="n">
        <f aca="false">G236/Summary!$E$8*100</f>
        <v>97.8400209798028</v>
      </c>
      <c r="K236" s="15" t="n">
        <f aca="false">Summary!$D$9</f>
        <v>16.9374488591431</v>
      </c>
      <c r="L236" s="16" t="str">
        <f aca="false">IF(OR(D236="",E236=""),"edge hidden",IF(AND(H236&gt;=D236-0.02,H236&lt;=E236+0.02),"yes","no"))</f>
        <v>yes</v>
      </c>
    </row>
    <row r="237" customFormat="false" ht="15" hidden="false" customHeight="false" outlineLevel="0" collapsed="false">
      <c r="A237" s="9" t="n">
        <v>44113</v>
      </c>
      <c r="B237" s="10" t="n">
        <v>11914.2</v>
      </c>
      <c r="C237" s="11" t="n">
        <v>20.6738</v>
      </c>
      <c r="D237" s="11" t="n">
        <v>20.3293</v>
      </c>
      <c r="E237" s="11" t="n">
        <v>21.0183</v>
      </c>
      <c r="F237" s="12" t="n">
        <f aca="false">IF(C237="","",B237/C237)</f>
        <v>576.294633787693</v>
      </c>
      <c r="G237" s="12" t="n">
        <f aca="false">MEDIAN(F227:F247)</f>
        <v>575.679131483715</v>
      </c>
      <c r="H237" s="13" t="n">
        <f aca="false">B237/G237</f>
        <v>20.6959039305336</v>
      </c>
      <c r="I237" s="14" t="n">
        <f aca="false">B237/Summary!$C$8*100</f>
        <v>119.391528294135</v>
      </c>
      <c r="J237" s="14" t="n">
        <f aca="false">G237/Summary!$E$8*100</f>
        <v>97.8400209798028</v>
      </c>
      <c r="K237" s="15" t="n">
        <f aca="false">Summary!$D$9</f>
        <v>16.9374488591431</v>
      </c>
      <c r="L237" s="16" t="str">
        <f aca="false">IF(OR(D237="",E237=""),"edge hidden",IF(AND(H237&gt;=D237-0.02,H237&lt;=E237+0.02),"yes","no"))</f>
        <v>yes</v>
      </c>
    </row>
    <row r="238" customFormat="false" ht="15" hidden="false" customHeight="false" outlineLevel="0" collapsed="false">
      <c r="A238" s="9" t="n">
        <v>44116</v>
      </c>
      <c r="B238" s="10" t="n">
        <v>11930.95</v>
      </c>
      <c r="C238" s="11" t="n">
        <v>20.725</v>
      </c>
      <c r="D238" s="11" t="n">
        <v>20.4474</v>
      </c>
      <c r="E238" s="11" t="n">
        <v>21.0025</v>
      </c>
      <c r="F238" s="12" t="n">
        <f aca="false">IF(C238="","",B238/C238)</f>
        <v>575.679131483715</v>
      </c>
      <c r="G238" s="12" t="n">
        <f aca="false">MEDIAN(F228:F248)</f>
        <v>575.850422195416</v>
      </c>
      <c r="H238" s="13" t="n">
        <f aca="false">B238/G238</f>
        <v>20.7188352046588</v>
      </c>
      <c r="I238" s="14" t="n">
        <f aca="false">B238/Summary!$C$8*100</f>
        <v>119.559379102324</v>
      </c>
      <c r="J238" s="14" t="n">
        <f aca="false">G238/Summary!$E$8*100</f>
        <v>97.8691328338026</v>
      </c>
      <c r="K238" s="15" t="n">
        <f aca="false">Summary!$D$9</f>
        <v>16.9374488591431</v>
      </c>
      <c r="L238" s="16" t="str">
        <f aca="false">IF(OR(D238="",E238=""),"edge hidden",IF(AND(H238&gt;=D238-0.02,H238&lt;=E238+0.02),"yes","no"))</f>
        <v>yes</v>
      </c>
    </row>
    <row r="239" customFormat="false" ht="15" hidden="false" customHeight="false" outlineLevel="0" collapsed="false">
      <c r="A239" s="9" t="n">
        <v>44117</v>
      </c>
      <c r="B239" s="10" t="n">
        <v>11934.5</v>
      </c>
      <c r="C239" s="11" t="n">
        <v>20.725</v>
      </c>
      <c r="D239" s="11" t="n">
        <v>20.4474</v>
      </c>
      <c r="E239" s="11" t="n">
        <v>21.0025</v>
      </c>
      <c r="F239" s="12" t="n">
        <f aca="false">IF(C239="","",B239/C239)</f>
        <v>575.850422195416</v>
      </c>
      <c r="G239" s="12" t="n">
        <f aca="false">MEDIAN(F229:F249)</f>
        <v>575.850422195416</v>
      </c>
      <c r="H239" s="13" t="n">
        <f aca="false">B239/G239</f>
        <v>20.725</v>
      </c>
      <c r="I239" s="14" t="n">
        <f aca="false">B239/Summary!$C$8*100</f>
        <v>119.594953452716</v>
      </c>
      <c r="J239" s="14" t="n">
        <f aca="false">G239/Summary!$E$8*100</f>
        <v>97.8691328338026</v>
      </c>
      <c r="K239" s="15" t="n">
        <f aca="false">Summary!$D$9</f>
        <v>16.9374488591431</v>
      </c>
      <c r="L239" s="16" t="str">
        <f aca="false">IF(OR(D239="",E239=""),"edge hidden",IF(AND(H239&gt;=D239-0.02,H239&lt;=E239+0.02),"yes","no"))</f>
        <v>yes</v>
      </c>
    </row>
    <row r="240" customFormat="false" ht="15" hidden="false" customHeight="false" outlineLevel="0" collapsed="false">
      <c r="A240" s="9" t="n">
        <v>44118</v>
      </c>
      <c r="B240" s="10" t="n">
        <v>11971.05</v>
      </c>
      <c r="C240" s="11" t="n">
        <v>20.721</v>
      </c>
      <c r="D240" s="11" t="n">
        <v>20.4395</v>
      </c>
      <c r="E240" s="11" t="n">
        <v>21.0025</v>
      </c>
      <c r="F240" s="12" t="n">
        <f aca="false">IF(C240="","",B240/C240)</f>
        <v>577.725495873751</v>
      </c>
      <c r="G240" s="12" t="n">
        <f aca="false">MEDIAN(F230:F250)</f>
        <v>576.294633787693</v>
      </c>
      <c r="H240" s="13" t="n">
        <f aca="false">B240/G240</f>
        <v>20.7724474568162</v>
      </c>
      <c r="I240" s="14" t="n">
        <f aca="false">B240/Summary!$C$8*100</f>
        <v>119.9612189476</v>
      </c>
      <c r="J240" s="14" t="n">
        <f aca="false">G240/Summary!$E$8*100</f>
        <v>97.9446291808662</v>
      </c>
      <c r="K240" s="15" t="n">
        <f aca="false">Summary!$D$9</f>
        <v>16.9374488591431</v>
      </c>
      <c r="L240" s="16" t="str">
        <f aca="false">IF(OR(D240="",E240=""),"edge hidden",IF(AND(H240&gt;=D240-0.02,H240&lt;=E240+0.02),"yes","no"))</f>
        <v>yes</v>
      </c>
    </row>
    <row r="241" customFormat="false" ht="15" hidden="false" customHeight="false" outlineLevel="0" collapsed="false">
      <c r="A241" s="9" t="n">
        <v>44119</v>
      </c>
      <c r="B241" s="10" t="n">
        <v>11680.35</v>
      </c>
      <c r="C241" s="11" t="n">
        <v>20.7171</v>
      </c>
      <c r="D241" s="11" t="n">
        <v>20.4395</v>
      </c>
      <c r="E241" s="11" t="n">
        <v>20.9947</v>
      </c>
      <c r="F241" s="12" t="n">
        <f aca="false">IF(C241="","",B241/C241)</f>
        <v>563.802366161287</v>
      </c>
      <c r="G241" s="12" t="n">
        <f aca="false">MEDIAN(F231:F251)</f>
        <v>577.725495873751</v>
      </c>
      <c r="H241" s="13" t="n">
        <f aca="false">B241/G241</f>
        <v>20.2178198528951</v>
      </c>
      <c r="I241" s="14" t="n">
        <f aca="false">B241/Summary!$C$8*100</f>
        <v>117.048130592939</v>
      </c>
      <c r="J241" s="14" t="n">
        <f aca="false">G241/Summary!$E$8*100</f>
        <v>98.1878125253074</v>
      </c>
      <c r="K241" s="15" t="n">
        <f aca="false">Summary!$D$9</f>
        <v>16.9374488591431</v>
      </c>
      <c r="L241" s="16" t="str">
        <f aca="false">IF(OR(D241="",E241=""),"edge hidden",IF(AND(H241&gt;=D241-0.02,H241&lt;=E241+0.02),"yes","no"))</f>
        <v>no</v>
      </c>
    </row>
    <row r="242" customFormat="false" ht="15" hidden="false" customHeight="false" outlineLevel="0" collapsed="false">
      <c r="A242" s="9" t="n">
        <v>44120</v>
      </c>
      <c r="B242" s="10" t="n">
        <v>11762.45</v>
      </c>
      <c r="C242" s="11" t="n">
        <v>20.7014</v>
      </c>
      <c r="D242" s="11" t="n">
        <v>20.4395</v>
      </c>
      <c r="E242" s="11" t="n">
        <v>20.9632</v>
      </c>
      <c r="F242" s="12" t="n">
        <f aca="false">IF(C242="","",B242/C242)</f>
        <v>568.19587081067</v>
      </c>
      <c r="G242" s="12" t="n">
        <f aca="false">MEDIAN(F232:F252)</f>
        <v>577.725495873751</v>
      </c>
      <c r="H242" s="13" t="n">
        <f aca="false">B242/G242</f>
        <v>20.359928865889</v>
      </c>
      <c r="I242" s="14" t="n">
        <f aca="false">B242/Summary!$C$8*100</f>
        <v>117.87085007666</v>
      </c>
      <c r="J242" s="14" t="n">
        <f aca="false">G242/Summary!$E$8*100</f>
        <v>98.1878125253074</v>
      </c>
      <c r="K242" s="15" t="n">
        <f aca="false">Summary!$D$9</f>
        <v>16.9374488591431</v>
      </c>
      <c r="L242" s="16" t="str">
        <f aca="false">IF(OR(D242="",E242=""),"edge hidden",IF(AND(H242&gt;=D242-0.02,H242&lt;=E242+0.02),"yes","no"))</f>
        <v>no</v>
      </c>
    </row>
    <row r="243" customFormat="false" ht="15" hidden="false" customHeight="false" outlineLevel="0" collapsed="false">
      <c r="A243" s="9" t="n">
        <v>44123</v>
      </c>
      <c r="B243" s="10" t="n">
        <v>11873.05</v>
      </c>
      <c r="C243" s="11" t="n">
        <v>20.5006</v>
      </c>
      <c r="D243" s="11" t="n">
        <v>20.4317</v>
      </c>
      <c r="E243" s="11" t="n">
        <v>20.5695</v>
      </c>
      <c r="F243" s="12" t="n">
        <f aca="false">IF(C243="","",B243/C243)</f>
        <v>579.156219817957</v>
      </c>
      <c r="G243" s="12" t="n">
        <f aca="false">MEDIAN(F233:F253)</f>
        <v>577.104957915713</v>
      </c>
      <c r="H243" s="13" t="n">
        <f aca="false">B243/G243</f>
        <v>20.5734673340548</v>
      </c>
      <c r="I243" s="14" t="n">
        <f aca="false">B243/Summary!$C$8*100</f>
        <v>118.979166457897</v>
      </c>
      <c r="J243" s="14" t="n">
        <f aca="false">G243/Summary!$E$8*100</f>
        <v>98.0823484855101</v>
      </c>
      <c r="K243" s="15" t="n">
        <f aca="false">Summary!$D$9</f>
        <v>16.9374488591431</v>
      </c>
      <c r="L243" s="16" t="str">
        <f aca="false">IF(OR(D243="",E243=""),"edge hidden",IF(AND(H243&gt;=D243-0.02,H243&lt;=E243+0.02),"yes","no"))</f>
        <v>yes</v>
      </c>
    </row>
    <row r="244" customFormat="false" ht="15" hidden="false" customHeight="false" outlineLevel="0" collapsed="false">
      <c r="A244" s="9" t="n">
        <v>44124</v>
      </c>
      <c r="B244" s="10" t="n">
        <v>11896.8</v>
      </c>
      <c r="C244" s="11" t="n">
        <v>20.5006</v>
      </c>
      <c r="D244" s="11" t="n">
        <v>20.4317</v>
      </c>
      <c r="E244" s="11" t="n">
        <v>20.5695</v>
      </c>
      <c r="F244" s="12" t="n">
        <f aca="false">IF(C244="","",B244/C244)</f>
        <v>580.314722495927</v>
      </c>
      <c r="G244" s="12" t="n">
        <f aca="false">MEDIAN(F234:F254)</f>
        <v>577.104957915713</v>
      </c>
      <c r="H244" s="13" t="n">
        <f aca="false">B244/G244</f>
        <v>20.6146210265925</v>
      </c>
      <c r="I244" s="14" t="n">
        <f aca="false">B244/Summary!$C$8*100</f>
        <v>119.217163872494</v>
      </c>
      <c r="J244" s="14" t="n">
        <f aca="false">G244/Summary!$E$8*100</f>
        <v>98.0823484855101</v>
      </c>
      <c r="K244" s="15" t="n">
        <f aca="false">Summary!$D$9</f>
        <v>16.9374488591431</v>
      </c>
      <c r="L244" s="16" t="str">
        <f aca="false">IF(OR(D244="",E244=""),"edge hidden",IF(AND(H244&gt;=D244-0.02,H244&lt;=E244+0.02),"yes","no"))</f>
        <v>no</v>
      </c>
    </row>
    <row r="245" customFormat="false" ht="15" hidden="false" customHeight="false" outlineLevel="0" collapsed="false">
      <c r="A245" s="9" t="n">
        <v>44125</v>
      </c>
      <c r="B245" s="10" t="n">
        <v>11937.65</v>
      </c>
      <c r="C245" s="11" t="n">
        <v>20.4927</v>
      </c>
      <c r="D245" s="11" t="n">
        <v>20.4159</v>
      </c>
      <c r="E245" s="11" t="n">
        <v>20.5695</v>
      </c>
      <c r="F245" s="12" t="n">
        <f aca="false">IF(C245="","",B245/C245)</f>
        <v>582.531828407189</v>
      </c>
      <c r="G245" s="12" t="n">
        <f aca="false">MEDIAN(F235:F255)</f>
        <v>577.449012248698</v>
      </c>
      <c r="H245" s="13" t="n">
        <f aca="false">B245/G245</f>
        <v>20.6730806474367</v>
      </c>
      <c r="I245" s="14" t="n">
        <f aca="false">B245/Summary!$C$8*100</f>
        <v>119.6265194256</v>
      </c>
      <c r="J245" s="14" t="n">
        <f aca="false">G245/Summary!$E$8*100</f>
        <v>98.1408225230711</v>
      </c>
      <c r="K245" s="15" t="n">
        <f aca="false">Summary!$D$9</f>
        <v>16.9374488591431</v>
      </c>
      <c r="L245" s="16" t="str">
        <f aca="false">IF(OR(D245="",E245=""),"edge hidden",IF(AND(H245&gt;=D245-0.02,H245&lt;=E245+0.02),"yes","no"))</f>
        <v>no</v>
      </c>
    </row>
    <row r="246" customFormat="false" ht="15" hidden="false" customHeight="false" outlineLevel="0" collapsed="false">
      <c r="A246" s="9" t="n">
        <v>44126</v>
      </c>
      <c r="B246" s="10" t="n">
        <v>11896.45</v>
      </c>
      <c r="C246" s="11" t="n">
        <v>20.3706</v>
      </c>
      <c r="D246" s="11" t="n">
        <v>20.1718</v>
      </c>
      <c r="E246" s="11" t="n">
        <v>20.5695</v>
      </c>
      <c r="F246" s="12" t="n">
        <f aca="false">IF(C246="","",B246/C246)</f>
        <v>584.000962170972</v>
      </c>
      <c r="G246" s="12" t="n">
        <f aca="false">MEDIAN(F236:F256)</f>
        <v>577.725495873751</v>
      </c>
      <c r="H246" s="13" t="n">
        <f aca="false">B246/G246</f>
        <v>20.5918729309459</v>
      </c>
      <c r="I246" s="14" t="n">
        <f aca="false">B246/Summary!$C$8*100</f>
        <v>119.213656542173</v>
      </c>
      <c r="J246" s="14" t="n">
        <f aca="false">G246/Summary!$E$8*100</f>
        <v>98.1878125253074</v>
      </c>
      <c r="K246" s="15" t="n">
        <f aca="false">Summary!$D$9</f>
        <v>16.9374488591431</v>
      </c>
      <c r="L246" s="16" t="str">
        <f aca="false">IF(OR(D246="",E246=""),"edge hidden",IF(AND(H246&gt;=D246-0.02,H246&lt;=E246+0.02),"yes","no"))</f>
        <v>no</v>
      </c>
    </row>
    <row r="247" customFormat="false" ht="15" hidden="false" customHeight="false" outlineLevel="0" collapsed="false">
      <c r="A247" s="9" t="n">
        <v>44127</v>
      </c>
      <c r="B247" s="10" t="n">
        <v>11930.35</v>
      </c>
      <c r="C247" s="11" t="n">
        <v>20.3588</v>
      </c>
      <c r="D247" s="11" t="n">
        <v>20.1561</v>
      </c>
      <c r="E247" s="11" t="n">
        <v>20.5616</v>
      </c>
      <c r="F247" s="12" t="n">
        <f aca="false">IF(C247="","",B247/C247)</f>
        <v>586.004577872959</v>
      </c>
      <c r="G247" s="12" t="n">
        <f aca="false">MEDIAN(F237:F257)</f>
        <v>578.512724424749</v>
      </c>
      <c r="H247" s="13" t="n">
        <f aca="false">B247/G247</f>
        <v>20.6224504601227</v>
      </c>
      <c r="I247" s="14" t="n">
        <f aca="false">B247/Summary!$C$8*100</f>
        <v>119.55336653606</v>
      </c>
      <c r="J247" s="14" t="n">
        <f aca="false">G247/Summary!$E$8*100</f>
        <v>98.3216066021345</v>
      </c>
      <c r="K247" s="15" t="n">
        <f aca="false">Summary!$D$9</f>
        <v>16.9374488591431</v>
      </c>
      <c r="L247" s="16" t="str">
        <f aca="false">IF(OR(D247="",E247=""),"edge hidden",IF(AND(H247&gt;=D247-0.02,H247&lt;=E247+0.02),"yes","no"))</f>
        <v>no</v>
      </c>
    </row>
    <row r="248" customFormat="false" ht="15" hidden="false" customHeight="false" outlineLevel="0" collapsed="false">
      <c r="A248" s="9" t="n">
        <v>44130</v>
      </c>
      <c r="B248" s="10" t="n">
        <v>11767.75</v>
      </c>
      <c r="C248" s="11" t="n">
        <v>20.284</v>
      </c>
      <c r="D248" s="11" t="n">
        <v>20.101</v>
      </c>
      <c r="E248" s="11" t="n">
        <v>20.4671</v>
      </c>
      <c r="F248" s="12" t="n">
        <f aca="false">IF(C248="","",B248/C248)</f>
        <v>580.149378820746</v>
      </c>
      <c r="G248" s="12" t="n">
        <f aca="false">MEDIAN(F238:F258)</f>
        <v>579.156219817957</v>
      </c>
      <c r="H248" s="13" t="n">
        <f aca="false">B248/G248</f>
        <v>20.3187837708087</v>
      </c>
      <c r="I248" s="14" t="n">
        <f aca="false">B248/Summary!$C$8*100</f>
        <v>117.923961078654</v>
      </c>
      <c r="J248" s="14" t="n">
        <f aca="false">G248/Summary!$E$8*100</f>
        <v>98.430972391736</v>
      </c>
      <c r="K248" s="15" t="n">
        <f aca="false">Summary!$D$9</f>
        <v>16.9374488591431</v>
      </c>
      <c r="L248" s="16" t="str">
        <f aca="false">IF(OR(D248="",E248=""),"edge hidden",IF(AND(H248&gt;=D248-0.02,H248&lt;=E248+0.02),"yes","no"))</f>
        <v>yes</v>
      </c>
    </row>
    <row r="249" customFormat="false" ht="15" hidden="false" customHeight="false" outlineLevel="0" collapsed="false">
      <c r="A249" s="9" t="n">
        <v>44131</v>
      </c>
      <c r="B249" s="10" t="n">
        <v>11889.4</v>
      </c>
      <c r="C249" s="11" t="n">
        <v>20.2368</v>
      </c>
      <c r="D249" s="11" t="n">
        <v>20.0301</v>
      </c>
      <c r="E249" s="11" t="n">
        <v>20.4435</v>
      </c>
      <c r="F249" s="12" t="n">
        <f aca="false">IF(C249="","",B249/C249)</f>
        <v>587.513836179633</v>
      </c>
      <c r="G249" s="12" t="n">
        <f aca="false">MEDIAN(F239:F259)</f>
        <v>580.149378820746</v>
      </c>
      <c r="H249" s="13" t="n">
        <f aca="false">B249/G249</f>
        <v>20.4936873743919</v>
      </c>
      <c r="I249" s="14" t="n">
        <f aca="false">B249/Summary!$C$8*100</f>
        <v>119.143008888577</v>
      </c>
      <c r="J249" s="14" t="n">
        <f aca="false">G249/Summary!$E$8*100</f>
        <v>98.5997655481229</v>
      </c>
      <c r="K249" s="15" t="n">
        <f aca="false">Summary!$D$9</f>
        <v>16.9374488591431</v>
      </c>
      <c r="L249" s="16" t="str">
        <f aca="false">IF(OR(D249="",E249=""),"edge hidden",IF(AND(H249&gt;=D249-0.02,H249&lt;=E249+0.02),"yes","no"))</f>
        <v>no</v>
      </c>
    </row>
    <row r="250" customFormat="false" ht="15" hidden="false" customHeight="false" outlineLevel="0" collapsed="false">
      <c r="A250" s="9" t="n">
        <v>44132</v>
      </c>
      <c r="B250" s="10" t="n">
        <v>11729.6</v>
      </c>
      <c r="C250" s="11" t="n">
        <v>20.1935</v>
      </c>
      <c r="D250" s="11" t="n">
        <v>19.9986</v>
      </c>
      <c r="E250" s="11" t="n">
        <v>20.3884</v>
      </c>
      <c r="F250" s="12" t="n">
        <f aca="false">IF(C250="","",B250/C250)</f>
        <v>580.860177779979</v>
      </c>
      <c r="G250" s="12" t="n">
        <f aca="false">MEDIAN(F240:F260)</f>
        <v>580.314722495927</v>
      </c>
      <c r="H250" s="13" t="n">
        <f aca="false">B250/G250</f>
        <v>20.2124804787842</v>
      </c>
      <c r="I250" s="14" t="n">
        <f aca="false">B250/Summary!$C$8*100</f>
        <v>117.541662073734</v>
      </c>
      <c r="J250" s="14" t="n">
        <f aca="false">G250/Summary!$E$8*100</f>
        <v>98.6278666686324</v>
      </c>
      <c r="K250" s="15" t="n">
        <f aca="false">Summary!$D$9</f>
        <v>16.9374488591431</v>
      </c>
      <c r="L250" s="16" t="str">
        <f aca="false">IF(OR(D250="",E250=""),"edge hidden",IF(AND(H250&gt;=D250-0.02,H250&lt;=E250+0.02),"yes","no"))</f>
        <v>yes</v>
      </c>
    </row>
    <row r="251" customFormat="false" ht="15" hidden="false" customHeight="false" outlineLevel="0" collapsed="false">
      <c r="A251" s="9" t="n">
        <v>44133</v>
      </c>
      <c r="B251" s="10" t="n">
        <v>11670.8</v>
      </c>
      <c r="C251" s="11" t="n">
        <v>20.1738</v>
      </c>
      <c r="D251" s="11" t="n">
        <v>19.9907</v>
      </c>
      <c r="E251" s="11" t="n">
        <v>20.3569</v>
      </c>
      <c r="F251" s="12" t="n">
        <f aca="false">IF(C251="","",B251/C251)</f>
        <v>578.512724424749</v>
      </c>
      <c r="G251" s="12" t="n">
        <f aca="false">MEDIAN(F241:F261)</f>
        <v>580.860177779979</v>
      </c>
      <c r="H251" s="13" t="n">
        <f aca="false">B251/G251</f>
        <v>20.0922708191243</v>
      </c>
      <c r="I251" s="14" t="n">
        <f aca="false">B251/Summary!$C$8*100</f>
        <v>116.952430579912</v>
      </c>
      <c r="J251" s="14" t="n">
        <f aca="false">G251/Summary!$E$8*100</f>
        <v>98.7205699707264</v>
      </c>
      <c r="K251" s="15" t="n">
        <f aca="false">Summary!$D$9</f>
        <v>16.9374488591431</v>
      </c>
      <c r="L251" s="16" t="str">
        <f aca="false">IF(OR(D251="",E251=""),"edge hidden",IF(AND(H251&gt;=D251-0.02,H251&lt;=E251+0.02),"yes","no"))</f>
        <v>yes</v>
      </c>
    </row>
    <row r="252" customFormat="false" ht="15" hidden="false" customHeight="false" outlineLevel="0" collapsed="false">
      <c r="A252" s="9" t="n">
        <v>44134</v>
      </c>
      <c r="B252" s="10" t="n">
        <v>11642.4</v>
      </c>
      <c r="C252" s="11" t="n">
        <v>20.1738</v>
      </c>
      <c r="D252" s="11" t="n">
        <v>19.9907</v>
      </c>
      <c r="E252" s="11" t="n">
        <v>20.3569</v>
      </c>
      <c r="F252" s="12" t="n">
        <f aca="false">IF(C252="","",B252/C252)</f>
        <v>577.104957915713</v>
      </c>
      <c r="G252" s="12" t="n">
        <f aca="false">MEDIAN(F242:F262)</f>
        <v>582.531828407189</v>
      </c>
      <c r="H252" s="13" t="n">
        <f aca="false">B252/G252</f>
        <v>19.9858607414357</v>
      </c>
      <c r="I252" s="14" t="n">
        <f aca="false">B252/Summary!$C$8*100</f>
        <v>116.667835776773</v>
      </c>
      <c r="J252" s="14" t="n">
        <f aca="false">G252/Summary!$E$8*100</f>
        <v>99.0046767300171</v>
      </c>
      <c r="K252" s="15" t="n">
        <f aca="false">Summary!$D$9</f>
        <v>16.9374488591431</v>
      </c>
      <c r="L252" s="16" t="str">
        <f aca="false">IF(OR(D252="",E252=""),"edge hidden",IF(AND(H252&gt;=D252-0.02,H252&lt;=E252+0.02),"yes","no"))</f>
        <v>yes</v>
      </c>
    </row>
    <row r="253" customFormat="false" ht="15" hidden="false" customHeight="false" outlineLevel="0" collapsed="false">
      <c r="A253" s="9" t="n">
        <v>44137</v>
      </c>
      <c r="B253" s="10" t="n">
        <v>11669.15</v>
      </c>
      <c r="C253" s="11" t="n">
        <v>20.5242</v>
      </c>
      <c r="D253" s="11" t="n">
        <v>20.0065</v>
      </c>
      <c r="E253" s="11" t="n">
        <v>21.0419</v>
      </c>
      <c r="F253" s="12" t="n">
        <f aca="false">IF(C253="","",B253/C253)</f>
        <v>568.555656249695</v>
      </c>
      <c r="G253" s="12" t="n">
        <f aca="false">MEDIAN(F243:F263)</f>
        <v>583.521814665487</v>
      </c>
      <c r="H253" s="13" t="n">
        <f aca="false">B253/G253</f>
        <v>19.997795638008</v>
      </c>
      <c r="I253" s="14" t="n">
        <f aca="false">B253/Summary!$C$8*100</f>
        <v>116.935896022687</v>
      </c>
      <c r="J253" s="14" t="n">
        <f aca="false">G253/Summary!$E$8*100</f>
        <v>99.1729306600005</v>
      </c>
      <c r="K253" s="15" t="n">
        <f aca="false">Summary!$D$9</f>
        <v>16.9374488591431</v>
      </c>
      <c r="L253" s="16" t="str">
        <f aca="false">IF(OR(D253="",E253=""),"edge hidden",IF(AND(H253&gt;=D253-0.02,H253&lt;=E253+0.02),"yes","no"))</f>
        <v>yes</v>
      </c>
    </row>
    <row r="254" customFormat="false" ht="15" hidden="false" customHeight="false" outlineLevel="0" collapsed="false">
      <c r="A254" s="9" t="n">
        <v>44138</v>
      </c>
      <c r="B254" s="10" t="n">
        <v>11813.5</v>
      </c>
      <c r="C254" s="11" t="n">
        <v>20.5439</v>
      </c>
      <c r="D254" s="11" t="n">
        <v>20.0143</v>
      </c>
      <c r="E254" s="11" t="n">
        <v>21.0734</v>
      </c>
      <c r="F254" s="12" t="n">
        <f aca="false">IF(C254="","",B254/C254)</f>
        <v>575.036872258919</v>
      </c>
      <c r="G254" s="12" t="n">
        <f aca="false">MEDIAN(F244:F264)</f>
        <v>584.000962170972</v>
      </c>
      <c r="H254" s="13" t="n">
        <f aca="false">B254/G254</f>
        <v>20.2285625627813</v>
      </c>
      <c r="I254" s="14" t="n">
        <f aca="false">B254/Summary!$C$8*100</f>
        <v>118.382419256246</v>
      </c>
      <c r="J254" s="14" t="n">
        <f aca="false">G254/Summary!$E$8*100</f>
        <v>99.2543645689704</v>
      </c>
      <c r="K254" s="15" t="n">
        <f aca="false">Summary!$D$9</f>
        <v>16.9374488591431</v>
      </c>
      <c r="L254" s="16" t="str">
        <f aca="false">IF(OR(D254="",E254=""),"edge hidden",IF(AND(H254&gt;=D254-0.02,H254&lt;=E254+0.02),"yes","no"))</f>
        <v>yes</v>
      </c>
    </row>
    <row r="255" customFormat="false" ht="15" hidden="false" customHeight="false" outlineLevel="0" collapsed="false">
      <c r="A255" s="9" t="n">
        <v>44139</v>
      </c>
      <c r="B255" s="10" t="n">
        <v>11908.5</v>
      </c>
      <c r="C255" s="11" t="n">
        <v>20.6226</v>
      </c>
      <c r="D255" s="11" t="n">
        <v>20.1482</v>
      </c>
      <c r="E255" s="11" t="n">
        <v>21.097</v>
      </c>
      <c r="F255" s="12" t="n">
        <f aca="false">IF(C255="","",B255/C255)</f>
        <v>577.449012248698</v>
      </c>
      <c r="G255" s="12" t="n">
        <f aca="false">MEDIAN(F245:F265)</f>
        <v>584.730367615506</v>
      </c>
      <c r="H255" s="13" t="n">
        <f aca="false">B255/G255</f>
        <v>20.3657970571327</v>
      </c>
      <c r="I255" s="14" t="n">
        <f aca="false">B255/Summary!$C$8*100</f>
        <v>119.334408914632</v>
      </c>
      <c r="J255" s="14" t="n">
        <f aca="false">G255/Summary!$E$8*100</f>
        <v>99.3783312721094</v>
      </c>
      <c r="K255" s="15" t="n">
        <f aca="false">Summary!$D$9</f>
        <v>16.9374488591431</v>
      </c>
      <c r="L255" s="16" t="str">
        <f aca="false">IF(OR(D255="",E255=""),"edge hidden",IF(AND(H255&gt;=D255-0.02,H255&lt;=E255+0.02),"yes","no"))</f>
        <v>yes</v>
      </c>
    </row>
    <row r="256" customFormat="false" ht="15" hidden="false" customHeight="false" outlineLevel="0" collapsed="false">
      <c r="A256" s="9" t="n">
        <v>44140</v>
      </c>
      <c r="B256" s="10" t="n">
        <v>12120.3</v>
      </c>
      <c r="C256" s="11" t="n">
        <v>20.6935</v>
      </c>
      <c r="D256" s="11" t="n">
        <v>20.2348</v>
      </c>
      <c r="E256" s="11" t="n">
        <v>21.1521</v>
      </c>
      <c r="F256" s="12" t="n">
        <f aca="false">IF(C256="","",B256/C256)</f>
        <v>585.705656365525</v>
      </c>
      <c r="G256" s="12" t="n">
        <f aca="false">MEDIAN(F246:F266)</f>
        <v>585.705656365525</v>
      </c>
      <c r="H256" s="13" t="n">
        <f aca="false">B256/G256</f>
        <v>20.6935</v>
      </c>
      <c r="I256" s="14" t="n">
        <f aca="false">B256/Summary!$C$8*100</f>
        <v>121.456844805644</v>
      </c>
      <c r="J256" s="14" t="n">
        <f aca="false">G256/Summary!$E$8*100</f>
        <v>99.544087274967</v>
      </c>
      <c r="K256" s="15" t="n">
        <f aca="false">Summary!$D$9</f>
        <v>16.9374488591431</v>
      </c>
      <c r="L256" s="16" t="str">
        <f aca="false">IF(OR(D256="",E256=""),"edge hidden",IF(AND(H256&gt;=D256-0.02,H256&lt;=E256+0.02),"yes","no"))</f>
        <v>yes</v>
      </c>
    </row>
    <row r="257" customFormat="false" ht="15" hidden="false" customHeight="false" outlineLevel="0" collapsed="false">
      <c r="A257" s="9" t="n">
        <v>44141</v>
      </c>
      <c r="B257" s="10" t="n">
        <v>12263.55</v>
      </c>
      <c r="C257" s="11" t="n">
        <v>20.973</v>
      </c>
      <c r="D257" s="11" t="n">
        <v>20.4632</v>
      </c>
      <c r="E257" s="11" t="n">
        <v>21.4828</v>
      </c>
      <c r="F257" s="12" t="n">
        <f aca="false">IF(C257="","",B257/C257)</f>
        <v>584.730367615506</v>
      </c>
      <c r="G257" s="12" t="n">
        <f aca="false">MEDIAN(F247:F267)</f>
        <v>586.004577872959</v>
      </c>
      <c r="H257" s="13" t="n">
        <f aca="false">B257/G257</f>
        <v>20.9273962406803</v>
      </c>
      <c r="I257" s="14" t="n">
        <f aca="false">B257/Summary!$C$8*100</f>
        <v>122.892345001052</v>
      </c>
      <c r="J257" s="14" t="n">
        <f aca="false">G257/Summary!$E$8*100</f>
        <v>99.5948907259854</v>
      </c>
      <c r="K257" s="15" t="n">
        <f aca="false">Summary!$D$9</f>
        <v>16.9374488591431</v>
      </c>
      <c r="L257" s="16" t="str">
        <f aca="false">IF(OR(D257="",E257=""),"edge hidden",IF(AND(H257&gt;=D257-0.02,H257&lt;=E257+0.02),"yes","no"))</f>
        <v>yes</v>
      </c>
    </row>
    <row r="258" customFormat="false" ht="15" hidden="false" customHeight="false" outlineLevel="0" collapsed="false">
      <c r="A258" s="9" t="n">
        <v>44144</v>
      </c>
      <c r="B258" s="10" t="n">
        <v>12461.05</v>
      </c>
      <c r="C258" s="11" t="n">
        <v>21.3549</v>
      </c>
      <c r="D258" s="11" t="n">
        <v>21.0695</v>
      </c>
      <c r="E258" s="11" t="n">
        <v>21.6403</v>
      </c>
      <c r="F258" s="12" t="n">
        <f aca="false">IF(C258="","",B258/C258)</f>
        <v>583.521814665487</v>
      </c>
      <c r="G258" s="12" t="n">
        <f aca="false">MEDIAN(F248:F268)</f>
        <v>587.513836179633</v>
      </c>
      <c r="H258" s="13" t="n">
        <f aca="false">B258/G258</f>
        <v>21.2097983615658</v>
      </c>
      <c r="I258" s="14" t="n">
        <f aca="false">B258/Summary!$C$8*100</f>
        <v>124.871481396118</v>
      </c>
      <c r="J258" s="14" t="n">
        <f aca="false">G258/Summary!$E$8*100</f>
        <v>99.8513979646764</v>
      </c>
      <c r="K258" s="15" t="n">
        <f aca="false">Summary!$D$9</f>
        <v>16.9374488591431</v>
      </c>
      <c r="L258" s="16" t="str">
        <f aca="false">IF(OR(D258="",E258=""),"edge hidden",IF(AND(H258&gt;=D258-0.02,H258&lt;=E258+0.02),"yes","no"))</f>
        <v>yes</v>
      </c>
    </row>
    <row r="259" customFormat="false" ht="15" hidden="false" customHeight="false" outlineLevel="0" collapsed="false">
      <c r="A259" s="9" t="n">
        <v>44145</v>
      </c>
      <c r="B259" s="10" t="n">
        <v>12631.1</v>
      </c>
      <c r="C259" s="11" t="n">
        <v>21.3628</v>
      </c>
      <c r="D259" s="11" t="n">
        <v>21.0852</v>
      </c>
      <c r="E259" s="11" t="n">
        <v>21.6403</v>
      </c>
      <c r="F259" s="12" t="n">
        <f aca="false">IF(C259="","",B259/C259)</f>
        <v>591.266126163237</v>
      </c>
      <c r="G259" s="12" t="n">
        <f aca="false">MEDIAN(F249:F269)</f>
        <v>590.363127192207</v>
      </c>
      <c r="H259" s="13" t="n">
        <f aca="false">B259/G259</f>
        <v>21.395475798216</v>
      </c>
      <c r="I259" s="14" t="n">
        <f aca="false">B259/Summary!$C$8*100</f>
        <v>126.575542884629</v>
      </c>
      <c r="J259" s="14" t="n">
        <f aca="false">G259/Summary!$E$8*100</f>
        <v>100.335651565687</v>
      </c>
      <c r="K259" s="15" t="n">
        <f aca="false">Summary!$D$9</f>
        <v>16.9374488591431</v>
      </c>
      <c r="L259" s="16" t="str">
        <f aca="false">IF(OR(D259="",E259=""),"edge hidden",IF(AND(H259&gt;=D259-0.02,H259&lt;=E259+0.02),"yes","no"))</f>
        <v>yes</v>
      </c>
    </row>
    <row r="260" customFormat="false" ht="15" hidden="false" customHeight="false" outlineLevel="0" collapsed="false">
      <c r="A260" s="9" t="n">
        <v>44146</v>
      </c>
      <c r="B260" s="10" t="n">
        <v>12749.15</v>
      </c>
      <c r="C260" s="11" t="n">
        <v>21.4258</v>
      </c>
      <c r="D260" s="11" t="n">
        <v>21.2112</v>
      </c>
      <c r="E260" s="11" t="n">
        <v>21.6403</v>
      </c>
      <c r="F260" s="12" t="n">
        <f aca="false">IF(C260="","",B260/C260)</f>
        <v>595.037291489699</v>
      </c>
      <c r="G260" s="12" t="n">
        <f aca="false">MEDIAN(F250:F270)</f>
        <v>591.266126163237</v>
      </c>
      <c r="H260" s="13" t="n">
        <f aca="false">B260/G260</f>
        <v>21.5624562880509</v>
      </c>
      <c r="I260" s="14" t="n">
        <f aca="false">B260/Summary!$C$8*100</f>
        <v>127.758515296971</v>
      </c>
      <c r="J260" s="14" t="n">
        <f aca="false">G260/Summary!$E$8*100</f>
        <v>100.489121499611</v>
      </c>
      <c r="K260" s="15" t="n">
        <f aca="false">Summary!$D$9</f>
        <v>16.9374488591431</v>
      </c>
      <c r="L260" s="16" t="str">
        <f aca="false">IF(OR(D260="",E260=""),"edge hidden",IF(AND(H260&gt;=D260-0.02,H260&lt;=E260+0.02),"yes","no"))</f>
        <v>yes</v>
      </c>
    </row>
    <row r="261" customFormat="false" ht="15" hidden="false" customHeight="false" outlineLevel="0" collapsed="false">
      <c r="A261" s="9" t="n">
        <v>44147</v>
      </c>
      <c r="B261" s="10" t="n">
        <v>12690.8</v>
      </c>
      <c r="C261" s="11" t="n">
        <v>21.4966</v>
      </c>
      <c r="D261" s="11" t="n">
        <v>21.3608</v>
      </c>
      <c r="E261" s="11" t="n">
        <v>21.6325</v>
      </c>
      <c r="F261" s="12" t="n">
        <f aca="false">IF(C261="","",B261/C261)</f>
        <v>590.363127192207</v>
      </c>
      <c r="G261" s="12" t="n">
        <f aca="false">MEDIAN(F251:F271)</f>
        <v>591.933937679163</v>
      </c>
      <c r="H261" s="13" t="n">
        <f aca="false">B261/G261</f>
        <v>21.4395546397588</v>
      </c>
      <c r="I261" s="14" t="n">
        <f aca="false">B261/Summary!$C$8*100</f>
        <v>127.173793227846</v>
      </c>
      <c r="J261" s="14" t="n">
        <f aca="false">G261/Summary!$E$8*100</f>
        <v>100.602619955879</v>
      </c>
      <c r="K261" s="15" t="n">
        <f aca="false">Summary!$D$9</f>
        <v>16.9374488591431</v>
      </c>
      <c r="L261" s="16" t="str">
        <f aca="false">IF(OR(D261="",E261=""),"edge hidden",IF(AND(H261&gt;=D261-0.02,H261&lt;=E261+0.02),"yes","no"))</f>
        <v>yes</v>
      </c>
    </row>
    <row r="262" customFormat="false" ht="15" hidden="false" customHeight="false" outlineLevel="0" collapsed="false">
      <c r="A262" s="9" t="n">
        <v>44148</v>
      </c>
      <c r="B262" s="10" t="n">
        <v>12719.95</v>
      </c>
      <c r="C262" s="11" t="n">
        <v>21.4888</v>
      </c>
      <c r="D262" s="11" t="n">
        <v>21.3608</v>
      </c>
      <c r="E262" s="11" t="n">
        <v>21.6167</v>
      </c>
      <c r="F262" s="12" t="n">
        <f aca="false">IF(C262="","",B262/C262)</f>
        <v>591.933937679163</v>
      </c>
      <c r="G262" s="12" t="n">
        <f aca="false">MEDIAN(F252:F272)</f>
        <v>595.037291489699</v>
      </c>
      <c r="H262" s="13" t="n">
        <f aca="false">B262/G262</f>
        <v>21.3767274453591</v>
      </c>
      <c r="I262" s="14" t="n">
        <f aca="false">B262/Summary!$C$8*100</f>
        <v>127.465903738814</v>
      </c>
      <c r="J262" s="14" t="n">
        <f aca="false">G262/Summary!$E$8*100</f>
        <v>101.13005300899</v>
      </c>
      <c r="K262" s="15" t="n">
        <f aca="false">Summary!$D$9</f>
        <v>16.9374488591431</v>
      </c>
      <c r="L262" s="16" t="str">
        <f aca="false">IF(OR(D262="",E262=""),"edge hidden",IF(AND(H262&gt;=D262-0.02,H262&lt;=E262+0.02),"yes","no"))</f>
        <v>yes</v>
      </c>
    </row>
    <row r="263" customFormat="false" ht="15" hidden="false" customHeight="false" outlineLevel="0" collapsed="false">
      <c r="A263" s="9" t="n">
        <v>44152</v>
      </c>
      <c r="B263" s="10" t="n">
        <v>12874.2</v>
      </c>
      <c r="C263" s="11" t="n">
        <v>21.3195</v>
      </c>
      <c r="D263" s="11" t="n">
        <v>21.1639</v>
      </c>
      <c r="E263" s="11" t="n">
        <v>21.475</v>
      </c>
      <c r="F263" s="12" t="n">
        <f aca="false">IF(C263="","",B263/C263)</f>
        <v>603.869696756491</v>
      </c>
      <c r="G263" s="12" t="n">
        <f aca="false">MEDIAN(F253:F273)</f>
        <v>599.174309774577</v>
      </c>
      <c r="H263" s="13" t="n">
        <f aca="false">B263/G263</f>
        <v>21.4865687496574</v>
      </c>
      <c r="I263" s="14" t="n">
        <f aca="false">B263/Summary!$C$8*100</f>
        <v>129.01163431572</v>
      </c>
      <c r="J263" s="14" t="n">
        <f aca="false">G263/Summary!$E$8*100</f>
        <v>101.833163359269</v>
      </c>
      <c r="K263" s="15" t="n">
        <f aca="false">Summary!$D$9</f>
        <v>16.9374488591431</v>
      </c>
      <c r="L263" s="16" t="str">
        <f aca="false">IF(OR(D263="",E263=""),"edge hidden",IF(AND(H263&gt;=D263-0.02,H263&lt;=E263+0.02),"yes","no"))</f>
        <v>yes</v>
      </c>
    </row>
    <row r="264" customFormat="false" ht="15" hidden="false" customHeight="false" outlineLevel="0" collapsed="false">
      <c r="A264" s="9" t="n">
        <v>44153</v>
      </c>
      <c r="B264" s="10" t="n">
        <v>12938.25</v>
      </c>
      <c r="C264" s="11" t="n">
        <v>21.3155</v>
      </c>
      <c r="D264" s="11" t="n">
        <v>21.1639</v>
      </c>
      <c r="E264" s="11" t="n">
        <v>21.4671</v>
      </c>
      <c r="F264" s="12" t="n">
        <f aca="false">IF(C264="","",B264/C264)</f>
        <v>606.987872674814</v>
      </c>
      <c r="G264" s="12" t="n">
        <f aca="false">MEDIAN(F254:F274)</f>
        <v>602.794953894043</v>
      </c>
      <c r="H264" s="13" t="n">
        <f aca="false">B264/G264</f>
        <v>21.4637662714646</v>
      </c>
      <c r="I264" s="14" t="n">
        <f aca="false">B264/Summary!$C$8*100</f>
        <v>129.653475764348</v>
      </c>
      <c r="J264" s="14" t="n">
        <f aca="false">G264/Summary!$E$8*100</f>
        <v>102.448512912928</v>
      </c>
      <c r="K264" s="15" t="n">
        <f aca="false">Summary!$D$9</f>
        <v>16.9374488591431</v>
      </c>
      <c r="L264" s="16" t="str">
        <f aca="false">IF(OR(D264="",E264=""),"edge hidden",IF(AND(H264&gt;=D264-0.02,H264&lt;=E264+0.02),"yes","no"))</f>
        <v>yes</v>
      </c>
    </row>
    <row r="265" customFormat="false" ht="15" hidden="false" customHeight="false" outlineLevel="0" collapsed="false">
      <c r="A265" s="9" t="n">
        <v>44154</v>
      </c>
      <c r="B265" s="10" t="n">
        <v>12771.7</v>
      </c>
      <c r="C265" s="11" t="n">
        <v>21.3155</v>
      </c>
      <c r="D265" s="11" t="n">
        <v>21.1639</v>
      </c>
      <c r="E265" s="11" t="n">
        <v>21.4671</v>
      </c>
      <c r="F265" s="12" t="n">
        <f aca="false">IF(C265="","",B265/C265)</f>
        <v>599.174309774577</v>
      </c>
      <c r="G265" s="12" t="n">
        <f aca="false">MEDIAN(F255:F275)</f>
        <v>603.159079715753</v>
      </c>
      <c r="H265" s="13" t="n">
        <f aca="false">B265/G265</f>
        <v>21.1746791675901</v>
      </c>
      <c r="I265" s="14" t="n">
        <f aca="false">B265/Summary!$C$8*100</f>
        <v>127.98448757904</v>
      </c>
      <c r="J265" s="14" t="n">
        <f aca="false">G265/Summary!$E$8*100</f>
        <v>102.510398216888</v>
      </c>
      <c r="K265" s="15" t="n">
        <f aca="false">Summary!$D$9</f>
        <v>16.9374488591431</v>
      </c>
      <c r="L265" s="16" t="str">
        <f aca="false">IF(OR(D265="",E265=""),"edge hidden",IF(AND(H265&gt;=D265-0.02,H265&lt;=E265+0.02),"yes","no"))</f>
        <v>yes</v>
      </c>
    </row>
    <row r="266" customFormat="false" ht="15" hidden="false" customHeight="false" outlineLevel="0" collapsed="false">
      <c r="A266" s="9" t="n">
        <v>44155</v>
      </c>
      <c r="B266" s="10" t="n">
        <v>12859.05</v>
      </c>
      <c r="C266" s="11" t="n">
        <v>21.3195</v>
      </c>
      <c r="D266" s="11" t="n">
        <v>21.1639</v>
      </c>
      <c r="E266" s="11" t="n">
        <v>21.475</v>
      </c>
      <c r="F266" s="12" t="n">
        <f aca="false">IF(C266="","",B266/C266)</f>
        <v>603.159079715753</v>
      </c>
      <c r="G266" s="12" t="n">
        <f aca="false">MEDIAN(F256:F276)</f>
        <v>603.869696756491</v>
      </c>
      <c r="H266" s="13" t="n">
        <f aca="false">B266/G266</f>
        <v>21.2944118061705</v>
      </c>
      <c r="I266" s="14" t="n">
        <f aca="false">B266/Summary!$C$8*100</f>
        <v>128.859817017567</v>
      </c>
      <c r="J266" s="14" t="n">
        <f aca="false">G266/Summary!$E$8*100</f>
        <v>102.631171721384</v>
      </c>
      <c r="K266" s="15" t="n">
        <f aca="false">Summary!$D$9</f>
        <v>16.9374488591431</v>
      </c>
      <c r="L266" s="16" t="str">
        <f aca="false">IF(OR(D266="",E266=""),"edge hidden",IF(AND(H266&gt;=D266-0.02,H266&lt;=E266+0.02),"yes","no"))</f>
        <v>yes</v>
      </c>
    </row>
    <row r="267" customFormat="false" ht="15" hidden="false" customHeight="false" outlineLevel="0" collapsed="false">
      <c r="A267" s="9" t="n">
        <v>44158</v>
      </c>
      <c r="B267" s="10" t="n">
        <v>12926.45</v>
      </c>
      <c r="C267" s="11" t="n">
        <v>21.3352</v>
      </c>
      <c r="D267" s="11" t="n">
        <v>21.1718</v>
      </c>
      <c r="E267" s="11" t="n">
        <v>21.4986</v>
      </c>
      <c r="F267" s="12" t="n">
        <f aca="false">IF(C267="","",B267/C267)</f>
        <v>605.874329746147</v>
      </c>
      <c r="G267" s="12" t="n">
        <f aca="false">MEDIAN(F257:F277)</f>
        <v>605.874329746147</v>
      </c>
      <c r="H267" s="13" t="n">
        <f aca="false">B267/G267</f>
        <v>21.3352</v>
      </c>
      <c r="I267" s="14" t="n">
        <f aca="false">B267/Summary!$C$8*100</f>
        <v>129.535228627832</v>
      </c>
      <c r="J267" s="14" t="n">
        <f aca="false">G267/Summary!$E$8*100</f>
        <v>102.971870772363</v>
      </c>
      <c r="K267" s="15" t="n">
        <f aca="false">Summary!$D$9</f>
        <v>16.9374488591431</v>
      </c>
      <c r="L267" s="16" t="str">
        <f aca="false">IF(OR(D267="",E267=""),"edge hidden",IF(AND(H267&gt;=D267-0.02,H267&lt;=E267+0.02),"yes","no"))</f>
        <v>yes</v>
      </c>
    </row>
    <row r="268" customFormat="false" ht="15" hidden="false" customHeight="false" outlineLevel="0" collapsed="false">
      <c r="A268" s="9" t="n">
        <v>44159</v>
      </c>
      <c r="B268" s="10" t="n">
        <v>13055.15</v>
      </c>
      <c r="C268" s="11" t="n">
        <v>21.3313</v>
      </c>
      <c r="D268" s="11" t="n">
        <v>21.1639</v>
      </c>
      <c r="E268" s="11" t="n">
        <v>21.4986</v>
      </c>
      <c r="F268" s="12" t="n">
        <f aca="false">IF(C268="","",B268/C268)</f>
        <v>612.018489262258</v>
      </c>
      <c r="G268" s="12" t="n">
        <f aca="false">MEDIAN(F258:F278)</f>
        <v>606.987872674814</v>
      </c>
      <c r="H268" s="13" t="n">
        <f aca="false">B268/G268</f>
        <v>21.5080903387243</v>
      </c>
      <c r="I268" s="14" t="n">
        <f aca="false">B268/Summary!$C$8*100</f>
        <v>130.824924091351</v>
      </c>
      <c r="J268" s="14" t="n">
        <f aca="false">G268/Summary!$E$8*100</f>
        <v>103.161123878032</v>
      </c>
      <c r="K268" s="15" t="n">
        <f aca="false">Summary!$D$9</f>
        <v>16.9374488591431</v>
      </c>
      <c r="L268" s="16" t="str">
        <f aca="false">IF(OR(D268="",E268=""),"edge hidden",IF(AND(H268&gt;=D268-0.02,H268&lt;=E268+0.02),"yes","no"))</f>
        <v>yes</v>
      </c>
    </row>
    <row r="269" customFormat="false" ht="15" hidden="false" customHeight="false" outlineLevel="0" collapsed="false">
      <c r="A269" s="9" t="n">
        <v>44160</v>
      </c>
      <c r="B269" s="10" t="n">
        <v>12858.4</v>
      </c>
      <c r="C269" s="11" t="n">
        <v>21.3313</v>
      </c>
      <c r="D269" s="11" t="n">
        <v>21.1718</v>
      </c>
      <c r="E269" s="11" t="n">
        <v>21.4907</v>
      </c>
      <c r="F269" s="12" t="n">
        <f aca="false">IF(C269="","",B269/C269)</f>
        <v>602.794953894043</v>
      </c>
      <c r="G269" s="12" t="n">
        <f aca="false">MEDIAN(F259:F279)</f>
        <v>608.202725644128</v>
      </c>
      <c r="H269" s="13" t="n">
        <f aca="false">B269/G269</f>
        <v>21.1416349480875</v>
      </c>
      <c r="I269" s="14" t="n">
        <f aca="false">B269/Summary!$C$8*100</f>
        <v>128.853303404115</v>
      </c>
      <c r="J269" s="14" t="n">
        <f aca="false">G269/Summary!$E$8*100</f>
        <v>103.36759521511</v>
      </c>
      <c r="K269" s="15" t="n">
        <f aca="false">Summary!$D$9</f>
        <v>16.9374488591431</v>
      </c>
      <c r="L269" s="16" t="str">
        <f aca="false">IF(OR(D269="",E269=""),"edge hidden",IF(AND(H269&gt;=D269-0.02,H269&lt;=E269+0.02),"yes","no"))</f>
        <v>no</v>
      </c>
    </row>
    <row r="270" customFormat="false" ht="15" hidden="false" customHeight="false" outlineLevel="0" collapsed="false">
      <c r="A270" s="9" t="n">
        <v>44161</v>
      </c>
      <c r="B270" s="10" t="n">
        <v>12987</v>
      </c>
      <c r="C270" s="11" t="n">
        <v>21.3273</v>
      </c>
      <c r="D270" s="11" t="n">
        <v>21.1797</v>
      </c>
      <c r="E270" s="11" t="n">
        <v>21.475</v>
      </c>
      <c r="F270" s="12" t="n">
        <f aca="false">IF(C270="","",B270/C270)</f>
        <v>608.937840232941</v>
      </c>
      <c r="G270" s="12" t="n">
        <f aca="false">MEDIAN(F260:F280)</f>
        <v>608.937840232941</v>
      </c>
      <c r="H270" s="13" t="n">
        <f aca="false">B270/G270</f>
        <v>21.3273</v>
      </c>
      <c r="I270" s="14" t="n">
        <f aca="false">B270/Summary!$C$8*100</f>
        <v>130.141996773256</v>
      </c>
      <c r="J270" s="14" t="n">
        <f aca="false">G270/Summary!$E$8*100</f>
        <v>103.492532220568</v>
      </c>
      <c r="K270" s="15" t="n">
        <f aca="false">Summary!$D$9</f>
        <v>16.9374488591431</v>
      </c>
      <c r="L270" s="16" t="str">
        <f aca="false">IF(OR(D270="",E270=""),"edge hidden",IF(AND(H270&gt;=D270-0.02,H270&lt;=E270+0.02),"yes","no"))</f>
        <v>yes</v>
      </c>
    </row>
    <row r="271" customFormat="false" ht="15" hidden="false" customHeight="false" outlineLevel="0" collapsed="false">
      <c r="A271" s="9" t="n">
        <v>44162</v>
      </c>
      <c r="B271" s="10" t="n">
        <v>12968.95</v>
      </c>
      <c r="C271" s="11" t="n">
        <v>21.3234</v>
      </c>
      <c r="D271" s="11" t="n">
        <v>21.1876</v>
      </c>
      <c r="E271" s="11" t="n">
        <v>21.4592</v>
      </c>
      <c r="F271" s="12" t="n">
        <f aca="false">IF(C271="","",B271/C271)</f>
        <v>608.202725644128</v>
      </c>
      <c r="G271" s="12" t="n">
        <f aca="false">MEDIAN(F261:F281)</f>
        <v>611.42224022271</v>
      </c>
      <c r="H271" s="13" t="n">
        <f aca="false">B271/G271</f>
        <v>21.2111191690968</v>
      </c>
      <c r="I271" s="14" t="n">
        <f aca="false">B271/Summary!$C$8*100</f>
        <v>129.961118738163</v>
      </c>
      <c r="J271" s="14" t="n">
        <f aca="false">G271/Summary!$E$8*100</f>
        <v>103.914770467236</v>
      </c>
      <c r="K271" s="15" t="n">
        <f aca="false">Summary!$D$9</f>
        <v>16.9374488591431</v>
      </c>
      <c r="L271" s="16" t="str">
        <f aca="false">IF(OR(D271="",E271=""),"edge hidden",IF(AND(H271&gt;=D271-0.02,H271&lt;=E271+0.02),"yes","no"))</f>
        <v>yes</v>
      </c>
    </row>
    <row r="272" customFormat="false" ht="15" hidden="false" customHeight="false" outlineLevel="0" collapsed="false">
      <c r="A272" s="9" t="n">
        <v>44166</v>
      </c>
      <c r="B272" s="10" t="n">
        <v>13109.05</v>
      </c>
      <c r="C272" s="11" t="n">
        <v>21.4021</v>
      </c>
      <c r="D272" s="11" t="n">
        <v>21.2506</v>
      </c>
      <c r="E272" s="11" t="n">
        <v>21.5537</v>
      </c>
      <c r="F272" s="12" t="n">
        <f aca="false">IF(C272="","",B272/C272)</f>
        <v>612.512323557034</v>
      </c>
      <c r="G272" s="12" t="n">
        <f aca="false">MEDIAN(F262:F282)</f>
        <v>612.018489262258</v>
      </c>
      <c r="H272" s="13" t="n">
        <f aca="false">B272/G272</f>
        <v>21.4193692347464</v>
      </c>
      <c r="I272" s="14" t="n">
        <f aca="false">B272/Summary!$C$8*100</f>
        <v>131.365052960688</v>
      </c>
      <c r="J272" s="14" t="n">
        <f aca="false">G272/Summary!$E$8*100</f>
        <v>104.016106463884</v>
      </c>
      <c r="K272" s="15" t="n">
        <f aca="false">Summary!$D$9</f>
        <v>16.9374488591431</v>
      </c>
      <c r="L272" s="16" t="str">
        <f aca="false">IF(OR(D272="",E272=""),"edge hidden",IF(AND(H272&gt;=D272-0.02,H272&lt;=E272+0.02),"yes","no"))</f>
        <v>yes</v>
      </c>
    </row>
    <row r="273" customFormat="false" ht="15" hidden="false" customHeight="false" outlineLevel="0" collapsed="false">
      <c r="A273" s="9" t="n">
        <v>44167</v>
      </c>
      <c r="B273" s="10" t="n">
        <v>13113.75</v>
      </c>
      <c r="C273" s="11" t="n">
        <v>21.41</v>
      </c>
      <c r="D273" s="11" t="n">
        <v>21.2584</v>
      </c>
      <c r="E273" s="11" t="n">
        <v>21.5616</v>
      </c>
      <c r="F273" s="12" t="n">
        <f aca="false">IF(C273="","",B273/C273)</f>
        <v>612.505838393274</v>
      </c>
      <c r="G273" s="12" t="n">
        <f aca="false">MEDIAN(F263:F283)</f>
        <v>612.505838393274</v>
      </c>
      <c r="H273" s="13" t="n">
        <f aca="false">B273/G273</f>
        <v>21.41</v>
      </c>
      <c r="I273" s="14" t="n">
        <f aca="false">B273/Summary!$C$8*100</f>
        <v>131.412151396419</v>
      </c>
      <c r="J273" s="14" t="n">
        <f aca="false">G273/Summary!$E$8*100</f>
        <v>104.098934286877</v>
      </c>
      <c r="K273" s="15" t="n">
        <f aca="false">Summary!$D$9</f>
        <v>16.9374488591431</v>
      </c>
      <c r="L273" s="16" t="str">
        <f aca="false">IF(OR(D273="",E273=""),"edge hidden",IF(AND(H273&gt;=D273-0.02,H273&lt;=E273+0.02),"yes","no"))</f>
        <v>yes</v>
      </c>
    </row>
    <row r="274" customFormat="false" ht="15" hidden="false" customHeight="false" outlineLevel="0" collapsed="false">
      <c r="A274" s="9" t="n">
        <v>44168</v>
      </c>
      <c r="B274" s="10" t="n">
        <v>13133.9</v>
      </c>
      <c r="C274" s="11" t="n">
        <v>21.4809</v>
      </c>
      <c r="D274" s="11" t="n">
        <v>21.3844</v>
      </c>
      <c r="E274" s="11" t="n">
        <v>21.5773</v>
      </c>
      <c r="F274" s="12" t="n">
        <f aca="false">IF(C274="","",B274/C274)</f>
        <v>611.42224022271</v>
      </c>
      <c r="G274" s="12" t="n">
        <f aca="false">MEDIAN(F264:F284)</f>
        <v>612.512323557034</v>
      </c>
      <c r="H274" s="13" t="n">
        <f aca="false">B274/G274</f>
        <v>21.4426706122869</v>
      </c>
      <c r="I274" s="14" t="n">
        <f aca="false">B274/Summary!$C$8*100</f>
        <v>131.614073413434</v>
      </c>
      <c r="J274" s="14" t="n">
        <f aca="false">G274/Summary!$E$8*100</f>
        <v>104.100036478226</v>
      </c>
      <c r="K274" s="15" t="n">
        <f aca="false">Summary!$D$9</f>
        <v>16.9374488591431</v>
      </c>
      <c r="L274" s="16" t="str">
        <f aca="false">IF(OR(D274="",E274=""),"edge hidden",IF(AND(H274&gt;=D274-0.02,H274&lt;=E274+0.02),"yes","no"))</f>
        <v>yes</v>
      </c>
    </row>
    <row r="275" customFormat="false" ht="15" hidden="false" customHeight="false" outlineLevel="0" collapsed="false">
      <c r="A275" s="9" t="n">
        <v>44169</v>
      </c>
      <c r="B275" s="10" t="n">
        <v>13258.55</v>
      </c>
      <c r="C275" s="11" t="n">
        <v>21.5675</v>
      </c>
      <c r="D275" s="11" t="n">
        <v>21.4474</v>
      </c>
      <c r="E275" s="11" t="n">
        <v>21.6876</v>
      </c>
      <c r="F275" s="12" t="n">
        <f aca="false">IF(C275="","",B275/C275)</f>
        <v>614.746725397009</v>
      </c>
      <c r="G275" s="12" t="n">
        <f aca="false">MEDIAN(F265:F285)</f>
        <v>614.746725397009</v>
      </c>
      <c r="H275" s="13" t="n">
        <f aca="false">B275/G275</f>
        <v>21.5675</v>
      </c>
      <c r="I275" s="14" t="n">
        <f aca="false">B275/Summary!$C$8*100</f>
        <v>132.863184054674</v>
      </c>
      <c r="J275" s="14" t="n">
        <f aca="false">G275/Summary!$E$8*100</f>
        <v>104.479786083422</v>
      </c>
      <c r="K275" s="15" t="n">
        <f aca="false">Summary!$D$9</f>
        <v>16.9374488591431</v>
      </c>
      <c r="L275" s="16" t="str">
        <f aca="false">IF(OR(D275="",E275=""),"edge hidden",IF(AND(H275&gt;=D275-0.02,H275&lt;=E275+0.02),"yes","no"))</f>
        <v>yes</v>
      </c>
    </row>
    <row r="276" customFormat="false" ht="15" hidden="false" customHeight="false" outlineLevel="0" collapsed="false">
      <c r="A276" s="9" t="n">
        <v>44172</v>
      </c>
      <c r="B276" s="10" t="n">
        <v>13355.75</v>
      </c>
      <c r="C276" s="11" t="n">
        <v>21.7053</v>
      </c>
      <c r="D276" s="11" t="n">
        <v>21.5183</v>
      </c>
      <c r="E276" s="11" t="n">
        <v>21.8923</v>
      </c>
      <c r="F276" s="12" t="n">
        <f aca="false">IF(C276="","",B276/C276)</f>
        <v>615.322064196302</v>
      </c>
      <c r="G276" s="12" t="n">
        <f aca="false">MEDIAN(F266:F286)</f>
        <v>614.746725397009</v>
      </c>
      <c r="H276" s="13" t="n">
        <f aca="false">B276/G276</f>
        <v>21.725613896316</v>
      </c>
      <c r="I276" s="14" t="n">
        <f aca="false">B276/Summary!$C$8*100</f>
        <v>133.83721978936</v>
      </c>
      <c r="J276" s="14" t="n">
        <f aca="false">G276/Summary!$E$8*100</f>
        <v>104.479786083422</v>
      </c>
      <c r="K276" s="15" t="n">
        <f aca="false">Summary!$D$9</f>
        <v>16.9374488591431</v>
      </c>
      <c r="L276" s="16" t="str">
        <f aca="false">IF(OR(D276="",E276=""),"edge hidden",IF(AND(H276&gt;=D276-0.02,H276&lt;=E276+0.02),"yes","no"))</f>
        <v>yes</v>
      </c>
    </row>
    <row r="277" customFormat="false" ht="15" hidden="false" customHeight="false" outlineLevel="0" collapsed="false">
      <c r="A277" s="9" t="n">
        <v>44173</v>
      </c>
      <c r="B277" s="10" t="n">
        <v>13392.95</v>
      </c>
      <c r="C277" s="11" t="n">
        <v>21.7132</v>
      </c>
      <c r="D277" s="11" t="n">
        <v>21.534</v>
      </c>
      <c r="E277" s="11" t="n">
        <v>21.8923</v>
      </c>
      <c r="F277" s="12" t="n">
        <f aca="false">IF(C277="","",B277/C277)</f>
        <v>616.811432676897</v>
      </c>
      <c r="G277" s="12" t="n">
        <f aca="false">MEDIAN(F267:F287)</f>
        <v>615.322064196302</v>
      </c>
      <c r="H277" s="13" t="n">
        <f aca="false">B277/G277</f>
        <v>21.765756145106</v>
      </c>
      <c r="I277" s="14" t="n">
        <f aca="false">B277/Summary!$C$8*100</f>
        <v>134.209998897696</v>
      </c>
      <c r="J277" s="14" t="n">
        <f aca="false">G277/Summary!$E$8*100</f>
        <v>104.577568262964</v>
      </c>
      <c r="K277" s="15" t="n">
        <f aca="false">Summary!$D$9</f>
        <v>16.9374488591431</v>
      </c>
      <c r="L277" s="16" t="str">
        <f aca="false">IF(OR(D277="",E277=""),"edge hidden",IF(AND(H277&gt;=D277-0.02,H277&lt;=E277+0.02),"yes","no"))</f>
        <v>yes</v>
      </c>
    </row>
    <row r="278" customFormat="false" ht="15" hidden="false" customHeight="false" outlineLevel="0" collapsed="false">
      <c r="A278" s="9" t="n">
        <v>44174</v>
      </c>
      <c r="B278" s="10" t="n">
        <v>13529.1</v>
      </c>
      <c r="C278" s="11" t="n">
        <v>21.784</v>
      </c>
      <c r="D278" s="11" t="n">
        <v>21.6679</v>
      </c>
      <c r="E278" s="11" t="n">
        <v>21.9002</v>
      </c>
      <c r="F278" s="12" t="n">
        <f aca="false">IF(C278="","",B278/C278)</f>
        <v>621.056738890929</v>
      </c>
      <c r="G278" s="12" t="n">
        <f aca="false">MEDIAN(F268:F288)</f>
        <v>616.811432676897</v>
      </c>
      <c r="H278" s="13" t="n">
        <f aca="false">B278/G278</f>
        <v>21.9339319656984</v>
      </c>
      <c r="I278" s="14" t="n">
        <f aca="false">B278/Summary!$C$8*100</f>
        <v>135.57435039232</v>
      </c>
      <c r="J278" s="14" t="n">
        <f aca="false">G278/Summary!$E$8*100</f>
        <v>104.83069510988</v>
      </c>
      <c r="K278" s="15" t="n">
        <f aca="false">Summary!$D$9</f>
        <v>16.9374488591431</v>
      </c>
      <c r="L278" s="16" t="str">
        <f aca="false">IF(OR(D278="",E278=""),"edge hidden",IF(AND(H278&gt;=D278-0.02,H278&lt;=E278+0.02),"yes","no"))</f>
        <v>no</v>
      </c>
    </row>
    <row r="279" customFormat="false" ht="15" hidden="false" customHeight="false" outlineLevel="0" collapsed="false">
      <c r="A279" s="9" t="n">
        <v>44175</v>
      </c>
      <c r="B279" s="10" t="n">
        <v>13478.3</v>
      </c>
      <c r="C279" s="11" t="n">
        <v>21.7998</v>
      </c>
      <c r="D279" s="11" t="n">
        <v>21.6994</v>
      </c>
      <c r="E279" s="11" t="n">
        <v>21.9002</v>
      </c>
      <c r="F279" s="12" t="n">
        <f aca="false">IF(C279="","",B279/C279)</f>
        <v>618.276314461601</v>
      </c>
      <c r="G279" s="12" t="n">
        <f aca="false">MEDIAN(F269:F289)</f>
        <v>618.276314461601</v>
      </c>
      <c r="H279" s="13" t="n">
        <f aca="false">B279/G279</f>
        <v>21.7998</v>
      </c>
      <c r="I279" s="14" t="n">
        <f aca="false">B279/Summary!$C$8*100</f>
        <v>135.065286448678</v>
      </c>
      <c r="J279" s="14" t="n">
        <f aca="false">G279/Summary!$E$8*100</f>
        <v>105.079660300226</v>
      </c>
      <c r="K279" s="15" t="n">
        <f aca="false">Summary!$D$9</f>
        <v>16.9374488591431</v>
      </c>
      <c r="L279" s="16" t="str">
        <f aca="false">IF(OR(D279="",E279=""),"edge hidden",IF(AND(H279&gt;=D279-0.02,H279&lt;=E279+0.02),"yes","no"))</f>
        <v>yes</v>
      </c>
    </row>
    <row r="280" customFormat="false" ht="15" hidden="false" customHeight="false" outlineLevel="0" collapsed="false">
      <c r="A280" s="9" t="n">
        <v>44176</v>
      </c>
      <c r="B280" s="10" t="n">
        <v>13513.85</v>
      </c>
      <c r="C280" s="11" t="n">
        <v>21.8155</v>
      </c>
      <c r="D280" s="11" t="n">
        <v>21.7309</v>
      </c>
      <c r="E280" s="11" t="n">
        <v>21.9002</v>
      </c>
      <c r="F280" s="12" t="n">
        <f aca="false">IF(C280="","",B280/C280)</f>
        <v>619.460933739772</v>
      </c>
      <c r="G280" s="12" t="n">
        <f aca="false">MEDIAN(F270:F290)</f>
        <v>618.921213725857</v>
      </c>
      <c r="H280" s="13" t="n">
        <f aca="false">B280/G280</f>
        <v>21.8345238461737</v>
      </c>
      <c r="I280" s="14" t="n">
        <f aca="false">B280/Summary!$C$8*100</f>
        <v>135.42153099979</v>
      </c>
      <c r="J280" s="14" t="n">
        <f aca="false">G280/Summary!$E$8*100</f>
        <v>105.189264685888</v>
      </c>
      <c r="K280" s="15" t="n">
        <f aca="false">Summary!$D$9</f>
        <v>16.9374488591431</v>
      </c>
      <c r="L280" s="16" t="str">
        <f aca="false">IF(OR(D280="",E280=""),"edge hidden",IF(AND(H280&gt;=D280-0.02,H280&lt;=E280+0.02),"yes","no"))</f>
        <v>yes</v>
      </c>
    </row>
    <row r="281" customFormat="false" ht="15" hidden="false" customHeight="false" outlineLevel="0" collapsed="false">
      <c r="A281" s="9" t="n">
        <v>44179</v>
      </c>
      <c r="B281" s="10" t="n">
        <v>13558.15</v>
      </c>
      <c r="C281" s="11" t="n">
        <v>21.9061</v>
      </c>
      <c r="D281" s="11" t="n">
        <v>21.7466</v>
      </c>
      <c r="E281" s="11" t="n">
        <v>22.0655</v>
      </c>
      <c r="F281" s="12" t="n">
        <f aca="false">IF(C281="","",B281/C281)</f>
        <v>618.921213725857</v>
      </c>
      <c r="G281" s="12" t="n">
        <f aca="false">MEDIAN(F271:F291)</f>
        <v>619.143557285559</v>
      </c>
      <c r="H281" s="13" t="n">
        <f aca="false">B281/G281</f>
        <v>21.8982331972273</v>
      </c>
      <c r="I281" s="14" t="n">
        <f aca="false">B281/Summary!$C$8*100</f>
        <v>135.865458808911</v>
      </c>
      <c r="J281" s="14" t="n">
        <f aca="false">G281/Summary!$E$8*100</f>
        <v>105.227053268722</v>
      </c>
      <c r="K281" s="15" t="n">
        <f aca="false">Summary!$D$9</f>
        <v>16.9374488591431</v>
      </c>
      <c r="L281" s="16" t="str">
        <f aca="false">IF(OR(D281="",E281=""),"edge hidden",IF(AND(H281&gt;=D281-0.02,H281&lt;=E281+0.02),"yes","no"))</f>
        <v>yes</v>
      </c>
    </row>
    <row r="282" customFormat="false" ht="15" hidden="false" customHeight="false" outlineLevel="0" collapsed="false">
      <c r="A282" s="9" t="n">
        <v>44180</v>
      </c>
      <c r="B282" s="10" t="n">
        <v>13567.85</v>
      </c>
      <c r="C282" s="11" t="n">
        <v>21.9139</v>
      </c>
      <c r="D282" s="11" t="n">
        <v>21.7466</v>
      </c>
      <c r="E282" s="11" t="n">
        <v>22.0813</v>
      </c>
      <c r="F282" s="12" t="n">
        <f aca="false">IF(C282="","",B282/C282)</f>
        <v>619.143557285559</v>
      </c>
      <c r="G282" s="12" t="n">
        <f aca="false">MEDIAN(F272:F292)</f>
        <v>619.460933739772</v>
      </c>
      <c r="H282" s="13" t="n">
        <f aca="false">B282/G282</f>
        <v>21.9026725674031</v>
      </c>
      <c r="I282" s="14" t="n">
        <f aca="false">B282/Summary!$C$8*100</f>
        <v>135.962661963504</v>
      </c>
      <c r="J282" s="14" t="n">
        <f aca="false">G282/Summary!$E$8*100</f>
        <v>105.280993245422</v>
      </c>
      <c r="K282" s="15" t="n">
        <f aca="false">Summary!$D$9</f>
        <v>16.9374488591431</v>
      </c>
      <c r="L282" s="16" t="str">
        <f aca="false">IF(OR(D282="",E282=""),"edge hidden",IF(AND(H282&gt;=D282-0.02,H282&lt;=E282+0.02),"yes","no"))</f>
        <v>yes</v>
      </c>
    </row>
    <row r="283" customFormat="false" ht="15" hidden="false" customHeight="false" outlineLevel="0" collapsed="false">
      <c r="A283" s="9" t="n">
        <v>44181</v>
      </c>
      <c r="B283" s="10" t="n">
        <v>13682.7</v>
      </c>
      <c r="C283" s="11" t="n">
        <v>21.91</v>
      </c>
      <c r="D283" s="11" t="n">
        <v>21.7388</v>
      </c>
      <c r="E283" s="11" t="n">
        <v>22.0813</v>
      </c>
      <c r="F283" s="12" t="n">
        <f aca="false">IF(C283="","",B283/C283)</f>
        <v>624.495664080329</v>
      </c>
      <c r="G283" s="12" t="n">
        <f aca="false">MEDIAN(F273:F293)</f>
        <v>621.056738890929</v>
      </c>
      <c r="H283" s="13" t="n">
        <f aca="false">B283/G283</f>
        <v>22.0313203982527</v>
      </c>
      <c r="I283" s="14" t="n">
        <f aca="false">B283/Summary!$C$8*100</f>
        <v>137.113567355774</v>
      </c>
      <c r="J283" s="14" t="n">
        <f aca="false">G283/Summary!$E$8*100</f>
        <v>105.552209624356</v>
      </c>
      <c r="K283" s="15" t="n">
        <f aca="false">Summary!$D$9</f>
        <v>16.9374488591431</v>
      </c>
      <c r="L283" s="16" t="str">
        <f aca="false">IF(OR(D283="",E283=""),"edge hidden",IF(AND(H283&gt;=D283-0.02,H283&lt;=E283+0.02),"yes","no"))</f>
        <v>yes</v>
      </c>
    </row>
    <row r="284" customFormat="false" ht="15" hidden="false" customHeight="false" outlineLevel="0" collapsed="false">
      <c r="A284" s="9" t="n">
        <v>44182</v>
      </c>
      <c r="B284" s="10" t="n">
        <v>13740.7</v>
      </c>
      <c r="C284" s="11" t="n">
        <v>21.7447</v>
      </c>
      <c r="D284" s="11" t="n">
        <v>21.408</v>
      </c>
      <c r="E284" s="11" t="n">
        <v>22.0813</v>
      </c>
      <c r="F284" s="12" t="n">
        <f aca="false">IF(C284="","",B284/C284)</f>
        <v>631.910304579967</v>
      </c>
      <c r="G284" s="12" t="n">
        <f aca="false">MEDIAN(F274:F294)</f>
        <v>621.205201658848</v>
      </c>
      <c r="H284" s="13" t="n">
        <f aca="false">B284/G284</f>
        <v>22.1194219934206</v>
      </c>
      <c r="I284" s="14" t="n">
        <f aca="false">B284/Summary!$C$8*100</f>
        <v>137.694782094578</v>
      </c>
      <c r="J284" s="14" t="n">
        <f aca="false">G284/Summary!$E$8*100</f>
        <v>105.577441736367</v>
      </c>
      <c r="K284" s="15" t="n">
        <f aca="false">Summary!$D$9</f>
        <v>16.9374488591431</v>
      </c>
      <c r="L284" s="16" t="str">
        <f aca="false">IF(OR(D284="",E284=""),"edge hidden",IF(AND(H284&gt;=D284-0.02,H284&lt;=E284+0.02),"yes","no"))</f>
        <v>no</v>
      </c>
    </row>
    <row r="285" customFormat="false" ht="15" hidden="false" customHeight="false" outlineLevel="0" collapsed="false">
      <c r="A285" s="9" t="n">
        <v>44183</v>
      </c>
      <c r="B285" s="10" t="n">
        <v>13760.55</v>
      </c>
      <c r="C285" s="11" t="n">
        <v>21.7092</v>
      </c>
      <c r="D285" s="11" t="n">
        <v>21.3451</v>
      </c>
      <c r="E285" s="11" t="n">
        <v>22.0734</v>
      </c>
      <c r="F285" s="12" t="n">
        <f aca="false">IF(C285="","",B285/C285)</f>
        <v>633.857995688464</v>
      </c>
      <c r="G285" s="12" t="n">
        <f aca="false">MEDIAN(F275:F295)</f>
        <v>624.495664080329</v>
      </c>
      <c r="H285" s="13" t="n">
        <f aca="false">B285/G285</f>
        <v>22.034660593304</v>
      </c>
      <c r="I285" s="14" t="n">
        <f aca="false">B285/Summary!$C$8*100</f>
        <v>137.893697828461</v>
      </c>
      <c r="J285" s="14" t="n">
        <f aca="false">G285/Summary!$E$8*100</f>
        <v>106.136674987573</v>
      </c>
      <c r="K285" s="15" t="n">
        <f aca="false">Summary!$D$9</f>
        <v>16.9374488591431</v>
      </c>
      <c r="L285" s="16" t="str">
        <f aca="false">IF(OR(D285="",E285=""),"edge hidden",IF(AND(H285&gt;=D285-0.02,H285&lt;=E285+0.02),"yes","no"))</f>
        <v>yes</v>
      </c>
    </row>
    <row r="286" customFormat="false" ht="15" hidden="false" customHeight="false" outlineLevel="0" collapsed="false">
      <c r="A286" s="9" t="n">
        <v>44186</v>
      </c>
      <c r="B286" s="10" t="n">
        <v>13328.4</v>
      </c>
      <c r="C286" s="11" t="n">
        <v>21.6817</v>
      </c>
      <c r="D286" s="11" t="n">
        <v>21.3451</v>
      </c>
      <c r="E286" s="11" t="n">
        <v>22.0183</v>
      </c>
      <c r="F286" s="12" t="n">
        <f aca="false">IF(C286="","",B286/C286)</f>
        <v>614.730394756869</v>
      </c>
      <c r="G286" s="12" t="n">
        <f aca="false">MEDIAN(F276:F296)</f>
        <v>627.195004980263</v>
      </c>
      <c r="H286" s="13" t="n">
        <f aca="false">B286/G286</f>
        <v>21.2508069964929</v>
      </c>
      <c r="I286" s="14" t="n">
        <f aca="false">B286/Summary!$C$8*100</f>
        <v>133.563146977182</v>
      </c>
      <c r="J286" s="14" t="n">
        <f aca="false">G286/Summary!$E$8*100</f>
        <v>106.595443693676</v>
      </c>
      <c r="K286" s="15" t="n">
        <f aca="false">Summary!$D$9</f>
        <v>16.9374488591431</v>
      </c>
      <c r="L286" s="16" t="str">
        <f aca="false">IF(OR(D286="",E286=""),"edge hidden",IF(AND(H286&gt;=D286-0.02,H286&lt;=E286+0.02),"yes","no"))</f>
        <v>no</v>
      </c>
    </row>
    <row r="287" customFormat="false" ht="15" hidden="false" customHeight="false" outlineLevel="0" collapsed="false">
      <c r="A287" s="9" t="n">
        <v>44187</v>
      </c>
      <c r="B287" s="10" t="n">
        <v>13466.3</v>
      </c>
      <c r="C287" s="11" t="n">
        <v>21.6777</v>
      </c>
      <c r="D287" s="11" t="n">
        <v>21.3451</v>
      </c>
      <c r="E287" s="11" t="n">
        <v>22.0104</v>
      </c>
      <c r="F287" s="12" t="n">
        <f aca="false">IF(C287="","",B287/C287)</f>
        <v>621.205201658848</v>
      </c>
      <c r="G287" s="12" t="n">
        <f aca="false">MEDIAN(F277:F297)</f>
        <v>629.681237830257</v>
      </c>
      <c r="H287" s="13" t="n">
        <f aca="false">B287/G287</f>
        <v>21.3859000252285</v>
      </c>
      <c r="I287" s="14" t="n">
        <f aca="false">B287/Summary!$C$8*100</f>
        <v>134.945035123408</v>
      </c>
      <c r="J287" s="14" t="n">
        <f aca="false">G287/Summary!$E$8*100</f>
        <v>107.017993445613</v>
      </c>
      <c r="K287" s="15" t="n">
        <f aca="false">Summary!$D$9</f>
        <v>16.9374488591431</v>
      </c>
      <c r="L287" s="16" t="str">
        <f aca="false">IF(OR(D287="",E287=""),"edge hidden",IF(AND(H287&gt;=D287-0.02,H287&lt;=E287+0.02),"yes","no"))</f>
        <v>yes</v>
      </c>
    </row>
    <row r="288" customFormat="false" ht="15" hidden="false" customHeight="false" outlineLevel="0" collapsed="false">
      <c r="A288" s="9" t="n">
        <v>44188</v>
      </c>
      <c r="B288" s="10" t="n">
        <v>13601.1</v>
      </c>
      <c r="C288" s="11" t="n">
        <v>21.6856</v>
      </c>
      <c r="D288" s="11" t="n">
        <v>21.3687</v>
      </c>
      <c r="E288" s="11" t="n">
        <v>22.0025</v>
      </c>
      <c r="F288" s="12" t="n">
        <f aca="false">IF(C288="","",B288/C288)</f>
        <v>627.195004980263</v>
      </c>
      <c r="G288" s="12" t="n">
        <f aca="false">MEDIAN(F278:F298)</f>
        <v>631.560998084776</v>
      </c>
      <c r="H288" s="13" t="n">
        <f aca="false">B288/G288</f>
        <v>21.5356870377456</v>
      </c>
      <c r="I288" s="14" t="n">
        <f aca="false">B288/Summary!$C$8*100</f>
        <v>136.295858343939</v>
      </c>
      <c r="J288" s="14" t="n">
        <f aca="false">G288/Summary!$E$8*100</f>
        <v>107.337469648034</v>
      </c>
      <c r="K288" s="15" t="n">
        <f aca="false">Summary!$D$9</f>
        <v>16.9374488591431</v>
      </c>
      <c r="L288" s="16" t="str">
        <f aca="false">IF(OR(D288="",E288=""),"edge hidden",IF(AND(H288&gt;=D288-0.02,H288&lt;=E288+0.02),"yes","no"))</f>
        <v>yes</v>
      </c>
    </row>
    <row r="289" customFormat="false" ht="15" hidden="false" customHeight="false" outlineLevel="0" collapsed="false">
      <c r="A289" s="9" t="n">
        <v>44189</v>
      </c>
      <c r="B289" s="10" t="n">
        <v>13749.25</v>
      </c>
      <c r="C289" s="11" t="n">
        <v>21.7053</v>
      </c>
      <c r="D289" s="11" t="n">
        <v>21.3923</v>
      </c>
      <c r="E289" s="11" t="n">
        <v>22.0183</v>
      </c>
      <c r="F289" s="12" t="n">
        <f aca="false">IF(C289="","",B289/C289)</f>
        <v>633.451276877076</v>
      </c>
      <c r="G289" s="12" t="n">
        <f aca="false">MEDIAN(F279:F299)</f>
        <v>631.910304579967</v>
      </c>
      <c r="H289" s="13" t="n">
        <f aca="false">B289/G289</f>
        <v>21.7582304012896</v>
      </c>
      <c r="I289" s="14" t="n">
        <f aca="false">B289/Summary!$C$8*100</f>
        <v>137.780461163832</v>
      </c>
      <c r="J289" s="14" t="n">
        <f aca="false">G289/Summary!$E$8*100</f>
        <v>107.396836321149</v>
      </c>
      <c r="K289" s="15" t="n">
        <f aca="false">Summary!$D$9</f>
        <v>16.9374488591431</v>
      </c>
      <c r="L289" s="16" t="str">
        <f aca="false">IF(OR(D289="",E289=""),"edge hidden",IF(AND(H289&gt;=D289-0.02,H289&lt;=E289+0.02),"yes","no"))</f>
        <v>yes</v>
      </c>
    </row>
    <row r="290" customFormat="false" ht="15" hidden="false" customHeight="false" outlineLevel="0" collapsed="false">
      <c r="A290" s="9" t="n">
        <v>44193</v>
      </c>
      <c r="B290" s="10" t="n">
        <v>13873.2</v>
      </c>
      <c r="C290" s="11" t="n">
        <v>22.0321</v>
      </c>
      <c r="D290" s="11" t="n">
        <v>21.8805</v>
      </c>
      <c r="E290" s="11" t="n">
        <v>22.1836</v>
      </c>
      <c r="F290" s="12" t="n">
        <f aca="false">IF(C290="","",B290/C290)</f>
        <v>629.681237830257</v>
      </c>
      <c r="G290" s="12" t="n">
        <f aca="false">MEDIAN(F280:F300)</f>
        <v>631.926994983627</v>
      </c>
      <c r="H290" s="13" t="n">
        <f aca="false">B290/G290</f>
        <v>21.9538018000947</v>
      </c>
      <c r="I290" s="14" t="n">
        <f aca="false">B290/Summary!$C$8*100</f>
        <v>139.022557144432</v>
      </c>
      <c r="J290" s="14" t="n">
        <f aca="false">G290/Summary!$E$8*100</f>
        <v>107.399672952451</v>
      </c>
      <c r="K290" s="15" t="n">
        <f aca="false">Summary!$D$9</f>
        <v>16.9374488591431</v>
      </c>
      <c r="L290" s="16" t="str">
        <f aca="false">IF(OR(D290="",E290=""),"edge hidden",IF(AND(H290&gt;=D290-0.02,H290&lt;=E290+0.02),"yes","no"))</f>
        <v>yes</v>
      </c>
    </row>
    <row r="291" customFormat="false" ht="15" hidden="false" customHeight="false" outlineLevel="0" collapsed="false">
      <c r="A291" s="9" t="n">
        <v>44194</v>
      </c>
      <c r="B291" s="10" t="n">
        <v>13932.6</v>
      </c>
      <c r="C291" s="11" t="n">
        <v>22.0478</v>
      </c>
      <c r="D291" s="11" t="n">
        <v>21.8884</v>
      </c>
      <c r="E291" s="11" t="n">
        <v>22.2073</v>
      </c>
      <c r="F291" s="12" t="n">
        <f aca="false">IF(C291="","",B291/C291)</f>
        <v>631.926994983627</v>
      </c>
      <c r="G291" s="12" t="n">
        <f aca="false">MEDIAN(F281:F301)</f>
        <v>633.034064978811</v>
      </c>
      <c r="H291" s="13" t="n">
        <f aca="false">B291/G291</f>
        <v>22.0092421100061</v>
      </c>
      <c r="I291" s="14" t="n">
        <f aca="false">B291/Summary!$C$8*100</f>
        <v>139.617801204517</v>
      </c>
      <c r="J291" s="14" t="n">
        <f aca="false">G291/Summary!$E$8*100</f>
        <v>107.587825945379</v>
      </c>
      <c r="K291" s="15" t="n">
        <f aca="false">Summary!$D$9</f>
        <v>16.9374488591431</v>
      </c>
      <c r="L291" s="16" t="str">
        <f aca="false">IF(OR(D291="",E291=""),"edge hidden",IF(AND(H291&gt;=D291-0.02,H291&lt;=E291+0.02),"yes","no"))</f>
        <v>yes</v>
      </c>
    </row>
    <row r="292" customFormat="false" ht="15" hidden="false" customHeight="false" outlineLevel="0" collapsed="false">
      <c r="A292" s="9" t="n">
        <v>44195</v>
      </c>
      <c r="B292" s="10" t="n">
        <v>13981.95</v>
      </c>
      <c r="C292" s="11" t="n">
        <v>22.0872</v>
      </c>
      <c r="D292" s="11" t="n">
        <v>21.9513</v>
      </c>
      <c r="E292" s="11" t="n">
        <v>22.223</v>
      </c>
      <c r="F292" s="12" t="n">
        <f aca="false">IF(C292="","",B292/C292)</f>
        <v>633.034064978811</v>
      </c>
      <c r="G292" s="12" t="n">
        <f aca="false">MEDIAN(F282:F302)</f>
        <v>633.451276877076</v>
      </c>
      <c r="H292" s="13" t="n">
        <f aca="false">B292/G292</f>
        <v>22.0726526417805</v>
      </c>
      <c r="I292" s="14" t="n">
        <f aca="false">B292/Summary!$C$8*100</f>
        <v>140.11233477969</v>
      </c>
      <c r="J292" s="14" t="n">
        <f aca="false">G292/Summary!$E$8*100</f>
        <v>107.658733537207</v>
      </c>
      <c r="K292" s="15" t="n">
        <f aca="false">Summary!$D$9</f>
        <v>16.9374488591431</v>
      </c>
      <c r="L292" s="16" t="str">
        <f aca="false">IF(OR(D292="",E292=""),"edge hidden",IF(AND(H292&gt;=D292-0.02,H292&lt;=E292+0.02),"yes","no"))</f>
        <v>yes</v>
      </c>
    </row>
    <row r="293" customFormat="false" ht="15" hidden="false" customHeight="false" outlineLevel="0" collapsed="false">
      <c r="A293" s="9" t="n">
        <v>44196</v>
      </c>
      <c r="B293" s="10" t="n">
        <v>13981.75</v>
      </c>
      <c r="C293" s="11" t="n">
        <v>22.1384</v>
      </c>
      <c r="D293" s="11" t="n">
        <v>21.9907</v>
      </c>
      <c r="E293" s="11" t="n">
        <v>22.286</v>
      </c>
      <c r="F293" s="12" t="n">
        <f aca="false">IF(C293="","",B293/C293)</f>
        <v>631.560998084776</v>
      </c>
      <c r="G293" s="12" t="n">
        <f aca="false">MEDIAN(F283:F303)</f>
        <v>633.673257212082</v>
      </c>
      <c r="H293" s="13" t="n">
        <f aca="false">B293/G293</f>
        <v>22.0646048114991</v>
      </c>
      <c r="I293" s="14" t="n">
        <f aca="false">B293/Summary!$C$8*100</f>
        <v>140.110330590935</v>
      </c>
      <c r="J293" s="14" t="n">
        <f aca="false">G293/Summary!$E$8*100</f>
        <v>107.696460387889</v>
      </c>
      <c r="K293" s="15" t="n">
        <f aca="false">Summary!$D$9</f>
        <v>16.9374488591431</v>
      </c>
      <c r="L293" s="16" t="str">
        <f aca="false">IF(OR(D293="",E293=""),"edge hidden",IF(AND(H293&gt;=D293-0.02,H293&lt;=E293+0.02),"yes","no"))</f>
        <v>yes</v>
      </c>
    </row>
    <row r="294" customFormat="false" ht="15" hidden="false" customHeight="false" outlineLevel="0" collapsed="false">
      <c r="A294" s="9" t="n">
        <v>44197</v>
      </c>
      <c r="B294" s="10" t="n">
        <v>14018.5</v>
      </c>
      <c r="C294" s="11" t="n">
        <v>22.1226</v>
      </c>
      <c r="D294" s="11" t="n">
        <v>21.9513</v>
      </c>
      <c r="E294" s="11" t="n">
        <v>22.2939</v>
      </c>
      <c r="F294" s="12" t="n">
        <f aca="false">IF(C294="","",B294/C294)</f>
        <v>633.673257212082</v>
      </c>
      <c r="G294" s="12" t="n">
        <f aca="false">MEDIAN(F284:F304)</f>
        <v>633.857995688464</v>
      </c>
      <c r="H294" s="13" t="n">
        <f aca="false">B294/G294</f>
        <v>22.1161523485617</v>
      </c>
      <c r="I294" s="14" t="n">
        <f aca="false">B294/Summary!$C$8*100</f>
        <v>140.478600274574</v>
      </c>
      <c r="J294" s="14" t="n">
        <f aca="false">G294/Summary!$E$8*100</f>
        <v>107.727857767812</v>
      </c>
      <c r="K294" s="15" t="n">
        <f aca="false">Summary!$D$9</f>
        <v>16.9374488591431</v>
      </c>
      <c r="L294" s="16" t="str">
        <f aca="false">IF(OR(D294="",E294=""),"edge hidden",IF(AND(H294&gt;=D294-0.02,H294&lt;=E294+0.02),"yes","no"))</f>
        <v>yes</v>
      </c>
    </row>
    <row r="295" customFormat="false" ht="15" hidden="false" customHeight="false" outlineLevel="0" collapsed="false">
      <c r="A295" s="9" t="n">
        <v>44200</v>
      </c>
      <c r="B295" s="10" t="n">
        <v>14132.9</v>
      </c>
      <c r="C295" s="11" t="n">
        <v>22.0439</v>
      </c>
      <c r="D295" s="11" t="n">
        <v>21.786</v>
      </c>
      <c r="E295" s="11" t="n">
        <v>22.3017</v>
      </c>
      <c r="F295" s="12" t="n">
        <f aca="false">IF(C295="","",B295/C295)</f>
        <v>641.125209241559</v>
      </c>
      <c r="G295" s="12" t="n">
        <f aca="false">MEDIAN(F285:F305)</f>
        <v>641.125209241559</v>
      </c>
      <c r="H295" s="13" t="n">
        <f aca="false">B295/G295</f>
        <v>22.0439</v>
      </c>
      <c r="I295" s="14" t="n">
        <f aca="false">B295/Summary!$C$8*100</f>
        <v>141.624996242146</v>
      </c>
      <c r="J295" s="14" t="n">
        <f aca="false">G295/Summary!$E$8*100</f>
        <v>108.962963033252</v>
      </c>
      <c r="K295" s="15" t="n">
        <f aca="false">Summary!$D$9</f>
        <v>16.9374488591431</v>
      </c>
      <c r="L295" s="16" t="str">
        <f aca="false">IF(OR(D295="",E295=""),"edge hidden",IF(AND(H295&gt;=D295-0.02,H295&lt;=E295+0.02),"yes","no"))</f>
        <v>yes</v>
      </c>
    </row>
    <row r="296" customFormat="false" ht="15" hidden="false" customHeight="false" outlineLevel="0" collapsed="false">
      <c r="A296" s="9" t="n">
        <v>44201</v>
      </c>
      <c r="B296" s="10" t="n">
        <v>14199.5</v>
      </c>
      <c r="C296" s="11" t="n">
        <v>22.0399</v>
      </c>
      <c r="D296" s="11" t="n">
        <v>21.7781</v>
      </c>
      <c r="E296" s="11" t="n">
        <v>22.3017</v>
      </c>
      <c r="F296" s="12" t="n">
        <f aca="false">IF(C296="","",B296/C296)</f>
        <v>644.263358726673</v>
      </c>
      <c r="G296" s="12" t="n">
        <f aca="false">MEDIAN(F286:F306)</f>
        <v>641.556997640225</v>
      </c>
      <c r="H296" s="13" t="n">
        <f aca="false">B296/G296</f>
        <v>22.1328736998094</v>
      </c>
      <c r="I296" s="14" t="n">
        <f aca="false">B296/Summary!$C$8*100</f>
        <v>142.292391097394</v>
      </c>
      <c r="J296" s="14" t="n">
        <f aca="false">G296/Summary!$E$8*100</f>
        <v>109.036347986212</v>
      </c>
      <c r="K296" s="15" t="n">
        <f aca="false">Summary!$D$9</f>
        <v>16.9374488591431</v>
      </c>
      <c r="L296" s="16" t="str">
        <f aca="false">IF(OR(D296="",E296=""),"edge hidden",IF(AND(H296&gt;=D296-0.02,H296&lt;=E296+0.02),"yes","no"))</f>
        <v>yes</v>
      </c>
    </row>
    <row r="297" customFormat="false" ht="15" hidden="false" customHeight="false" outlineLevel="0" collapsed="false">
      <c r="A297" s="9" t="n">
        <v>44202</v>
      </c>
      <c r="B297" s="10" t="n">
        <v>14146.25</v>
      </c>
      <c r="C297" s="11" t="n">
        <v>22.0321</v>
      </c>
      <c r="D297" s="11" t="n">
        <v>21.7702</v>
      </c>
      <c r="E297" s="11" t="n">
        <v>22.2939</v>
      </c>
      <c r="F297" s="12" t="n">
        <f aca="false">IF(C297="","",B297/C297)</f>
        <v>642.074518543398</v>
      </c>
      <c r="G297" s="12" t="n">
        <f aca="false">MEDIAN(F287:F307)</f>
        <v>642.074518543398</v>
      </c>
      <c r="H297" s="13" t="n">
        <f aca="false">B297/G297</f>
        <v>22.0321</v>
      </c>
      <c r="I297" s="14" t="n">
        <f aca="false">B297/Summary!$C$8*100</f>
        <v>141.758775841509</v>
      </c>
      <c r="J297" s="14" t="n">
        <f aca="false">G297/Summary!$E$8*100</f>
        <v>109.124303677595</v>
      </c>
      <c r="K297" s="15" t="n">
        <f aca="false">Summary!$D$9</f>
        <v>16.9374488591431</v>
      </c>
      <c r="L297" s="16" t="str">
        <f aca="false">IF(OR(D297="",E297=""),"edge hidden",IF(AND(H297&gt;=D297-0.02,H297&lt;=E297+0.02),"yes","no"))</f>
        <v>yes</v>
      </c>
    </row>
    <row r="298" customFormat="false" ht="15" hidden="false" customHeight="false" outlineLevel="0" collapsed="false">
      <c r="A298" s="9" t="n">
        <v>44203</v>
      </c>
      <c r="B298" s="10" t="n">
        <v>14137.35</v>
      </c>
      <c r="C298" s="11" t="n">
        <v>22.036</v>
      </c>
      <c r="D298" s="11" t="n">
        <v>21.7702</v>
      </c>
      <c r="E298" s="11" t="n">
        <v>22.3017</v>
      </c>
      <c r="F298" s="12" t="n">
        <f aca="false">IF(C298="","",B298/C298)</f>
        <v>641.556997640225</v>
      </c>
      <c r="G298" s="12" t="n">
        <f aca="false">MEDIAN(F288:F308)</f>
        <v>644.263358726673</v>
      </c>
      <c r="H298" s="13" t="n">
        <f aca="false">B298/G298</f>
        <v>21.9434332381422</v>
      </c>
      <c r="I298" s="14" t="n">
        <f aca="false">B298/Summary!$C$8*100</f>
        <v>141.669589441934</v>
      </c>
      <c r="J298" s="14" t="n">
        <f aca="false">G298/Summary!$E$8*100</f>
        <v>109.496309813897</v>
      </c>
      <c r="K298" s="15" t="n">
        <f aca="false">Summary!$D$9</f>
        <v>16.9374488591431</v>
      </c>
      <c r="L298" s="16" t="str">
        <f aca="false">IF(OR(D298="",E298=""),"edge hidden",IF(AND(H298&gt;=D298-0.02,H298&lt;=E298+0.02),"yes","no"))</f>
        <v>yes</v>
      </c>
    </row>
    <row r="299" customFormat="false" ht="15" hidden="false" customHeight="false" outlineLevel="0" collapsed="false">
      <c r="A299" s="9" t="n">
        <v>44204</v>
      </c>
      <c r="B299" s="10" t="n">
        <v>14347.25</v>
      </c>
      <c r="C299" s="11" t="n">
        <v>22.0439</v>
      </c>
      <c r="D299" s="11" t="n">
        <v>21.7781</v>
      </c>
      <c r="E299" s="11" t="n">
        <v>22.3096</v>
      </c>
      <c r="F299" s="12" t="n">
        <f aca="false">IF(C299="","",B299/C299)</f>
        <v>650.848987701813</v>
      </c>
      <c r="G299" s="12" t="n">
        <f aca="false">MEDIAN(F289:F309)</f>
        <v>650.848987701813</v>
      </c>
      <c r="H299" s="13" t="n">
        <f aca="false">B299/G299</f>
        <v>22.0439</v>
      </c>
      <c r="I299" s="14" t="n">
        <f aca="false">B299/Summary!$C$8*100</f>
        <v>143.772985539778</v>
      </c>
      <c r="J299" s="14" t="n">
        <f aca="false">G299/Summary!$E$8*100</f>
        <v>110.615575810967</v>
      </c>
      <c r="K299" s="15" t="n">
        <f aca="false">Summary!$D$9</f>
        <v>16.9374488591431</v>
      </c>
      <c r="L299" s="16" t="str">
        <f aca="false">IF(OR(D299="",E299=""),"edge hidden",IF(AND(H299&gt;=D299-0.02,H299&lt;=E299+0.02),"yes","no"))</f>
        <v>yes</v>
      </c>
    </row>
    <row r="300" customFormat="false" ht="15" hidden="false" customHeight="false" outlineLevel="0" collapsed="false">
      <c r="A300" s="9" t="n">
        <v>44207</v>
      </c>
      <c r="B300" s="10" t="n">
        <v>14484.75</v>
      </c>
      <c r="C300" s="11" t="n">
        <v>22.1502</v>
      </c>
      <c r="D300" s="11" t="n">
        <v>21.9671</v>
      </c>
      <c r="E300" s="11" t="n">
        <v>22.3332</v>
      </c>
      <c r="F300" s="12" t="n">
        <f aca="false">IF(C300="","",B300/C300)</f>
        <v>653.933147330498</v>
      </c>
      <c r="G300" s="12" t="n">
        <f aca="false">MEDIAN(F290:F310)</f>
        <v>653.933147330498</v>
      </c>
      <c r="H300" s="13" t="n">
        <f aca="false">B300/G300</f>
        <v>22.1502</v>
      </c>
      <c r="I300" s="14" t="n">
        <f aca="false">B300/Summary!$C$8*100</f>
        <v>145.150865308495</v>
      </c>
      <c r="J300" s="14" t="n">
        <f aca="false">G300/Summary!$E$8*100</f>
        <v>111.139746701091</v>
      </c>
      <c r="K300" s="15" t="n">
        <f aca="false">Summary!$D$9</f>
        <v>16.9374488591431</v>
      </c>
      <c r="L300" s="16" t="str">
        <f aca="false">IF(OR(D300="",E300=""),"edge hidden",IF(AND(H300&gt;=D300-0.02,H300&lt;=E300+0.02),"yes","no"))</f>
        <v>yes</v>
      </c>
    </row>
    <row r="301" customFormat="false" ht="15" hidden="false" customHeight="false" outlineLevel="0" collapsed="false">
      <c r="A301" s="9" t="n">
        <v>44208</v>
      </c>
      <c r="B301" s="10" t="n">
        <v>14563.45</v>
      </c>
      <c r="C301" s="11" t="n">
        <v>22.1147</v>
      </c>
      <c r="D301" s="11" t="n">
        <v>21.8962</v>
      </c>
      <c r="E301" s="11" t="n">
        <v>22.3332</v>
      </c>
      <c r="F301" s="12" t="n">
        <f aca="false">IF(C301="","",B301/C301)</f>
        <v>658.541603548771</v>
      </c>
      <c r="G301" s="12" t="n">
        <f aca="false">MEDIAN(F291:F311)</f>
        <v>658.541603548771</v>
      </c>
      <c r="H301" s="13" t="n">
        <f aca="false">B301/G301</f>
        <v>22.1147</v>
      </c>
      <c r="I301" s="14" t="n">
        <f aca="false">B301/Summary!$C$8*100</f>
        <v>145.939513583389</v>
      </c>
      <c r="J301" s="14" t="n">
        <f aca="false">G301/Summary!$E$8*100</f>
        <v>111.922980673666</v>
      </c>
      <c r="K301" s="15" t="n">
        <f aca="false">Summary!$D$9</f>
        <v>16.9374488591431</v>
      </c>
      <c r="L301" s="16" t="str">
        <f aca="false">IF(OR(D301="",E301=""),"edge hidden",IF(AND(H301&gt;=D301-0.02,H301&lt;=E301+0.02),"yes","no"))</f>
        <v>yes</v>
      </c>
    </row>
    <row r="302" customFormat="false" ht="15" hidden="false" customHeight="false" outlineLevel="0" collapsed="false">
      <c r="A302" s="9" t="n">
        <v>44209</v>
      </c>
      <c r="B302" s="10" t="n">
        <v>14564.85</v>
      </c>
      <c r="C302" s="11" t="n">
        <v>22.0596</v>
      </c>
      <c r="D302" s="11" t="n">
        <v>21.786</v>
      </c>
      <c r="E302" s="11" t="n">
        <v>22.3332</v>
      </c>
      <c r="F302" s="12" t="n">
        <f aca="false">IF(C302="","",B302/C302)</f>
        <v>660.249959201436</v>
      </c>
      <c r="G302" s="12" t="n">
        <f aca="false">MEDIAN(F292:F312)</f>
        <v>659.160247208747</v>
      </c>
      <c r="H302" s="13" t="n">
        <f aca="false">B302/G302</f>
        <v>22.0960685382283</v>
      </c>
      <c r="I302" s="14" t="n">
        <f aca="false">B302/Summary!$C$8*100</f>
        <v>145.953542904671</v>
      </c>
      <c r="J302" s="14" t="n">
        <f aca="false">G302/Summary!$E$8*100</f>
        <v>112.028122766476</v>
      </c>
      <c r="K302" s="15" t="n">
        <f aca="false">Summary!$D$9</f>
        <v>16.9374488591431</v>
      </c>
      <c r="L302" s="16" t="str">
        <f aca="false">IF(OR(D302="",E302=""),"edge hidden",IF(AND(H302&gt;=D302-0.02,H302&lt;=E302+0.02),"yes","no"))</f>
        <v>yes</v>
      </c>
    </row>
    <row r="303" customFormat="false" ht="15" hidden="false" customHeight="false" outlineLevel="0" collapsed="false">
      <c r="A303" s="9" t="n">
        <v>44210</v>
      </c>
      <c r="B303" s="10" t="n">
        <v>14595.6</v>
      </c>
      <c r="C303" s="11" t="n">
        <v>21.8706</v>
      </c>
      <c r="D303" s="11" t="n">
        <v>21.4317</v>
      </c>
      <c r="E303" s="11" t="n">
        <v>22.3096</v>
      </c>
      <c r="F303" s="12" t="n">
        <f aca="false">IF(C303="","",B303/C303)</f>
        <v>667.361663603193</v>
      </c>
      <c r="G303" s="12" t="n">
        <f aca="false">MEDIAN(F293:F313)</f>
        <v>660.249959201436</v>
      </c>
      <c r="H303" s="13" t="n">
        <f aca="false">B303/G303</f>
        <v>22.1061732705795</v>
      </c>
      <c r="I303" s="14" t="n">
        <f aca="false">B303/Summary!$C$8*100</f>
        <v>146.261686925675</v>
      </c>
      <c r="J303" s="14" t="n">
        <f aca="false">G303/Summary!$E$8*100</f>
        <v>112.213325665792</v>
      </c>
      <c r="K303" s="15" t="n">
        <f aca="false">Summary!$D$9</f>
        <v>16.9374488591431</v>
      </c>
      <c r="L303" s="16" t="str">
        <f aca="false">IF(OR(D303="",E303=""),"edge hidden",IF(AND(H303&gt;=D303-0.02,H303&lt;=E303+0.02),"yes","no"))</f>
        <v>yes</v>
      </c>
    </row>
    <row r="304" customFormat="false" ht="15" hidden="false" customHeight="false" outlineLevel="0" collapsed="false">
      <c r="A304" s="9" t="n">
        <v>44211</v>
      </c>
      <c r="B304" s="10" t="n">
        <v>14433.7</v>
      </c>
      <c r="C304" s="11" t="n">
        <v>21.8313</v>
      </c>
      <c r="D304" s="11" t="n">
        <v>21.4159</v>
      </c>
      <c r="E304" s="11" t="n">
        <v>22.2466</v>
      </c>
      <c r="F304" s="12" t="n">
        <f aca="false">IF(C304="","",B304/C304)</f>
        <v>661.147068658303</v>
      </c>
      <c r="G304" s="12" t="n">
        <f aca="false">MEDIAN(F294:F314)</f>
        <v>661.147068658303</v>
      </c>
      <c r="H304" s="13" t="n">
        <f aca="false">B304/G304</f>
        <v>21.8313</v>
      </c>
      <c r="I304" s="14" t="n">
        <f aca="false">B304/Summary!$C$8*100</f>
        <v>144.639296128909</v>
      </c>
      <c r="J304" s="14" t="n">
        <f aca="false">G304/Summary!$E$8*100</f>
        <v>112.365794642485</v>
      </c>
      <c r="K304" s="15" t="n">
        <f aca="false">Summary!$D$9</f>
        <v>16.9374488591431</v>
      </c>
      <c r="L304" s="16" t="str">
        <f aca="false">IF(OR(D304="",E304=""),"edge hidden",IF(AND(H304&gt;=D304-0.02,H304&lt;=E304+0.02),"yes","no"))</f>
        <v>yes</v>
      </c>
    </row>
    <row r="305" customFormat="false" ht="15" hidden="false" customHeight="false" outlineLevel="0" collapsed="false">
      <c r="A305" s="9" t="n">
        <v>44214</v>
      </c>
      <c r="B305" s="10" t="n">
        <v>14281.3</v>
      </c>
      <c r="C305" s="11" t="n">
        <v>21.6659</v>
      </c>
      <c r="D305" s="11" t="n">
        <v>21.3765</v>
      </c>
      <c r="E305" s="11" t="n">
        <v>21.9553</v>
      </c>
      <c r="F305" s="12" t="n">
        <f aca="false">IF(C305="","",B305/C305)</f>
        <v>659.160247208747</v>
      </c>
      <c r="G305" s="12" t="n">
        <f aca="false">MEDIAN(F295:F315)</f>
        <v>666.748168650425</v>
      </c>
      <c r="H305" s="13" t="n">
        <f aca="false">B305/G305</f>
        <v>21.4193314229974</v>
      </c>
      <c r="I305" s="14" t="n">
        <f aca="false">B305/Summary!$C$8*100</f>
        <v>143.112104297983</v>
      </c>
      <c r="J305" s="14" t="n">
        <f aca="false">G305/Summary!$E$8*100</f>
        <v>113.317734205288</v>
      </c>
      <c r="K305" s="15" t="n">
        <f aca="false">Summary!$D$9</f>
        <v>16.9374488591431</v>
      </c>
      <c r="L305" s="16" t="str">
        <f aca="false">IF(OR(D305="",E305=""),"edge hidden",IF(AND(H305&gt;=D305-0.02,H305&lt;=E305+0.02),"yes","no"))</f>
        <v>yes</v>
      </c>
    </row>
    <row r="306" customFormat="false" ht="15" hidden="false" customHeight="false" outlineLevel="0" collapsed="false">
      <c r="A306" s="9" t="n">
        <v>44215</v>
      </c>
      <c r="B306" s="10" t="n">
        <v>14521.15</v>
      </c>
      <c r="C306" s="11" t="n">
        <v>21.599</v>
      </c>
      <c r="D306" s="11" t="n">
        <v>21.3214</v>
      </c>
      <c r="E306" s="11" t="n">
        <v>21.8765</v>
      </c>
      <c r="F306" s="12" t="n">
        <f aca="false">IF(C306="","",B306/C306)</f>
        <v>672.306588267975</v>
      </c>
      <c r="G306" s="12" t="n">
        <f aca="false">MEDIAN(F296:F316)</f>
        <v>667.361663603193</v>
      </c>
      <c r="H306" s="13" t="n">
        <f aca="false">B306/G306</f>
        <v>21.7590412994327</v>
      </c>
      <c r="I306" s="14" t="n">
        <f aca="false">B306/Summary!$C$8*100</f>
        <v>145.515627661813</v>
      </c>
      <c r="J306" s="14" t="n">
        <f aca="false">G306/Summary!$E$8*100</f>
        <v>113.422001245323</v>
      </c>
      <c r="K306" s="15" t="n">
        <f aca="false">Summary!$D$9</f>
        <v>16.9374488591431</v>
      </c>
      <c r="L306" s="16" t="str">
        <f aca="false">IF(OR(D306="",E306=""),"edge hidden",IF(AND(H306&gt;=D306-0.02,H306&lt;=E306+0.02),"yes","no"))</f>
        <v>yes</v>
      </c>
    </row>
    <row r="307" customFormat="false" ht="15" hidden="false" customHeight="false" outlineLevel="0" collapsed="false">
      <c r="A307" s="9" t="n">
        <v>44216</v>
      </c>
      <c r="B307" s="10" t="n">
        <v>14644.7</v>
      </c>
      <c r="C307" s="11" t="n">
        <v>21.5675</v>
      </c>
      <c r="D307" s="11" t="n">
        <v>21.2821</v>
      </c>
      <c r="E307" s="11" t="n">
        <v>21.8529</v>
      </c>
      <c r="F307" s="12" t="n">
        <f aca="false">IF(C307="","",B307/C307)</f>
        <v>679.017039527066</v>
      </c>
      <c r="G307" s="12" t="n">
        <f aca="false">MEDIAN(F297:F317)</f>
        <v>672.306588267975</v>
      </c>
      <c r="H307" s="13" t="n">
        <f aca="false">B307/G307</f>
        <v>21.7827703246644</v>
      </c>
      <c r="I307" s="14" t="n">
        <f aca="false">B307/Summary!$C$8*100</f>
        <v>146.753715264904</v>
      </c>
      <c r="J307" s="14" t="n">
        <f aca="false">G307/Summary!$E$8*100</f>
        <v>114.262419989874</v>
      </c>
      <c r="K307" s="15" t="n">
        <f aca="false">Summary!$D$9</f>
        <v>16.9374488591431</v>
      </c>
      <c r="L307" s="16" t="str">
        <f aca="false">IF(OR(D307="",E307=""),"edge hidden",IF(AND(H307&gt;=D307-0.02,H307&lt;=E307+0.02),"yes","no"))</f>
        <v>yes</v>
      </c>
    </row>
    <row r="308" customFormat="false" ht="15" hidden="false" customHeight="false" outlineLevel="0" collapsed="false">
      <c r="A308" s="9" t="n">
        <v>44217</v>
      </c>
      <c r="B308" s="10" t="n">
        <v>14590.35</v>
      </c>
      <c r="C308" s="11" t="n">
        <v>21.4691</v>
      </c>
      <c r="D308" s="11" t="n">
        <v>21.0852</v>
      </c>
      <c r="E308" s="11" t="n">
        <v>21.8529</v>
      </c>
      <c r="F308" s="12" t="n">
        <f aca="false">IF(C308="","",B308/C308)</f>
        <v>679.597654303161</v>
      </c>
      <c r="G308" s="12" t="n">
        <f aca="false">MEDIAN(F298:F318)</f>
        <v>673.125380544237</v>
      </c>
      <c r="H308" s="13" t="n">
        <f aca="false">B308/G308</f>
        <v>21.6755309214509</v>
      </c>
      <c r="I308" s="14" t="n">
        <f aca="false">B308/Summary!$C$8*100</f>
        <v>146.209076970869</v>
      </c>
      <c r="J308" s="14" t="n">
        <f aca="false">G308/Summary!$E$8*100</f>
        <v>114.401578505628</v>
      </c>
      <c r="K308" s="15" t="n">
        <f aca="false">Summary!$D$9</f>
        <v>16.9374488591431</v>
      </c>
      <c r="L308" s="16" t="str">
        <f aca="false">IF(OR(D308="",E308=""),"edge hidden",IF(AND(H308&gt;=D308-0.02,H308&lt;=E308+0.02),"yes","no"))</f>
        <v>yes</v>
      </c>
    </row>
    <row r="309" customFormat="false" ht="15" hidden="false" customHeight="false" outlineLevel="0" collapsed="false">
      <c r="A309" s="9" t="n">
        <v>44218</v>
      </c>
      <c r="B309" s="10" t="n">
        <v>14371.9</v>
      </c>
      <c r="C309" s="11" t="n">
        <v>21.351</v>
      </c>
      <c r="D309" s="11" t="n">
        <v>20.8884</v>
      </c>
      <c r="E309" s="11" t="n">
        <v>21.8136</v>
      </c>
      <c r="F309" s="12" t="n">
        <f aca="false">IF(C309="","",B309/C309)</f>
        <v>673.125380544237</v>
      </c>
      <c r="G309" s="12" t="n">
        <f aca="false">MEDIAN(F299:F319)</f>
        <v>675.433708260621</v>
      </c>
      <c r="H309" s="13" t="n">
        <f aca="false">B309/G309</f>
        <v>21.2780319137618</v>
      </c>
      <c r="I309" s="14" t="n">
        <f aca="false">B309/Summary!$C$8*100</f>
        <v>144.02000180377</v>
      </c>
      <c r="J309" s="14" t="n">
        <f aca="false">G309/Summary!$E$8*100</f>
        <v>114.793892244042</v>
      </c>
      <c r="K309" s="15" t="n">
        <f aca="false">Summary!$D$9</f>
        <v>16.9374488591431</v>
      </c>
      <c r="L309" s="16" t="str">
        <f aca="false">IF(OR(D309="",E309=""),"edge hidden",IF(AND(H309&gt;=D309-0.02,H309&lt;=E309+0.02),"yes","no"))</f>
        <v>yes</v>
      </c>
    </row>
    <row r="310" customFormat="false" ht="15" hidden="false" customHeight="false" outlineLevel="0" collapsed="false">
      <c r="A310" s="9" t="n">
        <v>44221</v>
      </c>
      <c r="B310" s="10" t="n">
        <v>14238.9</v>
      </c>
      <c r="C310" s="11" t="n">
        <v>20.6384</v>
      </c>
      <c r="D310" s="11" t="n">
        <v>20.0143</v>
      </c>
      <c r="E310" s="11" t="n">
        <v>21.2624</v>
      </c>
      <c r="F310" s="12" t="n">
        <f aca="false">IF(C310="","",B310/C310)</f>
        <v>689.922668423909</v>
      </c>
      <c r="G310" s="12" t="n">
        <f aca="false">MEDIAN(F300:F320)</f>
        <v>679.017039527066</v>
      </c>
      <c r="H310" s="13" t="n">
        <f aca="false">B310/G310</f>
        <v>20.9698714039892</v>
      </c>
      <c r="I310" s="14" t="n">
        <f aca="false">B310/Summary!$C$8*100</f>
        <v>142.687216282029</v>
      </c>
      <c r="J310" s="14" t="n">
        <f aca="false">G310/Summary!$E$8*100</f>
        <v>115.40290026103</v>
      </c>
      <c r="K310" s="15" t="n">
        <f aca="false">Summary!$D$9</f>
        <v>16.9374488591431</v>
      </c>
      <c r="L310" s="16" t="str">
        <f aca="false">IF(OR(D310="",E310=""),"edge hidden",IF(AND(H310&gt;=D310-0.02,H310&lt;=E310+0.02),"yes","no"))</f>
        <v>yes</v>
      </c>
    </row>
    <row r="311" customFormat="false" ht="15" hidden="false" customHeight="false" outlineLevel="0" collapsed="false">
      <c r="A311" s="9" t="n">
        <v>44223</v>
      </c>
      <c r="B311" s="10" t="n">
        <v>13967.5</v>
      </c>
      <c r="C311" s="11" t="n">
        <v>20.5281</v>
      </c>
      <c r="D311" s="11" t="n">
        <v>19.9277</v>
      </c>
      <c r="E311" s="11" t="n">
        <v>21.1285</v>
      </c>
      <c r="F311" s="12" t="n">
        <f aca="false">IF(C311="","",B311/C311)</f>
        <v>680.40880549101</v>
      </c>
      <c r="G311" s="12" t="n">
        <f aca="false">MEDIAN(F301:F321)</f>
        <v>679.597654303161</v>
      </c>
      <c r="H311" s="13" t="n">
        <f aca="false">B311/G311</f>
        <v>20.5526018395721</v>
      </c>
      <c r="I311" s="14" t="n">
        <f aca="false">B311/Summary!$C$8*100</f>
        <v>139.967532142177</v>
      </c>
      <c r="J311" s="14" t="n">
        <f aca="false">G311/Summary!$E$8*100</f>
        <v>115.501579123556</v>
      </c>
      <c r="K311" s="15" t="n">
        <f aca="false">Summary!$D$9</f>
        <v>16.9374488591431</v>
      </c>
      <c r="L311" s="16" t="str">
        <f aca="false">IF(OR(D311="",E311=""),"edge hidden",IF(AND(H311&gt;=D311-0.02,H311&lt;=E311+0.02),"yes","no"))</f>
        <v>yes</v>
      </c>
    </row>
    <row r="312" customFormat="false" ht="15" hidden="false" customHeight="false" outlineLevel="0" collapsed="false">
      <c r="A312" s="9" t="n">
        <v>44224</v>
      </c>
      <c r="B312" s="10" t="n">
        <v>13817.55</v>
      </c>
      <c r="C312" s="11" t="n">
        <v>20.4573</v>
      </c>
      <c r="D312" s="11" t="n">
        <v>19.8726</v>
      </c>
      <c r="E312" s="11" t="n">
        <v>21.0419</v>
      </c>
      <c r="F312" s="12" t="n">
        <f aca="false">IF(C312="","",B312/C312)</f>
        <v>675.433708260621</v>
      </c>
      <c r="G312" s="12" t="n">
        <f aca="false">MEDIAN(F302:F322)</f>
        <v>680.40880549101</v>
      </c>
      <c r="H312" s="13" t="n">
        <f aca="false">B312/G312</f>
        <v>20.3077177844997</v>
      </c>
      <c r="I312" s="14" t="n">
        <f aca="false">B312/Summary!$C$8*100</f>
        <v>138.464891623493</v>
      </c>
      <c r="J312" s="14" t="n">
        <f aca="false">G312/Summary!$E$8*100</f>
        <v>115.639438991834</v>
      </c>
      <c r="K312" s="15" t="n">
        <f aca="false">Summary!$D$9</f>
        <v>16.9374488591431</v>
      </c>
      <c r="L312" s="16" t="str">
        <f aca="false">IF(OR(D312="",E312=""),"edge hidden",IF(AND(H312&gt;=D312-0.02,H312&lt;=E312+0.02),"yes","no"))</f>
        <v>yes</v>
      </c>
    </row>
    <row r="313" customFormat="false" ht="15" hidden="false" customHeight="false" outlineLevel="0" collapsed="false">
      <c r="A313" s="9" t="n">
        <v>44225</v>
      </c>
      <c r="B313" s="10" t="n">
        <v>13634.6</v>
      </c>
      <c r="C313" s="11" t="n">
        <v>20.4494</v>
      </c>
      <c r="D313" s="11" t="n">
        <v>19.8647</v>
      </c>
      <c r="E313" s="11" t="n">
        <v>21.034</v>
      </c>
      <c r="F313" s="12" t="n">
        <f aca="false">IF(C313="","",B313/C313)</f>
        <v>666.748168650425</v>
      </c>
      <c r="G313" s="12" t="n">
        <f aca="false">MEDIAN(F303:F323)</f>
        <v>689.922668423909</v>
      </c>
      <c r="H313" s="13" t="n">
        <f aca="false">B313/G313</f>
        <v>19.7625047328094</v>
      </c>
      <c r="I313" s="14" t="n">
        <f aca="false">B313/Summary!$C$8*100</f>
        <v>136.631559960317</v>
      </c>
      <c r="J313" s="14" t="n">
        <f aca="false">G313/Summary!$E$8*100</f>
        <v>117.25637540319</v>
      </c>
      <c r="K313" s="15" t="n">
        <f aca="false">Summary!$D$9</f>
        <v>16.9374488591431</v>
      </c>
      <c r="L313" s="16" t="str">
        <f aca="false">IF(OR(D313="",E313=""),"edge hidden",IF(AND(H313&gt;=D313-0.02,H313&lt;=E313+0.02),"yes","no"))</f>
        <v>no</v>
      </c>
    </row>
    <row r="314" customFormat="false" ht="15" hidden="false" customHeight="false" outlineLevel="0" collapsed="false">
      <c r="A314" s="9" t="n">
        <v>44228</v>
      </c>
      <c r="B314" s="10" t="n">
        <v>14281.2</v>
      </c>
      <c r="C314" s="11" t="n">
        <v>20.4573</v>
      </c>
      <c r="D314" s="11" t="n">
        <v>19.8647</v>
      </c>
      <c r="E314" s="11" t="n">
        <v>21.0498</v>
      </c>
      <c r="F314" s="12" t="n">
        <f aca="false">IF(C314="","",B314/C314)</f>
        <v>698.097989470751</v>
      </c>
      <c r="G314" s="12" t="n">
        <f aca="false">MEDIAN(F304:F324)</f>
        <v>698.097989470751</v>
      </c>
      <c r="H314" s="13" t="n">
        <f aca="false">B314/G314</f>
        <v>20.4573</v>
      </c>
      <c r="I314" s="14" t="n">
        <f aca="false">B314/Summary!$C$8*100</f>
        <v>143.111102203606</v>
      </c>
      <c r="J314" s="14" t="n">
        <f aca="false">G314/Summary!$E$8*100</f>
        <v>118.64581882574</v>
      </c>
      <c r="K314" s="15" t="n">
        <f aca="false">Summary!$D$9</f>
        <v>16.9374488591431</v>
      </c>
      <c r="L314" s="16" t="str">
        <f aca="false">IF(OR(D314="",E314=""),"edge hidden",IF(AND(H314&gt;=D314-0.02,H314&lt;=E314+0.02),"yes","no"))</f>
        <v>yes</v>
      </c>
    </row>
    <row r="315" customFormat="false" ht="15" hidden="false" customHeight="false" outlineLevel="0" collapsed="false">
      <c r="A315" s="9" t="n">
        <v>44229</v>
      </c>
      <c r="B315" s="10" t="n">
        <v>14647.85</v>
      </c>
      <c r="C315" s="11" t="n">
        <v>20.473</v>
      </c>
      <c r="D315" s="11" t="n">
        <v>19.8884</v>
      </c>
      <c r="E315" s="11" t="n">
        <v>21.0576</v>
      </c>
      <c r="F315" s="12" t="n">
        <f aca="false">IF(C315="","",B315/C315)</f>
        <v>715.471596737166</v>
      </c>
      <c r="G315" s="12" t="n">
        <f aca="false">MEDIAN(F305:F325)</f>
        <v>708.136025888002</v>
      </c>
      <c r="H315" s="13" t="n">
        <f aca="false">B315/G315</f>
        <v>20.6850795108632</v>
      </c>
      <c r="I315" s="14" t="n">
        <f aca="false">B315/Summary!$C$8*100</f>
        <v>146.785281237787</v>
      </c>
      <c r="J315" s="14" t="n">
        <f aca="false">G315/Summary!$E$8*100</f>
        <v>120.351841573393</v>
      </c>
      <c r="K315" s="15" t="n">
        <f aca="false">Summary!$D$9</f>
        <v>16.9374488591431</v>
      </c>
      <c r="L315" s="16" t="str">
        <f aca="false">IF(OR(D315="",E315=""),"edge hidden",IF(AND(H315&gt;=D315-0.02,H315&lt;=E315+0.02),"yes","no"))</f>
        <v>yes</v>
      </c>
    </row>
    <row r="316" customFormat="false" ht="15" hidden="false" customHeight="false" outlineLevel="0" collapsed="false">
      <c r="A316" s="9" t="n">
        <v>44230</v>
      </c>
      <c r="B316" s="10" t="n">
        <v>14789.95</v>
      </c>
      <c r="C316" s="11" t="n">
        <v>20.847</v>
      </c>
      <c r="D316" s="11" t="n">
        <v>20.6285</v>
      </c>
      <c r="E316" s="11" t="n">
        <v>21.0655</v>
      </c>
      <c r="F316" s="12" t="n">
        <f aca="false">IF(C316="","",B316/C316)</f>
        <v>709.452199357222</v>
      </c>
      <c r="G316" s="12" t="n">
        <f aca="false">MEDIAN(F306:F326)</f>
        <v>709.452199357222</v>
      </c>
      <c r="H316" s="13" t="n">
        <f aca="false">B316/G316</f>
        <v>20.847</v>
      </c>
      <c r="I316" s="14" t="n">
        <f aca="false">B316/Summary!$C$8*100</f>
        <v>148.209257347857</v>
      </c>
      <c r="J316" s="14" t="n">
        <f aca="false">G316/Summary!$E$8*100</f>
        <v>120.575532919489</v>
      </c>
      <c r="K316" s="15" t="n">
        <f aca="false">Summary!$D$9</f>
        <v>16.9374488591431</v>
      </c>
      <c r="L316" s="16" t="str">
        <f aca="false">IF(OR(D316="",E316=""),"edge hidden",IF(AND(H316&gt;=D316-0.02,H316&lt;=E316+0.02),"yes","no"))</f>
        <v>yes</v>
      </c>
    </row>
    <row r="317" customFormat="false" ht="15" hidden="false" customHeight="false" outlineLevel="0" collapsed="false">
      <c r="A317" s="9" t="n">
        <v>44231</v>
      </c>
      <c r="B317" s="10" t="n">
        <v>14895.65</v>
      </c>
      <c r="C317" s="11" t="n">
        <v>20.973</v>
      </c>
      <c r="D317" s="11" t="n">
        <v>20.8647</v>
      </c>
      <c r="E317" s="11" t="n">
        <v>21.0813</v>
      </c>
      <c r="F317" s="12" t="n">
        <f aca="false">IF(C317="","",B317/C317)</f>
        <v>710.22981929147</v>
      </c>
      <c r="G317" s="12" t="n">
        <f aca="false">MEDIAN(F307:F327)</f>
        <v>710.22981929147</v>
      </c>
      <c r="H317" s="13" t="n">
        <f aca="false">B317/G317</f>
        <v>20.973</v>
      </c>
      <c r="I317" s="14" t="n">
        <f aca="false">B317/Summary!$C$8*100</f>
        <v>149.268471104609</v>
      </c>
      <c r="J317" s="14" t="n">
        <f aca="false">G317/Summary!$E$8*100</f>
        <v>120.707693955942</v>
      </c>
      <c r="K317" s="15" t="n">
        <f aca="false">Summary!$D$9</f>
        <v>16.9374488591431</v>
      </c>
      <c r="L317" s="16" t="str">
        <f aca="false">IF(OR(D317="",E317=""),"edge hidden",IF(AND(H317&gt;=D317-0.02,H317&lt;=E317+0.02),"yes","no"))</f>
        <v>yes</v>
      </c>
    </row>
    <row r="318" customFormat="false" ht="15" hidden="false" customHeight="false" outlineLevel="0" collapsed="false">
      <c r="A318" s="9" t="n">
        <v>44232</v>
      </c>
      <c r="B318" s="10" t="n">
        <v>14924.25</v>
      </c>
      <c r="C318" s="11" t="n">
        <v>21.0754</v>
      </c>
      <c r="D318" s="11" t="n">
        <v>20.9828</v>
      </c>
      <c r="E318" s="11" t="n">
        <v>21.1679</v>
      </c>
      <c r="F318" s="12" t="n">
        <f aca="false">IF(C318="","",B318/C318)</f>
        <v>708.136025888002</v>
      </c>
      <c r="G318" s="12" t="n">
        <f aca="false">MEDIAN(F308:F328)</f>
        <v>715.471596737166</v>
      </c>
      <c r="H318" s="13" t="n">
        <f aca="false">B318/G318</f>
        <v>20.8593186201388</v>
      </c>
      <c r="I318" s="14" t="n">
        <f aca="false">B318/Summary!$C$8*100</f>
        <v>149.555070096502</v>
      </c>
      <c r="J318" s="14" t="n">
        <f aca="false">G318/Summary!$E$8*100</f>
        <v>121.598564559392</v>
      </c>
      <c r="K318" s="15" t="n">
        <f aca="false">Summary!$D$9</f>
        <v>16.9374488591431</v>
      </c>
      <c r="L318" s="16" t="str">
        <f aca="false">IF(OR(D318="",E318=""),"edge hidden",IF(AND(H318&gt;=D318-0.02,H318&lt;=E318+0.02),"yes","no"))</f>
        <v>no</v>
      </c>
    </row>
    <row r="319" customFormat="false" ht="15" hidden="false" customHeight="false" outlineLevel="0" collapsed="false">
      <c r="A319" s="9" t="n">
        <v>44235</v>
      </c>
      <c r="B319" s="10" t="n">
        <v>15115.8</v>
      </c>
      <c r="C319" s="11" t="n">
        <v>21.0872</v>
      </c>
      <c r="D319" s="11" t="n">
        <v>20.9907</v>
      </c>
      <c r="E319" s="11" t="n">
        <v>21.1836</v>
      </c>
      <c r="F319" s="12" t="n">
        <f aca="false">IF(C319="","",B319/C319)</f>
        <v>716.82347585265</v>
      </c>
      <c r="G319" s="12" t="n">
        <f aca="false">MEDIAN(F309:F329)</f>
        <v>715.471596737166</v>
      </c>
      <c r="H319" s="13" t="n">
        <f aca="false">B319/G319</f>
        <v>21.1270441327567</v>
      </c>
      <c r="I319" s="14" t="n">
        <f aca="false">B319/Summary!$C$8*100</f>
        <v>151.474581876121</v>
      </c>
      <c r="J319" s="14" t="n">
        <f aca="false">G319/Summary!$E$8*100</f>
        <v>121.598564559392</v>
      </c>
      <c r="K319" s="15" t="n">
        <f aca="false">Summary!$D$9</f>
        <v>16.9374488591431</v>
      </c>
      <c r="L319" s="16" t="str">
        <f aca="false">IF(OR(D319="",E319=""),"edge hidden",IF(AND(H319&gt;=D319-0.02,H319&lt;=E319+0.02),"yes","no"))</f>
        <v>yes</v>
      </c>
    </row>
    <row r="320" customFormat="false" ht="15" hidden="false" customHeight="false" outlineLevel="0" collapsed="false">
      <c r="A320" s="9" t="n">
        <v>44236</v>
      </c>
      <c r="B320" s="10" t="n">
        <v>15109.3</v>
      </c>
      <c r="C320" s="11" t="n">
        <v>21.0872</v>
      </c>
      <c r="D320" s="11" t="n">
        <v>20.9907</v>
      </c>
      <c r="E320" s="11" t="n">
        <v>21.1836</v>
      </c>
      <c r="F320" s="12" t="n">
        <f aca="false">IF(C320="","",B320/C320)</f>
        <v>716.515231989074</v>
      </c>
      <c r="G320" s="12" t="n">
        <f aca="false">MEDIAN(F310:F330)</f>
        <v>716.195948578107</v>
      </c>
      <c r="H320" s="13" t="n">
        <f aca="false">B320/G320</f>
        <v>21.0966007696596</v>
      </c>
      <c r="I320" s="14" t="n">
        <f aca="false">B320/Summary!$C$8*100</f>
        <v>151.4094457416</v>
      </c>
      <c r="J320" s="14" t="n">
        <f aca="false">G320/Summary!$E$8*100</f>
        <v>121.72167237317</v>
      </c>
      <c r="K320" s="15" t="n">
        <f aca="false">Summary!$D$9</f>
        <v>16.9374488591431</v>
      </c>
      <c r="L320" s="16" t="str">
        <f aca="false">IF(OR(D320="",E320=""),"edge hidden",IF(AND(H320&gt;=D320-0.02,H320&lt;=E320+0.02),"yes","no"))</f>
        <v>yes</v>
      </c>
    </row>
    <row r="321" customFormat="false" ht="15" hidden="false" customHeight="false" outlineLevel="0" collapsed="false">
      <c r="A321" s="9" t="n">
        <v>44237</v>
      </c>
      <c r="B321" s="10" t="n">
        <v>15106.5</v>
      </c>
      <c r="C321" s="11" t="n">
        <v>21.0872</v>
      </c>
      <c r="D321" s="11" t="n">
        <v>20.9907</v>
      </c>
      <c r="E321" s="11" t="n">
        <v>21.1836</v>
      </c>
      <c r="F321" s="12" t="n">
        <f aca="false">IF(C321="","",B321/C321)</f>
        <v>716.382450017072</v>
      </c>
      <c r="G321" s="12" t="n">
        <f aca="false">MEDIAN(F311:F331)</f>
        <v>716.382450017072</v>
      </c>
      <c r="H321" s="13" t="n">
        <f aca="false">B321/G321</f>
        <v>21.0872</v>
      </c>
      <c r="I321" s="14" t="n">
        <f aca="false">B321/Summary!$C$8*100</f>
        <v>151.381387099037</v>
      </c>
      <c r="J321" s="14" t="n">
        <f aca="false">G321/Summary!$E$8*100</f>
        <v>121.753369378851</v>
      </c>
      <c r="K321" s="15" t="n">
        <f aca="false">Summary!$D$9</f>
        <v>16.9374488591431</v>
      </c>
      <c r="L321" s="16" t="str">
        <f aca="false">IF(OR(D321="",E321=""),"edge hidden",IF(AND(H321&gt;=D321-0.02,H321&lt;=E321+0.02),"yes","no"))</f>
        <v>yes</v>
      </c>
    </row>
    <row r="322" customFormat="false" ht="15" hidden="false" customHeight="false" outlineLevel="0" collapsed="false">
      <c r="A322" s="9" t="n">
        <v>44238</v>
      </c>
      <c r="B322" s="10" t="n">
        <v>15173.3</v>
      </c>
      <c r="C322" s="11" t="n">
        <v>21.0872</v>
      </c>
      <c r="D322" s="11" t="n">
        <v>20.9828</v>
      </c>
      <c r="E322" s="11" t="n">
        <v>21.1915</v>
      </c>
      <c r="F322" s="12" t="n">
        <f aca="false">IF(C322="","",B322/C322)</f>
        <v>719.550248491976</v>
      </c>
      <c r="G322" s="12" t="n">
        <f aca="false">MEDIAN(F312:F332)</f>
        <v>716.515231989074</v>
      </c>
      <c r="H322" s="13" t="n">
        <f aca="false">B322/G322</f>
        <v>21.1765211995261</v>
      </c>
      <c r="I322" s="14" t="n">
        <f aca="false">B322/Summary!$C$8*100</f>
        <v>152.050786143039</v>
      </c>
      <c r="J322" s="14" t="n">
        <f aca="false">G322/Summary!$E$8*100</f>
        <v>121.775936448275</v>
      </c>
      <c r="K322" s="15" t="n">
        <f aca="false">Summary!$D$9</f>
        <v>16.9374488591431</v>
      </c>
      <c r="L322" s="16" t="str">
        <f aca="false">IF(OR(D322="",E322=""),"edge hidden",IF(AND(H322&gt;=D322-0.02,H322&lt;=E322+0.02),"yes","no"))</f>
        <v>yes</v>
      </c>
    </row>
    <row r="323" customFormat="false" ht="15" hidden="false" customHeight="false" outlineLevel="0" collapsed="false">
      <c r="A323" s="9" t="n">
        <v>44239</v>
      </c>
      <c r="B323" s="10" t="n">
        <v>15163.3</v>
      </c>
      <c r="C323" s="11" t="n">
        <v>21.1108</v>
      </c>
      <c r="D323" s="11" t="n">
        <v>20.9828</v>
      </c>
      <c r="E323" s="11" t="n">
        <v>21.2388</v>
      </c>
      <c r="F323" s="12" t="n">
        <f aca="false">IF(C323="","",B323/C323)</f>
        <v>718.272164010838</v>
      </c>
      <c r="G323" s="12" t="n">
        <f aca="false">MEDIAN(F313:F333)</f>
        <v>716.515231989074</v>
      </c>
      <c r="H323" s="13" t="n">
        <f aca="false">B323/G323</f>
        <v>21.1625647621002</v>
      </c>
      <c r="I323" s="14" t="n">
        <f aca="false">B323/Summary!$C$8*100</f>
        <v>151.950576705314</v>
      </c>
      <c r="J323" s="14" t="n">
        <f aca="false">G323/Summary!$E$8*100</f>
        <v>121.775936448275</v>
      </c>
      <c r="K323" s="15" t="n">
        <f aca="false">Summary!$D$9</f>
        <v>16.9374488591431</v>
      </c>
      <c r="L323" s="16" t="str">
        <f aca="false">IF(OR(D323="",E323=""),"edge hidden",IF(AND(H323&gt;=D323-0.02,H323&lt;=E323+0.02),"yes","no"))</f>
        <v>yes</v>
      </c>
    </row>
    <row r="324" customFormat="false" ht="15" hidden="false" customHeight="false" outlineLevel="0" collapsed="false">
      <c r="A324" s="9" t="n">
        <v>44242</v>
      </c>
      <c r="B324" s="10" t="n">
        <v>15314.7</v>
      </c>
      <c r="C324" s="11" t="n">
        <v>21.1069</v>
      </c>
      <c r="D324" s="11" t="n">
        <v>20.9435</v>
      </c>
      <c r="E324" s="11" t="n">
        <v>21.2702</v>
      </c>
      <c r="F324" s="12" t="n">
        <f aca="false">IF(C324="","",B324/C324)</f>
        <v>725.577891589954</v>
      </c>
      <c r="G324" s="12" t="n">
        <f aca="false">MEDIAN(F314:F334)</f>
        <v>716.750586304509</v>
      </c>
      <c r="H324" s="13" t="n">
        <f aca="false">B324/G324</f>
        <v>21.3668468399321</v>
      </c>
      <c r="I324" s="14" t="n">
        <f aca="false">B324/Summary!$C$8*100</f>
        <v>153.467747592468</v>
      </c>
      <c r="J324" s="14" t="n">
        <f aca="false">G324/Summary!$E$8*100</f>
        <v>121.815936284817</v>
      </c>
      <c r="K324" s="15" t="n">
        <f aca="false">Summary!$D$9</f>
        <v>16.9374488591431</v>
      </c>
      <c r="L324" s="16" t="str">
        <f aca="false">IF(OR(D324="",E324=""),"edge hidden",IF(AND(H324&gt;=D324-0.02,H324&lt;=E324+0.02),"yes","no"))</f>
        <v>no</v>
      </c>
    </row>
    <row r="325" customFormat="false" ht="15" hidden="false" customHeight="false" outlineLevel="0" collapsed="false">
      <c r="A325" s="9" t="n">
        <v>44243</v>
      </c>
      <c r="B325" s="10" t="n">
        <v>15313.45</v>
      </c>
      <c r="C325" s="11" t="n">
        <v>21.0557</v>
      </c>
      <c r="D325" s="11" t="n">
        <v>20.8411</v>
      </c>
      <c r="E325" s="11" t="n">
        <v>21.2702</v>
      </c>
      <c r="F325" s="12" t="n">
        <f aca="false">IF(C325="","",B325/C325)</f>
        <v>727.282873521184</v>
      </c>
      <c r="G325" s="12" t="n">
        <f aca="false">MEDIAN(F315:F335)</f>
        <v>716.82347585265</v>
      </c>
      <c r="H325" s="13" t="n">
        <f aca="false">B325/G325</f>
        <v>21.3629303669009</v>
      </c>
      <c r="I325" s="14" t="n">
        <f aca="false">B325/Summary!$C$8*100</f>
        <v>153.455221412753</v>
      </c>
      <c r="J325" s="14" t="n">
        <f aca="false">G325/Summary!$E$8*100</f>
        <v>121.828324288011</v>
      </c>
      <c r="K325" s="15" t="n">
        <f aca="false">Summary!$D$9</f>
        <v>16.9374488591431</v>
      </c>
      <c r="L325" s="16" t="str">
        <f aca="false">IF(OR(D325="",E325=""),"edge hidden",IF(AND(H325&gt;=D325-0.02,H325&lt;=E325+0.02),"yes","no"))</f>
        <v>no</v>
      </c>
    </row>
    <row r="326" customFormat="false" ht="15" hidden="false" customHeight="false" outlineLevel="0" collapsed="false">
      <c r="A326" s="9" t="n">
        <v>44244</v>
      </c>
      <c r="B326" s="10" t="n">
        <v>15208.9</v>
      </c>
      <c r="C326" s="11" t="n">
        <v>21.0321</v>
      </c>
      <c r="D326" s="11" t="n">
        <v>20.8017</v>
      </c>
      <c r="E326" s="11" t="n">
        <v>21.2624</v>
      </c>
      <c r="F326" s="12" t="n">
        <f aca="false">IF(C326="","",B326/C326)</f>
        <v>723.127980563044</v>
      </c>
      <c r="G326" s="12" t="n">
        <f aca="false">MEDIAN(F316:F336)</f>
        <v>718.272164010838</v>
      </c>
      <c r="H326" s="13" t="n">
        <f aca="false">B326/G326</f>
        <v>21.1742856845146</v>
      </c>
      <c r="I326" s="14" t="n">
        <f aca="false">B326/Summary!$C$8*100</f>
        <v>152.407531741339</v>
      </c>
      <c r="J326" s="14" t="n">
        <f aca="false">G326/Summary!$E$8*100</f>
        <v>122.074537277224</v>
      </c>
      <c r="K326" s="15" t="n">
        <f aca="false">Summary!$D$9</f>
        <v>16.9374488591431</v>
      </c>
      <c r="L326" s="16" t="str">
        <f aca="false">IF(OR(D326="",E326=""),"edge hidden",IF(AND(H326&gt;=D326-0.02,H326&lt;=E326+0.02),"yes","no"))</f>
        <v>yes</v>
      </c>
    </row>
    <row r="327" customFormat="false" ht="15" hidden="false" customHeight="false" outlineLevel="0" collapsed="false">
      <c r="A327" s="9" t="n">
        <v>44245</v>
      </c>
      <c r="B327" s="10" t="n">
        <v>15118.95</v>
      </c>
      <c r="C327" s="11" t="n">
        <v>20.9573</v>
      </c>
      <c r="D327" s="11" t="n">
        <v>20.6679</v>
      </c>
      <c r="E327" s="11" t="n">
        <v>21.2466</v>
      </c>
      <c r="F327" s="12" t="n">
        <f aca="false">IF(C327="","",B327/C327)</f>
        <v>721.416880991349</v>
      </c>
      <c r="G327" s="12" t="n">
        <f aca="false">MEDIAN(F317:F337)</f>
        <v>719.550248491976</v>
      </c>
      <c r="H327" s="13" t="n">
        <f aca="false">B327/G327</f>
        <v>21.0116667066492</v>
      </c>
      <c r="I327" s="14" t="n">
        <f aca="false">B327/Summary!$C$8*100</f>
        <v>151.506147849004</v>
      </c>
      <c r="J327" s="14" t="n">
        <f aca="false">G327/Summary!$E$8*100</f>
        <v>122.291755177978</v>
      </c>
      <c r="K327" s="15" t="n">
        <f aca="false">Summary!$D$9</f>
        <v>16.9374488591431</v>
      </c>
      <c r="L327" s="16" t="str">
        <f aca="false">IF(OR(D327="",E327=""),"edge hidden",IF(AND(H327&gt;=D327-0.02,H327&lt;=E327+0.02),"yes","no"))</f>
        <v>yes</v>
      </c>
    </row>
    <row r="328" customFormat="false" ht="15" hidden="false" customHeight="false" outlineLevel="0" collapsed="false">
      <c r="A328" s="9" t="n">
        <v>44246</v>
      </c>
      <c r="B328" s="10" t="n">
        <v>14981.75</v>
      </c>
      <c r="C328" s="11" t="n">
        <v>20.7171</v>
      </c>
      <c r="D328" s="11" t="n">
        <v>20.3372</v>
      </c>
      <c r="E328" s="11" t="n">
        <v>21.097</v>
      </c>
      <c r="F328" s="12" t="n">
        <f aca="false">IF(C328="","",B328/C328)</f>
        <v>723.15864672179</v>
      </c>
      <c r="G328" s="12" t="n">
        <f aca="false">MEDIAN(F318:F338)</f>
        <v>719.550248491976</v>
      </c>
      <c r="H328" s="13" t="n">
        <f aca="false">B328/G328</f>
        <v>20.8209920452374</v>
      </c>
      <c r="I328" s="14" t="n">
        <f aca="false">B328/Summary!$C$8*100</f>
        <v>150.13127436342</v>
      </c>
      <c r="J328" s="14" t="n">
        <f aca="false">G328/Summary!$E$8*100</f>
        <v>122.291755177978</v>
      </c>
      <c r="K328" s="15" t="n">
        <f aca="false">Summary!$D$9</f>
        <v>16.9374488591431</v>
      </c>
      <c r="L328" s="16" t="str">
        <f aca="false">IF(OR(D328="",E328=""),"edge hidden",IF(AND(H328&gt;=D328-0.02,H328&lt;=E328+0.02),"yes","no"))</f>
        <v>yes</v>
      </c>
    </row>
    <row r="329" customFormat="false" ht="15" hidden="false" customHeight="false" outlineLevel="0" collapsed="false">
      <c r="A329" s="9" t="n">
        <v>44249</v>
      </c>
      <c r="B329" s="10" t="n">
        <v>14675.7</v>
      </c>
      <c r="C329" s="11" t="n">
        <v>20.5714</v>
      </c>
      <c r="D329" s="11" t="n">
        <v>20.2348</v>
      </c>
      <c r="E329" s="11" t="n">
        <v>20.908</v>
      </c>
      <c r="F329" s="12" t="n">
        <f aca="false">IF(C329="","",B329/C329)</f>
        <v>713.403074170936</v>
      </c>
      <c r="G329" s="12" t="n">
        <f aca="false">MEDIAN(F319:F339)</f>
        <v>721.416880991349</v>
      </c>
      <c r="H329" s="13" t="n">
        <f aca="false">B329/G329</f>
        <v>20.3428841030627</v>
      </c>
      <c r="I329" s="14" t="n">
        <f aca="false">B329/Summary!$C$8*100</f>
        <v>147.064364521851</v>
      </c>
      <c r="J329" s="14" t="n">
        <f aca="false">G329/Summary!$E$8*100</f>
        <v>122.609000241959</v>
      </c>
      <c r="K329" s="15" t="n">
        <f aca="false">Summary!$D$9</f>
        <v>16.9374488591431</v>
      </c>
      <c r="L329" s="16" t="str">
        <f aca="false">IF(OR(D329="",E329=""),"edge hidden",IF(AND(H329&gt;=D329-0.02,H329&lt;=E329+0.02),"yes","no"))</f>
        <v>yes</v>
      </c>
    </row>
    <row r="330" customFormat="false" ht="15" hidden="false" customHeight="false" outlineLevel="0" collapsed="false">
      <c r="A330" s="9" t="n">
        <v>44250</v>
      </c>
      <c r="B330" s="10" t="n">
        <v>14707.8</v>
      </c>
      <c r="C330" s="11" t="n">
        <v>20.536</v>
      </c>
      <c r="D330" s="11" t="n">
        <v>20.1639</v>
      </c>
      <c r="E330" s="11" t="n">
        <v>20.908</v>
      </c>
      <c r="F330" s="12" t="n">
        <f aca="false">IF(C330="","",B330/C330)</f>
        <v>716.195948578107</v>
      </c>
      <c r="G330" s="12" t="n">
        <f aca="false">MEDIAN(F320:F340)</f>
        <v>722.748689201923</v>
      </c>
      <c r="H330" s="13" t="n">
        <f aca="false">B330/G330</f>
        <v>20.349812071248</v>
      </c>
      <c r="I330" s="14" t="n">
        <f aca="false">B330/Summary!$C$8*100</f>
        <v>147.386036816947</v>
      </c>
      <c r="J330" s="14" t="n">
        <f aca="false">G330/Summary!$E$8*100</f>
        <v>122.835348803401</v>
      </c>
      <c r="K330" s="15" t="n">
        <f aca="false">Summary!$D$9</f>
        <v>16.9374488591431</v>
      </c>
      <c r="L330" s="16" t="str">
        <f aca="false">IF(OR(D330="",E330=""),"edge hidden",IF(AND(H330&gt;=D330-0.02,H330&lt;=E330+0.02),"yes","no"))</f>
        <v>yes</v>
      </c>
    </row>
    <row r="331" customFormat="false" ht="15" hidden="false" customHeight="false" outlineLevel="0" collapsed="false">
      <c r="A331" s="9" t="n">
        <v>44251</v>
      </c>
      <c r="B331" s="10" t="n">
        <v>14982</v>
      </c>
      <c r="C331" s="11" t="n">
        <v>20.5242</v>
      </c>
      <c r="D331" s="11" t="n">
        <v>20.1403</v>
      </c>
      <c r="E331" s="11" t="n">
        <v>20.908</v>
      </c>
      <c r="F331" s="12" t="n">
        <f aca="false">IF(C331="","",B331/C331)</f>
        <v>729.967550501359</v>
      </c>
      <c r="G331" s="12" t="n">
        <f aca="false">MEDIAN(F321:F341)</f>
        <v>723.127980563044</v>
      </c>
      <c r="H331" s="13" t="n">
        <f aca="false">B331/G331</f>
        <v>20.7183242838075</v>
      </c>
      <c r="I331" s="14" t="n">
        <f aca="false">B331/Summary!$C$8*100</f>
        <v>150.133779599363</v>
      </c>
      <c r="J331" s="14" t="n">
        <f aca="false">G331/Summary!$E$8*100</f>
        <v>122.899811579104</v>
      </c>
      <c r="K331" s="15" t="n">
        <f aca="false">Summary!$D$9</f>
        <v>16.9374488591431</v>
      </c>
      <c r="L331" s="16" t="str">
        <f aca="false">IF(OR(D331="",E331=""),"edge hidden",IF(AND(H331&gt;=D331-0.02,H331&lt;=E331+0.02),"yes","no"))</f>
        <v>yes</v>
      </c>
    </row>
    <row r="332" customFormat="false" ht="15" hidden="false" customHeight="false" outlineLevel="0" collapsed="false">
      <c r="A332" s="9" t="n">
        <v>44252</v>
      </c>
      <c r="B332" s="10" t="n">
        <v>15097.35</v>
      </c>
      <c r="C332" s="11" t="n">
        <v>20.5242</v>
      </c>
      <c r="D332" s="11" t="n">
        <v>20.1403</v>
      </c>
      <c r="E332" s="11" t="n">
        <v>20.908</v>
      </c>
      <c r="F332" s="12" t="n">
        <f aca="false">IF(C332="","",B332/C332)</f>
        <v>735.587745198351</v>
      </c>
      <c r="G332" s="12" t="n">
        <f aca="false">MEDIAN(F322:F342)</f>
        <v>723.15864672179</v>
      </c>
      <c r="H332" s="13" t="n">
        <f aca="false">B332/G332</f>
        <v>20.8769542733659</v>
      </c>
      <c r="I332" s="14" t="n">
        <f aca="false">B332/Summary!$C$8*100</f>
        <v>151.289695463519</v>
      </c>
      <c r="J332" s="14" t="n">
        <f aca="false">G332/Summary!$E$8*100</f>
        <v>122.905023471373</v>
      </c>
      <c r="K332" s="15" t="n">
        <f aca="false">Summary!$D$9</f>
        <v>16.9374488591431</v>
      </c>
      <c r="L332" s="16" t="str">
        <f aca="false">IF(OR(D332="",E332=""),"edge hidden",IF(AND(H332&gt;=D332-0.02,H332&lt;=E332+0.02),"yes","no"))</f>
        <v>yes</v>
      </c>
    </row>
    <row r="333" customFormat="false" ht="15" hidden="false" customHeight="false" outlineLevel="0" collapsed="false">
      <c r="A333" s="9" t="n">
        <v>44253</v>
      </c>
      <c r="B333" s="10" t="n">
        <v>14529.15</v>
      </c>
      <c r="C333" s="11" t="n">
        <v>20.5242</v>
      </c>
      <c r="D333" s="11" t="n">
        <v>20.1325</v>
      </c>
      <c r="E333" s="11" t="n">
        <v>20.9159</v>
      </c>
      <c r="F333" s="12" t="n">
        <f aca="false">IF(C333="","",B333/C333)</f>
        <v>707.903353114859</v>
      </c>
      <c r="G333" s="12" t="n">
        <f aca="false">MEDIAN(F323:F343)</f>
        <v>723.571321179318</v>
      </c>
      <c r="H333" s="13" t="n">
        <f aca="false">B333/G333</f>
        <v>20.0797759318592</v>
      </c>
      <c r="I333" s="14" t="n">
        <f aca="false">B333/Summary!$C$8*100</f>
        <v>145.595795211993</v>
      </c>
      <c r="J333" s="14" t="n">
        <f aca="false">G333/Summary!$E$8*100</f>
        <v>122.975159898723</v>
      </c>
      <c r="K333" s="15" t="n">
        <f aca="false">Summary!$D$9</f>
        <v>16.9374488591431</v>
      </c>
      <c r="L333" s="16" t="str">
        <f aca="false">IF(OR(D333="",E333=""),"edge hidden",IF(AND(H333&gt;=D333-0.02,H333&lt;=E333+0.02),"yes","no"))</f>
        <v>no</v>
      </c>
    </row>
    <row r="334" customFormat="false" ht="15" hidden="false" customHeight="false" outlineLevel="0" collapsed="false">
      <c r="A334" s="9" t="n">
        <v>44256</v>
      </c>
      <c r="B334" s="10" t="n">
        <v>14761.55</v>
      </c>
      <c r="C334" s="11" t="n">
        <v>20.5951</v>
      </c>
      <c r="D334" s="11" t="n">
        <v>20.1325</v>
      </c>
      <c r="E334" s="11" t="n">
        <v>21.0576</v>
      </c>
      <c r="F334" s="12" t="n">
        <f aca="false">IF(C334="","",B334/C334)</f>
        <v>716.750586304509</v>
      </c>
      <c r="G334" s="12" t="n">
        <f aca="false">MEDIAN(F324:F344)</f>
        <v>724.907107870235</v>
      </c>
      <c r="H334" s="13" t="n">
        <f aca="false">B334/G334</f>
        <v>20.3633677194437</v>
      </c>
      <c r="I334" s="14" t="n">
        <f aca="false">B334/Summary!$C$8*100</f>
        <v>147.924662544718</v>
      </c>
      <c r="J334" s="14" t="n">
        <f aca="false">G334/Summary!$E$8*100</f>
        <v>123.202184626069</v>
      </c>
      <c r="K334" s="15" t="n">
        <f aca="false">Summary!$D$9</f>
        <v>16.9374488591431</v>
      </c>
      <c r="L334" s="16" t="str">
        <f aca="false">IF(OR(D334="",E334=""),"edge hidden",IF(AND(H334&gt;=D334-0.02,H334&lt;=E334+0.02),"yes","no"))</f>
        <v>yes</v>
      </c>
    </row>
    <row r="335" customFormat="false" ht="15" hidden="false" customHeight="false" outlineLevel="0" collapsed="false">
      <c r="A335" s="9" t="n">
        <v>44257</v>
      </c>
      <c r="B335" s="10" t="n">
        <v>14919.1</v>
      </c>
      <c r="C335" s="11" t="n">
        <v>20.6187</v>
      </c>
      <c r="D335" s="11" t="n">
        <v>20.1718</v>
      </c>
      <c r="E335" s="11" t="n">
        <v>21.0655</v>
      </c>
      <c r="F335" s="12" t="n">
        <f aca="false">IF(C335="","",B335/C335)</f>
        <v>723.571321179318</v>
      </c>
      <c r="G335" s="12" t="n">
        <f aca="false">MEDIAN(F325:F345)</f>
        <v>724.907107870235</v>
      </c>
      <c r="H335" s="13" t="n">
        <f aca="false">B335/G335</f>
        <v>20.5807059111782</v>
      </c>
      <c r="I335" s="14" t="n">
        <f aca="false">B335/Summary!$C$8*100</f>
        <v>149.503462236073</v>
      </c>
      <c r="J335" s="14" t="n">
        <f aca="false">G335/Summary!$E$8*100</f>
        <v>123.202184626069</v>
      </c>
      <c r="K335" s="15" t="n">
        <f aca="false">Summary!$D$9</f>
        <v>16.9374488591431</v>
      </c>
      <c r="L335" s="16" t="str">
        <f aca="false">IF(OR(D335="",E335=""),"edge hidden",IF(AND(H335&gt;=D335-0.02,H335&lt;=E335+0.02),"yes","no"))</f>
        <v>yes</v>
      </c>
    </row>
    <row r="336" customFormat="false" ht="15" hidden="false" customHeight="false" outlineLevel="0" collapsed="false">
      <c r="A336" s="9" t="n">
        <v>44258</v>
      </c>
      <c r="B336" s="10" t="n">
        <v>15245.6</v>
      </c>
      <c r="C336" s="11" t="n">
        <v>20.7014</v>
      </c>
      <c r="D336" s="11" t="n">
        <v>20.3372</v>
      </c>
      <c r="E336" s="11" t="n">
        <v>21.0655</v>
      </c>
      <c r="F336" s="12" t="n">
        <f aca="false">IF(C336="","",B336/C336)</f>
        <v>736.452607070053</v>
      </c>
      <c r="G336" s="12" t="n">
        <f aca="false">MEDIAN(F326:F346)</f>
        <v>723.571321179318</v>
      </c>
      <c r="H336" s="13" t="n">
        <f aca="false">B336/G336</f>
        <v>21.0699340255109</v>
      </c>
      <c r="I336" s="14" t="n">
        <f aca="false">B336/Summary!$C$8*100</f>
        <v>152.77530037779</v>
      </c>
      <c r="J336" s="14" t="n">
        <f aca="false">G336/Summary!$E$8*100</f>
        <v>122.975159898723</v>
      </c>
      <c r="K336" s="15" t="n">
        <f aca="false">Summary!$D$9</f>
        <v>16.9374488591431</v>
      </c>
      <c r="L336" s="16" t="str">
        <f aca="false">IF(OR(D336="",E336=""),"edge hidden",IF(AND(H336&gt;=D336-0.02,H336&lt;=E336+0.02),"yes","no"))</f>
        <v>yes</v>
      </c>
    </row>
    <row r="337" customFormat="false" ht="15" hidden="false" customHeight="false" outlineLevel="0" collapsed="false">
      <c r="A337" s="9" t="n">
        <v>44259</v>
      </c>
      <c r="B337" s="10" t="n">
        <v>15080.75</v>
      </c>
      <c r="C337" s="11" t="n">
        <v>20.8037</v>
      </c>
      <c r="D337" s="11" t="n">
        <v>20.5498</v>
      </c>
      <c r="E337" s="11" t="n">
        <v>21.0576</v>
      </c>
      <c r="F337" s="12" t="n">
        <f aca="false">IF(C337="","",B337/C337)</f>
        <v>724.907107870235</v>
      </c>
      <c r="G337" s="12" t="n">
        <f aca="false">MEDIAN(F327:F347)</f>
        <v>724.907107870235</v>
      </c>
      <c r="H337" s="13" t="n">
        <f aca="false">B337/G337</f>
        <v>20.8037</v>
      </c>
      <c r="I337" s="14" t="n">
        <f aca="false">B337/Summary!$C$8*100</f>
        <v>151.123347796896</v>
      </c>
      <c r="J337" s="14" t="n">
        <f aca="false">G337/Summary!$E$8*100</f>
        <v>123.202184626069</v>
      </c>
      <c r="K337" s="15" t="n">
        <f aca="false">Summary!$D$9</f>
        <v>16.9374488591431</v>
      </c>
      <c r="L337" s="16" t="str">
        <f aca="false">IF(OR(D337="",E337=""),"edge hidden",IF(AND(H337&gt;=D337-0.02,H337&lt;=E337+0.02),"yes","no"))</f>
        <v>yes</v>
      </c>
    </row>
    <row r="338" customFormat="false" ht="15" hidden="false" customHeight="false" outlineLevel="0" collapsed="false">
      <c r="A338" s="9" t="n">
        <v>44260</v>
      </c>
      <c r="B338" s="10" t="n">
        <v>14938.1</v>
      </c>
      <c r="C338" s="11" t="n">
        <v>20.8076</v>
      </c>
      <c r="D338" s="11" t="n">
        <v>20.5734</v>
      </c>
      <c r="E338" s="11" t="n">
        <v>21.0419</v>
      </c>
      <c r="F338" s="12" t="n">
        <f aca="false">IF(C338="","",B338/C338)</f>
        <v>717.915569311213</v>
      </c>
      <c r="G338" s="12" t="n">
        <f aca="false">MEDIAN(F328:F348)</f>
        <v>728.579045587843</v>
      </c>
      <c r="H338" s="13" t="n">
        <f aca="false">B338/G338</f>
        <v>20.5030601558784</v>
      </c>
      <c r="I338" s="14" t="n">
        <f aca="false">B338/Summary!$C$8*100</f>
        <v>149.693860167751</v>
      </c>
      <c r="J338" s="14" t="n">
        <f aca="false">G338/Summary!$E$8*100</f>
        <v>123.826251825451</v>
      </c>
      <c r="K338" s="15" t="n">
        <f aca="false">Summary!$D$9</f>
        <v>16.9374488591431</v>
      </c>
      <c r="L338" s="16" t="str">
        <f aca="false">IF(OR(D338="",E338=""),"edge hidden",IF(AND(H338&gt;=D338-0.02,H338&lt;=E338+0.02),"yes","no"))</f>
        <v>no</v>
      </c>
    </row>
    <row r="339" customFormat="false" ht="15" hidden="false" customHeight="false" outlineLevel="0" collapsed="false">
      <c r="A339" s="9" t="n">
        <v>44263</v>
      </c>
      <c r="B339" s="10" t="n">
        <v>14956.2</v>
      </c>
      <c r="C339" s="11" t="n">
        <v>20.6935</v>
      </c>
      <c r="D339" s="11" t="n">
        <v>20.5734</v>
      </c>
      <c r="E339" s="11" t="n">
        <v>20.8136</v>
      </c>
      <c r="F339" s="12" t="n">
        <f aca="false">IF(C339="","",B339/C339)</f>
        <v>722.748689201923</v>
      </c>
      <c r="G339" s="12" t="n">
        <f aca="false">MEDIAN(F329:F349)</f>
        <v>728.726721910363</v>
      </c>
      <c r="H339" s="13" t="n">
        <f aca="false">B339/G339</f>
        <v>20.523743058018</v>
      </c>
      <c r="I339" s="14" t="n">
        <f aca="false">B339/Summary!$C$8*100</f>
        <v>149.875239250033</v>
      </c>
      <c r="J339" s="14" t="n">
        <f aca="false">G339/Summary!$E$8*100</f>
        <v>123.851350276486</v>
      </c>
      <c r="K339" s="15" t="n">
        <f aca="false">Summary!$D$9</f>
        <v>16.9374488591431</v>
      </c>
      <c r="L339" s="16" t="str">
        <f aca="false">IF(OR(D339="",E339=""),"edge hidden",IF(AND(H339&gt;=D339-0.02,H339&lt;=E339+0.02),"yes","no"))</f>
        <v>no</v>
      </c>
    </row>
    <row r="340" customFormat="false" ht="15" hidden="false" customHeight="false" outlineLevel="0" collapsed="false">
      <c r="A340" s="9" t="n">
        <v>44264</v>
      </c>
      <c r="B340" s="10" t="n">
        <v>15098.4</v>
      </c>
      <c r="C340" s="11" t="n">
        <v>20.6935</v>
      </c>
      <c r="D340" s="11" t="n">
        <v>20.5734</v>
      </c>
      <c r="E340" s="11" t="n">
        <v>20.8136</v>
      </c>
      <c r="F340" s="12" t="n">
        <f aca="false">IF(C340="","",B340/C340)</f>
        <v>729.620412206732</v>
      </c>
      <c r="G340" s="12" t="n">
        <f aca="false">MEDIAN(F330:F350)</f>
        <v>729.620412206732</v>
      </c>
      <c r="H340" s="13" t="n">
        <f aca="false">B340/G340</f>
        <v>20.6935</v>
      </c>
      <c r="I340" s="14" t="n">
        <f aca="false">B340/Summary!$C$8*100</f>
        <v>151.30021745448</v>
      </c>
      <c r="J340" s="14" t="n">
        <f aca="false">G340/Summary!$E$8*100</f>
        <v>124.00323814694</v>
      </c>
      <c r="K340" s="15" t="n">
        <f aca="false">Summary!$D$9</f>
        <v>16.9374488591431</v>
      </c>
      <c r="L340" s="16" t="str">
        <f aca="false">IF(OR(D340="",E340=""),"edge hidden",IF(AND(H340&gt;=D340-0.02,H340&lt;=E340+0.02),"yes","no"))</f>
        <v>yes</v>
      </c>
    </row>
    <row r="341" customFormat="false" ht="15" hidden="false" customHeight="false" outlineLevel="0" collapsed="false">
      <c r="A341" s="9" t="n">
        <v>44265</v>
      </c>
      <c r="B341" s="10" t="n">
        <v>15174.8</v>
      </c>
      <c r="C341" s="11" t="n">
        <v>20.6895</v>
      </c>
      <c r="D341" s="11" t="n">
        <v>20.5655</v>
      </c>
      <c r="E341" s="11" t="n">
        <v>20.8136</v>
      </c>
      <c r="F341" s="12" t="n">
        <f aca="false">IF(C341="","",B341/C341)</f>
        <v>733.454167572923</v>
      </c>
      <c r="G341" s="12" t="n">
        <f aca="false">MEDIAN(F331:F351)</f>
        <v>729.620412206732</v>
      </c>
      <c r="H341" s="13" t="n">
        <f aca="false">B341/G341</f>
        <v>20.7982119827266</v>
      </c>
      <c r="I341" s="14" t="n">
        <f aca="false">B341/Summary!$C$8*100</f>
        <v>152.065817558698</v>
      </c>
      <c r="J341" s="14" t="n">
        <f aca="false">G341/Summary!$E$8*100</f>
        <v>124.00323814694</v>
      </c>
      <c r="K341" s="15" t="n">
        <f aca="false">Summary!$D$9</f>
        <v>16.9374488591431</v>
      </c>
      <c r="L341" s="16" t="str">
        <f aca="false">IF(OR(D341="",E341=""),"edge hidden",IF(AND(H341&gt;=D341-0.02,H341&lt;=E341+0.02),"yes","no"))</f>
        <v>yes</v>
      </c>
    </row>
    <row r="342" customFormat="false" ht="15" hidden="false" customHeight="false" outlineLevel="0" collapsed="false">
      <c r="A342" s="9" t="n">
        <v>44267</v>
      </c>
      <c r="B342" s="10" t="n">
        <v>15030.95</v>
      </c>
      <c r="C342" s="11" t="n">
        <v>20.6305</v>
      </c>
      <c r="D342" s="11" t="n">
        <v>20.4632</v>
      </c>
      <c r="E342" s="11" t="n">
        <v>20.7978</v>
      </c>
      <c r="F342" s="12" t="n">
        <f aca="false">IF(C342="","",B342/C342)</f>
        <v>728.579045587843</v>
      </c>
      <c r="G342" s="12" t="n">
        <f aca="false">MEDIAN(F332:F352)</f>
        <v>729.620412206732</v>
      </c>
      <c r="H342" s="13" t="n">
        <f aca="false">B342/G342</f>
        <v>20.6010546697001</v>
      </c>
      <c r="I342" s="14" t="n">
        <f aca="false">B342/Summary!$C$8*100</f>
        <v>150.624304797026</v>
      </c>
      <c r="J342" s="14" t="n">
        <f aca="false">G342/Summary!$E$8*100</f>
        <v>124.00323814694</v>
      </c>
      <c r="K342" s="15" t="n">
        <f aca="false">Summary!$D$9</f>
        <v>16.9374488591431</v>
      </c>
      <c r="L342" s="16" t="str">
        <f aca="false">IF(OR(D342="",E342=""),"edge hidden",IF(AND(H342&gt;=D342-0.02,H342&lt;=E342+0.02),"yes","no"))</f>
        <v>yes</v>
      </c>
    </row>
    <row r="343" customFormat="false" ht="15" hidden="false" customHeight="false" outlineLevel="0" collapsed="false">
      <c r="A343" s="9" t="n">
        <v>44270</v>
      </c>
      <c r="B343" s="10" t="n">
        <v>14929.5</v>
      </c>
      <c r="C343" s="11" t="n">
        <v>20.2762</v>
      </c>
      <c r="D343" s="11" t="n">
        <v>19.9435</v>
      </c>
      <c r="E343" s="11" t="n">
        <v>20.6088</v>
      </c>
      <c r="F343" s="12" t="n">
        <f aca="false">IF(C343="","",B343/C343)</f>
        <v>736.306605774258</v>
      </c>
      <c r="G343" s="12" t="n">
        <f aca="false">MEDIAN(F333:F353)</f>
        <v>729.620412206732</v>
      </c>
      <c r="H343" s="13" t="n">
        <f aca="false">B343/G343</f>
        <v>20.4620097659355</v>
      </c>
      <c r="I343" s="14" t="n">
        <f aca="false">B343/Summary!$C$8*100</f>
        <v>149.607680051307</v>
      </c>
      <c r="J343" s="14" t="n">
        <f aca="false">G343/Summary!$E$8*100</f>
        <v>124.00323814694</v>
      </c>
      <c r="K343" s="15" t="n">
        <f aca="false">Summary!$D$9</f>
        <v>16.9374488591431</v>
      </c>
      <c r="L343" s="16" t="str">
        <f aca="false">IF(OR(D343="",E343=""),"edge hidden",IF(AND(H343&gt;=D343-0.02,H343&lt;=E343+0.02),"yes","no"))</f>
        <v>yes</v>
      </c>
    </row>
    <row r="344" customFormat="false" ht="15" hidden="false" customHeight="false" outlineLevel="0" collapsed="false">
      <c r="A344" s="9" t="n">
        <v>44271</v>
      </c>
      <c r="B344" s="10" t="n">
        <v>14910.45</v>
      </c>
      <c r="C344" s="11" t="n">
        <v>20.2407</v>
      </c>
      <c r="D344" s="11" t="n">
        <v>19.9277</v>
      </c>
      <c r="E344" s="11" t="n">
        <v>20.5537</v>
      </c>
      <c r="F344" s="12" t="n">
        <f aca="false">IF(C344="","",B344/C344)</f>
        <v>736.656834990885</v>
      </c>
      <c r="G344" s="12" t="n">
        <f aca="false">MEDIAN(F334:F354)</f>
        <v>731.391667338872</v>
      </c>
      <c r="H344" s="13" t="n">
        <f aca="false">B344/G344</f>
        <v>20.3864094517932</v>
      </c>
      <c r="I344" s="14" t="n">
        <f aca="false">B344/Summary!$C$8*100</f>
        <v>149.416781072441</v>
      </c>
      <c r="J344" s="14" t="n">
        <f aca="false">G344/Summary!$E$8*100</f>
        <v>124.304273271911</v>
      </c>
      <c r="K344" s="15" t="n">
        <f aca="false">Summary!$D$9</f>
        <v>16.9374488591431</v>
      </c>
      <c r="L344" s="16" t="str">
        <f aca="false">IF(OR(D344="",E344=""),"edge hidden",IF(AND(H344&gt;=D344-0.02,H344&lt;=E344+0.02),"yes","no"))</f>
        <v>yes</v>
      </c>
    </row>
    <row r="345" customFormat="false" ht="15" hidden="false" customHeight="false" outlineLevel="0" collapsed="false">
      <c r="A345" s="9" t="n">
        <v>44272</v>
      </c>
      <c r="B345" s="10" t="n">
        <v>14721.3</v>
      </c>
      <c r="C345" s="11" t="n">
        <v>20.2014</v>
      </c>
      <c r="D345" s="11" t="n">
        <v>19.9277</v>
      </c>
      <c r="E345" s="11" t="n">
        <v>20.475</v>
      </c>
      <c r="F345" s="12" t="n">
        <f aca="false">IF(C345="","",B345/C345)</f>
        <v>728.726721910363</v>
      </c>
      <c r="G345" s="12" t="n">
        <f aca="false">MEDIAN(F335:F355)</f>
        <v>733.369961338972</v>
      </c>
      <c r="H345" s="13" t="n">
        <f aca="false">B345/G345</f>
        <v>20.0734973833973</v>
      </c>
      <c r="I345" s="14" t="n">
        <f aca="false">B345/Summary!$C$8*100</f>
        <v>147.521319557876</v>
      </c>
      <c r="J345" s="14" t="n">
        <f aca="false">G345/Summary!$E$8*100</f>
        <v>124.640495858224</v>
      </c>
      <c r="K345" s="15" t="n">
        <f aca="false">Summary!$D$9</f>
        <v>16.9374488591431</v>
      </c>
      <c r="L345" s="16" t="str">
        <f aca="false">IF(OR(D345="",E345=""),"edge hidden",IF(AND(H345&gt;=D345-0.02,H345&lt;=E345+0.02),"yes","no"))</f>
        <v>yes</v>
      </c>
    </row>
    <row r="346" customFormat="false" ht="15" hidden="false" customHeight="false" outlineLevel="0" collapsed="false">
      <c r="A346" s="9" t="n">
        <v>44273</v>
      </c>
      <c r="B346" s="10" t="n">
        <v>14557.85</v>
      </c>
      <c r="C346" s="11" t="n">
        <v>20.1305</v>
      </c>
      <c r="D346" s="11" t="n">
        <v>19.9199</v>
      </c>
      <c r="E346" s="11" t="n">
        <v>20.3411</v>
      </c>
      <c r="F346" s="12" t="n">
        <f aca="false">IF(C346="","",B346/C346)</f>
        <v>723.173791013636</v>
      </c>
      <c r="G346" s="12" t="n">
        <f aca="false">MEDIAN(F336:F356)</f>
        <v>733.369961338972</v>
      </c>
      <c r="H346" s="13" t="n">
        <f aca="false">B346/G346</f>
        <v>19.8506221517726</v>
      </c>
      <c r="I346" s="14" t="n">
        <f aca="false">B346/Summary!$C$8*100</f>
        <v>145.883396298263</v>
      </c>
      <c r="J346" s="14" t="n">
        <f aca="false">G346/Summary!$E$8*100</f>
        <v>124.640495858224</v>
      </c>
      <c r="K346" s="15" t="n">
        <f aca="false">Summary!$D$9</f>
        <v>16.9374488591431</v>
      </c>
      <c r="L346" s="16" t="str">
        <f aca="false">IF(OR(D346="",E346=""),"edge hidden",IF(AND(H346&gt;=D346-0.02,H346&lt;=E346+0.02),"yes","no"))</f>
        <v>no</v>
      </c>
    </row>
    <row r="347" customFormat="false" ht="15" hidden="false" customHeight="false" outlineLevel="0" collapsed="false">
      <c r="A347" s="9" t="n">
        <v>44274</v>
      </c>
      <c r="B347" s="10" t="n">
        <v>14744</v>
      </c>
      <c r="C347" s="11" t="n">
        <v>20.0793</v>
      </c>
      <c r="D347" s="11" t="n">
        <v>19.9199</v>
      </c>
      <c r="E347" s="11" t="n">
        <v>20.2388</v>
      </c>
      <c r="F347" s="12" t="n">
        <f aca="false">IF(C347="","",B347/C347)</f>
        <v>734.288545915445</v>
      </c>
      <c r="G347" s="12" t="n">
        <f aca="false">MEDIAN(F337:F357)</f>
        <v>731.391667338872</v>
      </c>
      <c r="H347" s="13" t="n">
        <f aca="false">B347/G347</f>
        <v>20.1588296099205</v>
      </c>
      <c r="I347" s="14" t="n">
        <f aca="false">B347/Summary!$C$8*100</f>
        <v>147.748794981511</v>
      </c>
      <c r="J347" s="14" t="n">
        <f aca="false">G347/Summary!$E$8*100</f>
        <v>124.304273271911</v>
      </c>
      <c r="K347" s="15" t="n">
        <f aca="false">Summary!$D$9</f>
        <v>16.9374488591431</v>
      </c>
      <c r="L347" s="16" t="str">
        <f aca="false">IF(OR(D347="",E347=""),"edge hidden",IF(AND(H347&gt;=D347-0.02,H347&lt;=E347+0.02),"yes","no"))</f>
        <v>yes</v>
      </c>
    </row>
    <row r="348" customFormat="false" ht="15" hidden="false" customHeight="false" outlineLevel="0" collapsed="false">
      <c r="A348" s="9" t="n">
        <v>44277</v>
      </c>
      <c r="B348" s="10" t="n">
        <v>14736.4</v>
      </c>
      <c r="C348" s="11" t="n">
        <v>19.851</v>
      </c>
      <c r="D348" s="11" t="n">
        <v>19.4868</v>
      </c>
      <c r="E348" s="11" t="n">
        <v>20.2151</v>
      </c>
      <c r="F348" s="12" t="n">
        <f aca="false">IF(C348="","",B348/C348)</f>
        <v>742.350511309254</v>
      </c>
      <c r="G348" s="12" t="n">
        <f aca="false">MEDIAN(F338:F358)</f>
        <v>733.369961338972</v>
      </c>
      <c r="H348" s="13" t="n">
        <f aca="false">B348/G348</f>
        <v>20.0940872640796</v>
      </c>
      <c r="I348" s="14" t="n">
        <f aca="false">B348/Summary!$C$8*100</f>
        <v>147.67263580884</v>
      </c>
      <c r="J348" s="14" t="n">
        <f aca="false">G348/Summary!$E$8*100</f>
        <v>124.640495858224</v>
      </c>
      <c r="K348" s="15" t="n">
        <f aca="false">Summary!$D$9</f>
        <v>16.9374488591431</v>
      </c>
      <c r="L348" s="16" t="str">
        <f aca="false">IF(OR(D348="",E348=""),"edge hidden",IF(AND(H348&gt;=D348-0.02,H348&lt;=E348+0.02),"yes","no"))</f>
        <v>yes</v>
      </c>
    </row>
    <row r="349" customFormat="false" ht="15" hidden="false" customHeight="false" outlineLevel="0" collapsed="false">
      <c r="A349" s="9" t="n">
        <v>44278</v>
      </c>
      <c r="B349" s="10" t="n">
        <v>14814.75</v>
      </c>
      <c r="C349" s="11" t="n">
        <v>19.8431</v>
      </c>
      <c r="D349" s="11" t="n">
        <v>19.4789</v>
      </c>
      <c r="E349" s="11" t="n">
        <v>20.2073</v>
      </c>
      <c r="F349" s="12" t="n">
        <f aca="false">IF(C349="","",B349/C349)</f>
        <v>746.594534120173</v>
      </c>
      <c r="G349" s="12" t="n">
        <f aca="false">MEDIAN(F339:F359)</f>
        <v>733.454167572923</v>
      </c>
      <c r="H349" s="13" t="n">
        <f aca="false">B349/G349</f>
        <v>20.1986036142157</v>
      </c>
      <c r="I349" s="14" t="n">
        <f aca="false">B349/Summary!$C$8*100</f>
        <v>148.457776753415</v>
      </c>
      <c r="J349" s="14" t="n">
        <f aca="false">G349/Summary!$E$8*100</f>
        <v>124.654807198076</v>
      </c>
      <c r="K349" s="15" t="n">
        <f aca="false">Summary!$D$9</f>
        <v>16.9374488591431</v>
      </c>
      <c r="L349" s="16" t="str">
        <f aca="false">IF(OR(D349="",E349=""),"edge hidden",IF(AND(H349&gt;=D349-0.02,H349&lt;=E349+0.02),"yes","no"))</f>
        <v>yes</v>
      </c>
    </row>
    <row r="350" customFormat="false" ht="15" hidden="false" customHeight="false" outlineLevel="0" collapsed="false">
      <c r="A350" s="9" t="n">
        <v>44279</v>
      </c>
      <c r="B350" s="10" t="n">
        <v>14549.4</v>
      </c>
      <c r="C350" s="11" t="n">
        <v>19.8391</v>
      </c>
      <c r="D350" s="11" t="n">
        <v>19.471</v>
      </c>
      <c r="E350" s="11" t="n">
        <v>20.2073</v>
      </c>
      <c r="F350" s="12" t="n">
        <f aca="false">IF(C350="","",B350/C350)</f>
        <v>733.369961338972</v>
      </c>
      <c r="G350" s="12" t="n">
        <f aca="false">MEDIAN(F340:F360)</f>
        <v>734.288545915445</v>
      </c>
      <c r="H350" s="13" t="n">
        <f aca="false">B350/G350</f>
        <v>19.814281566739</v>
      </c>
      <c r="I350" s="14" t="n">
        <f aca="false">B350/Summary!$C$8*100</f>
        <v>145.798719323386</v>
      </c>
      <c r="J350" s="14" t="n">
        <f aca="false">G350/Summary!$E$8*100</f>
        <v>124.79661465656</v>
      </c>
      <c r="K350" s="15" t="n">
        <f aca="false">Summary!$D$9</f>
        <v>16.9374488591431</v>
      </c>
      <c r="L350" s="16" t="str">
        <f aca="false">IF(OR(D350="",E350=""),"edge hidden",IF(AND(H350&gt;=D350-0.02,H350&lt;=E350+0.02),"yes","no"))</f>
        <v>yes</v>
      </c>
    </row>
    <row r="351" customFormat="false" ht="15" hidden="false" customHeight="false" outlineLevel="0" collapsed="false">
      <c r="A351" s="9" t="n">
        <v>44280</v>
      </c>
      <c r="B351" s="10" t="n">
        <v>14324.9</v>
      </c>
      <c r="C351" s="11" t="n">
        <v>19.8391</v>
      </c>
      <c r="D351" s="11" t="n">
        <v>19.4789</v>
      </c>
      <c r="E351" s="11" t="n">
        <v>20.1994</v>
      </c>
      <c r="F351" s="12" t="n">
        <f aca="false">IF(C351="","",B351/C351)</f>
        <v>722.053923817109</v>
      </c>
      <c r="G351" s="12" t="n">
        <f aca="false">MEDIAN(F341:F361)</f>
        <v>734.288545915445</v>
      </c>
      <c r="H351" s="13" t="n">
        <f aca="false">B351/G351</f>
        <v>19.5085434461476</v>
      </c>
      <c r="I351" s="14" t="n">
        <f aca="false">B351/Summary!$C$8*100</f>
        <v>143.549017446463</v>
      </c>
      <c r="J351" s="14" t="n">
        <f aca="false">G351/Summary!$E$8*100</f>
        <v>124.79661465656</v>
      </c>
      <c r="K351" s="15" t="n">
        <f aca="false">Summary!$D$9</f>
        <v>16.9374488591431</v>
      </c>
      <c r="L351" s="16" t="str">
        <f aca="false">IF(OR(D351="",E351=""),"edge hidden",IF(AND(H351&gt;=D351-0.02,H351&lt;=E351+0.02),"yes","no"))</f>
        <v>yes</v>
      </c>
    </row>
    <row r="352" customFormat="false" ht="15" hidden="false" customHeight="false" outlineLevel="0" collapsed="false">
      <c r="A352" s="9" t="n">
        <v>44281</v>
      </c>
      <c r="B352" s="10" t="n">
        <v>14507.3</v>
      </c>
      <c r="C352" s="11" t="n">
        <v>19.8352</v>
      </c>
      <c r="D352" s="11" t="n">
        <v>19.4789</v>
      </c>
      <c r="E352" s="11" t="n">
        <v>20.1915</v>
      </c>
      <c r="F352" s="12" t="n">
        <f aca="false">IF(C352="","",B352/C352)</f>
        <v>731.391667338872</v>
      </c>
      <c r="G352" s="12" t="n">
        <f aca="false">MEDIAN(F342:F362)</f>
        <v>734.803203169157</v>
      </c>
      <c r="H352" s="13" t="n">
        <f aca="false">B352/G352</f>
        <v>19.7431093623857</v>
      </c>
      <c r="I352" s="14" t="n">
        <f aca="false">B352/Summary!$C$8*100</f>
        <v>145.376837590564</v>
      </c>
      <c r="J352" s="14" t="n">
        <f aca="false">G352/Summary!$E$8*100</f>
        <v>124.884083654039</v>
      </c>
      <c r="K352" s="15" t="n">
        <f aca="false">Summary!$D$9</f>
        <v>16.9374488591431</v>
      </c>
      <c r="L352" s="16" t="str">
        <f aca="false">IF(OR(D352="",E352=""),"edge hidden",IF(AND(H352&gt;=D352-0.02,H352&lt;=E352+0.02),"yes","no"))</f>
        <v>yes</v>
      </c>
    </row>
    <row r="353" customFormat="false" ht="15" hidden="false" customHeight="false" outlineLevel="0" collapsed="false">
      <c r="A353" s="9" t="n">
        <v>44285</v>
      </c>
      <c r="B353" s="10" t="n">
        <v>14845.1</v>
      </c>
      <c r="C353" s="11" t="n">
        <v>19.9888</v>
      </c>
      <c r="D353" s="11" t="n">
        <v>19.6679</v>
      </c>
      <c r="E353" s="11" t="n">
        <v>20.3096</v>
      </c>
      <c r="F353" s="12" t="n">
        <f aca="false">IF(C353="","",B353/C353)</f>
        <v>742.670895701593</v>
      </c>
      <c r="G353" s="12" t="n">
        <f aca="false">MEDIAN(F343:F363)</f>
        <v>734.911434477727</v>
      </c>
      <c r="H353" s="13" t="n">
        <f aca="false">B353/G353</f>
        <v>20.1998489934367</v>
      </c>
      <c r="I353" s="14" t="n">
        <f aca="false">B353/Summary!$C$8*100</f>
        <v>148.76191239691</v>
      </c>
      <c r="J353" s="14" t="n">
        <f aca="false">G353/Summary!$E$8*100</f>
        <v>124.902478195237</v>
      </c>
      <c r="K353" s="15" t="n">
        <f aca="false">Summary!$D$9</f>
        <v>16.9374488591431</v>
      </c>
      <c r="L353" s="16" t="str">
        <f aca="false">IF(OR(D353="",E353=""),"edge hidden",IF(AND(H353&gt;=D353-0.02,H353&lt;=E353+0.02),"yes","no"))</f>
        <v>yes</v>
      </c>
    </row>
    <row r="354" customFormat="false" ht="15" hidden="false" customHeight="false" outlineLevel="0" collapsed="false">
      <c r="A354" s="9" t="n">
        <v>44286</v>
      </c>
      <c r="B354" s="10" t="n">
        <v>14690.7</v>
      </c>
      <c r="C354" s="11" t="n">
        <v>19.9927</v>
      </c>
      <c r="D354" s="11" t="n">
        <v>19.6758</v>
      </c>
      <c r="E354" s="11" t="n">
        <v>20.3096</v>
      </c>
      <c r="F354" s="12" t="n">
        <f aca="false">IF(C354="","",B354/C354)</f>
        <v>734.803203169157</v>
      </c>
      <c r="G354" s="12" t="n">
        <f aca="false">MEDIAN(F344:F364)</f>
        <v>734.911434477727</v>
      </c>
      <c r="H354" s="13" t="n">
        <f aca="false">B354/G354</f>
        <v>19.9897556505433</v>
      </c>
      <c r="I354" s="14" t="n">
        <f aca="false">B354/Summary!$C$8*100</f>
        <v>147.214678678438</v>
      </c>
      <c r="J354" s="14" t="n">
        <f aca="false">G354/Summary!$E$8*100</f>
        <v>124.902478195237</v>
      </c>
      <c r="K354" s="15" t="n">
        <f aca="false">Summary!$D$9</f>
        <v>16.9374488591431</v>
      </c>
      <c r="L354" s="16" t="str">
        <f aca="false">IF(OR(D354="",E354=""),"edge hidden",IF(AND(H354&gt;=D354-0.02,H354&lt;=E354+0.02),"yes","no"))</f>
        <v>yes</v>
      </c>
    </row>
    <row r="355" customFormat="false" ht="15" hidden="false" customHeight="false" outlineLevel="0" collapsed="false">
      <c r="A355" s="9" t="n">
        <v>44287</v>
      </c>
      <c r="B355" s="10" t="n">
        <v>14867.35</v>
      </c>
      <c r="C355" s="11" t="n">
        <v>20.1423</v>
      </c>
      <c r="D355" s="11" t="n">
        <v>19.9671</v>
      </c>
      <c r="E355" s="11" t="n">
        <v>20.3175</v>
      </c>
      <c r="F355" s="12" t="n">
        <f aca="false">IF(C355="","",B355/C355)</f>
        <v>738.115806040025</v>
      </c>
      <c r="G355" s="12" t="n">
        <f aca="false">MEDIAN(F345:F365)</f>
        <v>734.911434477727</v>
      </c>
      <c r="H355" s="13" t="n">
        <f aca="false">B355/G355</f>
        <v>20.2301247504274</v>
      </c>
      <c r="I355" s="14" t="n">
        <f aca="false">B355/Summary!$C$8*100</f>
        <v>148.984878395847</v>
      </c>
      <c r="J355" s="14" t="n">
        <f aca="false">G355/Summary!$E$8*100</f>
        <v>124.902478195237</v>
      </c>
      <c r="K355" s="15" t="n">
        <f aca="false">Summary!$D$9</f>
        <v>16.9374488591431</v>
      </c>
      <c r="L355" s="16" t="str">
        <f aca="false">IF(OR(D355="",E355=""),"edge hidden",IF(AND(H355&gt;=D355-0.02,H355&lt;=E355+0.02),"yes","no"))</f>
        <v>yes</v>
      </c>
    </row>
    <row r="356" customFormat="false" ht="15" hidden="false" customHeight="false" outlineLevel="0" collapsed="false">
      <c r="A356" s="9" t="n">
        <v>44291</v>
      </c>
      <c r="B356" s="10" t="n">
        <v>14637.8</v>
      </c>
      <c r="C356" s="11" t="n">
        <v>20.1305</v>
      </c>
      <c r="D356" s="11" t="n">
        <v>19.9828</v>
      </c>
      <c r="E356" s="11" t="n">
        <v>20.2781</v>
      </c>
      <c r="F356" s="12" t="n">
        <f aca="false">IF(C356="","",B356/C356)</f>
        <v>727.145376418867</v>
      </c>
      <c r="G356" s="12" t="n">
        <f aca="false">MEDIAN(F346:F366)</f>
        <v>734.911434477727</v>
      </c>
      <c r="H356" s="13" t="n">
        <f aca="false">B356/G356</f>
        <v>19.9177741878551</v>
      </c>
      <c r="I356" s="14" t="n">
        <f aca="false">B356/Summary!$C$8*100</f>
        <v>146.684570752874</v>
      </c>
      <c r="J356" s="14" t="n">
        <f aca="false">G356/Summary!$E$8*100</f>
        <v>124.902478195237</v>
      </c>
      <c r="K356" s="15" t="n">
        <f aca="false">Summary!$D$9</f>
        <v>16.9374488591431</v>
      </c>
      <c r="L356" s="16" t="str">
        <f aca="false">IF(OR(D356="",E356=""),"edge hidden",IF(AND(H356&gt;=D356-0.02,H356&lt;=E356+0.02),"yes","no"))</f>
        <v>no</v>
      </c>
    </row>
    <row r="357" customFormat="false" ht="15" hidden="false" customHeight="false" outlineLevel="0" collapsed="false">
      <c r="A357" s="9" t="n">
        <v>44292</v>
      </c>
      <c r="B357" s="10" t="n">
        <v>14683.5</v>
      </c>
      <c r="C357" s="11" t="n">
        <v>20.1265</v>
      </c>
      <c r="D357" s="11" t="n">
        <v>19.9828</v>
      </c>
      <c r="E357" s="11" t="n">
        <v>20.2702</v>
      </c>
      <c r="F357" s="12" t="n">
        <f aca="false">IF(C357="","",B357/C357)</f>
        <v>729.560529649964</v>
      </c>
      <c r="G357" s="12" t="n">
        <f aca="false">MEDIAN(F347:F367)</f>
        <v>736.657825750153</v>
      </c>
      <c r="H357" s="13" t="n">
        <f aca="false">B357/G357</f>
        <v>19.9325921570812</v>
      </c>
      <c r="I357" s="14" t="n">
        <f aca="false">B357/Summary!$C$8*100</f>
        <v>147.142527883276</v>
      </c>
      <c r="J357" s="14" t="n">
        <f aca="false">G357/Summary!$E$8*100</f>
        <v>125.19928756245</v>
      </c>
      <c r="K357" s="15" t="n">
        <f aca="false">Summary!$D$9</f>
        <v>16.9374488591431</v>
      </c>
      <c r="L357" s="16" t="str">
        <f aca="false">IF(OR(D357="",E357=""),"edge hidden",IF(AND(H357&gt;=D357-0.02,H357&lt;=E357+0.02),"yes","no"))</f>
        <v>no</v>
      </c>
    </row>
    <row r="358" customFormat="false" ht="15" hidden="false" customHeight="false" outlineLevel="0" collapsed="false">
      <c r="A358" s="9" t="n">
        <v>44293</v>
      </c>
      <c r="B358" s="10" t="n">
        <v>14819.05</v>
      </c>
      <c r="C358" s="11" t="n">
        <v>20.0911</v>
      </c>
      <c r="D358" s="11" t="n">
        <v>19.9671</v>
      </c>
      <c r="E358" s="11" t="n">
        <v>20.2151</v>
      </c>
      <c r="F358" s="12" t="n">
        <f aca="false">IF(C358="","",B358/C358)</f>
        <v>737.592764955627</v>
      </c>
      <c r="G358" s="12" t="n">
        <f aca="false">MEDIAN(F348:F368)</f>
        <v>736.657825750153</v>
      </c>
      <c r="H358" s="13" t="n">
        <f aca="false">B358/G358</f>
        <v>20.1165988902778</v>
      </c>
      <c r="I358" s="14" t="n">
        <f aca="false">B358/Summary!$C$8*100</f>
        <v>148.500866811636</v>
      </c>
      <c r="J358" s="14" t="n">
        <f aca="false">G358/Summary!$E$8*100</f>
        <v>125.19928756245</v>
      </c>
      <c r="K358" s="15" t="n">
        <f aca="false">Summary!$D$9</f>
        <v>16.9374488591431</v>
      </c>
      <c r="L358" s="16" t="str">
        <f aca="false">IF(OR(D358="",E358=""),"edge hidden",IF(AND(H358&gt;=D358-0.02,H358&lt;=E358+0.02),"yes","no"))</f>
        <v>yes</v>
      </c>
    </row>
    <row r="359" customFormat="false" ht="15" hidden="false" customHeight="false" outlineLevel="0" collapsed="false">
      <c r="A359" s="9" t="n">
        <v>44294</v>
      </c>
      <c r="B359" s="10" t="n">
        <v>14873.8</v>
      </c>
      <c r="C359" s="11" t="n">
        <v>19.8116</v>
      </c>
      <c r="D359" s="11" t="n">
        <v>19.4238</v>
      </c>
      <c r="E359" s="11" t="n">
        <v>20.1994</v>
      </c>
      <c r="F359" s="12" t="n">
        <f aca="false">IF(C359="","",B359/C359)</f>
        <v>750.762179733086</v>
      </c>
      <c r="G359" s="12" t="n">
        <f aca="false">MEDIAN(F349:F369)</f>
        <v>736.657825750153</v>
      </c>
      <c r="H359" s="13" t="n">
        <f aca="false">B359/G359</f>
        <v>20.1909210492045</v>
      </c>
      <c r="I359" s="14" t="n">
        <f aca="false">B359/Summary!$C$8*100</f>
        <v>149.04951348318</v>
      </c>
      <c r="J359" s="14" t="n">
        <f aca="false">G359/Summary!$E$8*100</f>
        <v>125.19928756245</v>
      </c>
      <c r="K359" s="15" t="n">
        <f aca="false">Summary!$D$9</f>
        <v>16.9374488591431</v>
      </c>
      <c r="L359" s="16" t="str">
        <f aca="false">IF(OR(D359="",E359=""),"edge hidden",IF(AND(H359&gt;=D359-0.02,H359&lt;=E359+0.02),"yes","no"))</f>
        <v>yes</v>
      </c>
    </row>
    <row r="360" customFormat="false" ht="15" hidden="false" customHeight="false" outlineLevel="0" collapsed="false">
      <c r="A360" s="9" t="n">
        <v>44295</v>
      </c>
      <c r="B360" s="10" t="n">
        <v>14834.85</v>
      </c>
      <c r="C360" s="11" t="n">
        <v>19.7919</v>
      </c>
      <c r="D360" s="11" t="n">
        <v>19.3923</v>
      </c>
      <c r="E360" s="11" t="n">
        <v>20.1915</v>
      </c>
      <c r="F360" s="12" t="n">
        <f aca="false">IF(C360="","",B360/C360)</f>
        <v>749.541479089931</v>
      </c>
      <c r="G360" s="12" t="n">
        <f aca="false">MEDIAN(F350:F370)</f>
        <v>736.657825750153</v>
      </c>
      <c r="H360" s="13" t="n">
        <f aca="false">B360/G360</f>
        <v>20.1380471114841</v>
      </c>
      <c r="I360" s="14" t="n">
        <f aca="false">B360/Summary!$C$8*100</f>
        <v>148.659197723242</v>
      </c>
      <c r="J360" s="14" t="n">
        <f aca="false">G360/Summary!$E$8*100</f>
        <v>125.19928756245</v>
      </c>
      <c r="K360" s="15" t="n">
        <f aca="false">Summary!$D$9</f>
        <v>16.9374488591431</v>
      </c>
      <c r="L360" s="16" t="str">
        <f aca="false">IF(OR(D360="",E360=""),"edge hidden",IF(AND(H360&gt;=D360-0.02,H360&lt;=E360+0.02),"yes","no"))</f>
        <v>yes</v>
      </c>
    </row>
    <row r="361" customFormat="false" ht="15" hidden="false" customHeight="false" outlineLevel="0" collapsed="false">
      <c r="A361" s="9" t="n">
        <v>44298</v>
      </c>
      <c r="B361" s="10" t="n">
        <v>14310.8</v>
      </c>
      <c r="C361" s="11" t="n">
        <v>19.7525</v>
      </c>
      <c r="D361" s="11" t="n">
        <v>19.3844</v>
      </c>
      <c r="E361" s="11" t="n">
        <v>20.1206</v>
      </c>
      <c r="F361" s="12" t="n">
        <f aca="false">IF(C361="","",B361/C361)</f>
        <v>724.505758764713</v>
      </c>
      <c r="G361" s="12" t="n">
        <f aca="false">MEDIAN(F351:F371)</f>
        <v>737.592764955627</v>
      </c>
      <c r="H361" s="13" t="n">
        <f aca="false">B361/G361</f>
        <v>19.402034130393</v>
      </c>
      <c r="I361" s="14" t="n">
        <f aca="false">B361/Summary!$C$8*100</f>
        <v>143.407722139271</v>
      </c>
      <c r="J361" s="14" t="n">
        <f aca="false">G361/Summary!$E$8*100</f>
        <v>125.358185925228</v>
      </c>
      <c r="K361" s="15" t="n">
        <f aca="false">Summary!$D$9</f>
        <v>16.9374488591431</v>
      </c>
      <c r="L361" s="16" t="str">
        <f aca="false">IF(OR(D361="",E361=""),"edge hidden",IF(AND(H361&gt;=D361-0.02,H361&lt;=E361+0.02),"yes","no"))</f>
        <v>yes</v>
      </c>
    </row>
    <row r="362" customFormat="false" ht="15" hidden="false" customHeight="false" outlineLevel="0" collapsed="false">
      <c r="A362" s="9" t="n">
        <v>44299</v>
      </c>
      <c r="B362" s="10" t="n">
        <v>14504.8</v>
      </c>
      <c r="C362" s="11" t="n">
        <v>19.7368</v>
      </c>
      <c r="D362" s="11" t="n">
        <v>19.3923</v>
      </c>
      <c r="E362" s="11" t="n">
        <v>20.0813</v>
      </c>
      <c r="F362" s="12" t="n">
        <f aca="false">IF(C362="","",B362/C362)</f>
        <v>734.911434477727</v>
      </c>
      <c r="G362" s="12" t="n">
        <f aca="false">MEDIAN(F352:F372)</f>
        <v>738.115806040025</v>
      </c>
      <c r="H362" s="13" t="n">
        <f aca="false">B362/G362</f>
        <v>19.6511169132361</v>
      </c>
      <c r="I362" s="14" t="n">
        <f aca="false">B362/Summary!$C$8*100</f>
        <v>145.351785231133</v>
      </c>
      <c r="J362" s="14" t="n">
        <f aca="false">G362/Summary!$E$8*100</f>
        <v>125.447079803557</v>
      </c>
      <c r="K362" s="15" t="n">
        <f aca="false">Summary!$D$9</f>
        <v>16.9374488591431</v>
      </c>
      <c r="L362" s="16" t="str">
        <f aca="false">IF(OR(D362="",E362=""),"edge hidden",IF(AND(H362&gt;=D362-0.02,H362&lt;=E362+0.02),"yes","no"))</f>
        <v>yes</v>
      </c>
    </row>
    <row r="363" customFormat="false" ht="15" hidden="false" customHeight="false" outlineLevel="0" collapsed="false">
      <c r="A363" s="9" t="n">
        <v>44301</v>
      </c>
      <c r="B363" s="10" t="n">
        <v>14581.45</v>
      </c>
      <c r="C363" s="11" t="n">
        <v>19.5439</v>
      </c>
      <c r="D363" s="11" t="n">
        <v>19.3687</v>
      </c>
      <c r="E363" s="11" t="n">
        <v>19.7191</v>
      </c>
      <c r="F363" s="12" t="n">
        <f aca="false">IF(C363="","",B363/C363)</f>
        <v>746.087014362538</v>
      </c>
      <c r="G363" s="12" t="n">
        <f aca="false">MEDIAN(F353:F373)</f>
        <v>739.366344921929</v>
      </c>
      <c r="H363" s="13" t="n">
        <f aca="false">B363/G363</f>
        <v>19.7215495405592</v>
      </c>
      <c r="I363" s="14" t="n">
        <f aca="false">B363/Summary!$C$8*100</f>
        <v>146.119890571294</v>
      </c>
      <c r="J363" s="14" t="n">
        <f aca="false">G363/Summary!$E$8*100</f>
        <v>125.659616169303</v>
      </c>
      <c r="K363" s="15" t="n">
        <f aca="false">Summary!$D$9</f>
        <v>16.9374488591431</v>
      </c>
      <c r="L363" s="16" t="str">
        <f aca="false">IF(OR(D363="",E363=""),"edge hidden",IF(AND(H363&gt;=D363-0.02,H363&lt;=E363+0.02),"yes","no"))</f>
        <v>yes</v>
      </c>
    </row>
    <row r="364" customFormat="false" ht="15" hidden="false" customHeight="false" outlineLevel="0" collapsed="false">
      <c r="A364" s="9" t="n">
        <v>44302</v>
      </c>
      <c r="B364" s="10" t="n">
        <v>14617.85</v>
      </c>
      <c r="C364" s="11" t="n">
        <v>19.5202</v>
      </c>
      <c r="D364" s="11" t="n">
        <v>19.3293</v>
      </c>
      <c r="E364" s="11" t="n">
        <v>19.7112</v>
      </c>
      <c r="F364" s="12" t="n">
        <f aca="false">IF(C364="","",B364/C364)</f>
        <v>748.857593672196</v>
      </c>
      <c r="G364" s="12" t="n">
        <f aca="false">MEDIAN(F354:F374)</f>
        <v>739.366344921929</v>
      </c>
      <c r="H364" s="13" t="n">
        <f aca="false">B364/G364</f>
        <v>19.7707808860891</v>
      </c>
      <c r="I364" s="14" t="n">
        <f aca="false">B364/Summary!$C$8*100</f>
        <v>146.484652924612</v>
      </c>
      <c r="J364" s="14" t="n">
        <f aca="false">G364/Summary!$E$8*100</f>
        <v>125.659616169303</v>
      </c>
      <c r="K364" s="15" t="n">
        <f aca="false">Summary!$D$9</f>
        <v>16.9374488591431</v>
      </c>
      <c r="L364" s="16" t="str">
        <f aca="false">IF(OR(D364="",E364=""),"edge hidden",IF(AND(H364&gt;=D364-0.02,H364&lt;=E364+0.02),"yes","no"))</f>
        <v>no</v>
      </c>
    </row>
    <row r="365" customFormat="false" ht="15" hidden="false" customHeight="false" outlineLevel="0" collapsed="false">
      <c r="A365" s="9" t="n">
        <v>44305</v>
      </c>
      <c r="B365" s="10" t="n">
        <v>14359.45</v>
      </c>
      <c r="C365" s="11" t="n">
        <v>19.4927</v>
      </c>
      <c r="D365" s="11" t="n">
        <v>19.2742</v>
      </c>
      <c r="E365" s="11" t="n">
        <v>19.7112</v>
      </c>
      <c r="F365" s="12" t="n">
        <f aca="false">IF(C365="","",B365/C365)</f>
        <v>736.657825750153</v>
      </c>
      <c r="G365" s="12" t="n">
        <f aca="false">MEDIAN(F355:F375)</f>
        <v>739.366344921929</v>
      </c>
      <c r="H365" s="13" t="n">
        <f aca="false">B365/G365</f>
        <v>19.4212924332068</v>
      </c>
      <c r="I365" s="14" t="n">
        <f aca="false">B365/Summary!$C$8*100</f>
        <v>143.895241053802</v>
      </c>
      <c r="J365" s="14" t="n">
        <f aca="false">G365/Summary!$E$8*100</f>
        <v>125.659616169303</v>
      </c>
      <c r="K365" s="15" t="n">
        <f aca="false">Summary!$D$9</f>
        <v>16.9374488591431</v>
      </c>
      <c r="L365" s="16" t="str">
        <f aca="false">IF(OR(D365="",E365=""),"edge hidden",IF(AND(H365&gt;=D365-0.02,H365&lt;=E365+0.02),"yes","no"))</f>
        <v>yes</v>
      </c>
    </row>
    <row r="366" customFormat="false" ht="15" hidden="false" customHeight="false" outlineLevel="0" collapsed="false">
      <c r="A366" s="9" t="n">
        <v>44306</v>
      </c>
      <c r="B366" s="10" t="n">
        <v>14296.4</v>
      </c>
      <c r="C366" s="11" t="n">
        <v>19.4809</v>
      </c>
      <c r="D366" s="11" t="n">
        <v>19.2742</v>
      </c>
      <c r="E366" s="11" t="n">
        <v>19.6876</v>
      </c>
      <c r="F366" s="12" t="n">
        <f aca="false">IF(C366="","",B366/C366)</f>
        <v>733.867531787546</v>
      </c>
      <c r="G366" s="12" t="n">
        <f aca="false">MEDIAN(F356:F376)</f>
        <v>741.082382762991</v>
      </c>
      <c r="H366" s="13" t="n">
        <f aca="false">B366/G366</f>
        <v>19.2912425561899</v>
      </c>
      <c r="I366" s="14" t="n">
        <f aca="false">B366/Summary!$C$8*100</f>
        <v>143.263420548947</v>
      </c>
      <c r="J366" s="14" t="n">
        <f aca="false">G366/Summary!$E$8*100</f>
        <v>125.951266794086</v>
      </c>
      <c r="K366" s="15" t="n">
        <f aca="false">Summary!$D$9</f>
        <v>16.9374488591431</v>
      </c>
      <c r="L366" s="16" t="str">
        <f aca="false">IF(OR(D366="",E366=""),"edge hidden",IF(AND(H366&gt;=D366-0.02,H366&lt;=E366+0.02),"yes","no"))</f>
        <v>yes</v>
      </c>
    </row>
    <row r="367" customFormat="false" ht="15" hidden="false" customHeight="false" outlineLevel="0" collapsed="false">
      <c r="A367" s="9" t="n">
        <v>44308</v>
      </c>
      <c r="B367" s="10" t="n">
        <v>14406.15</v>
      </c>
      <c r="C367" s="11" t="n">
        <v>19.4179</v>
      </c>
      <c r="D367" s="11" t="n">
        <v>19.2663</v>
      </c>
      <c r="E367" s="11" t="n">
        <v>19.5695</v>
      </c>
      <c r="F367" s="12" t="n">
        <f aca="false">IF(C367="","",B367/C367)</f>
        <v>741.900514473759</v>
      </c>
      <c r="G367" s="12" t="n">
        <f aca="false">MEDIAN(F357:F377)</f>
        <v>741.900514473759</v>
      </c>
      <c r="H367" s="13" t="n">
        <f aca="false">B367/G367</f>
        <v>19.4179</v>
      </c>
      <c r="I367" s="14" t="n">
        <f aca="false">B367/Summary!$C$8*100</f>
        <v>144.363219127977</v>
      </c>
      <c r="J367" s="14" t="n">
        <f aca="false">G367/Summary!$E$8*100</f>
        <v>126.090313042887</v>
      </c>
      <c r="K367" s="15" t="n">
        <f aca="false">Summary!$D$9</f>
        <v>16.9374488591431</v>
      </c>
      <c r="L367" s="16" t="str">
        <f aca="false">IF(OR(D367="",E367=""),"edge hidden",IF(AND(H367&gt;=D367-0.02,H367&lt;=E367+0.02),"yes","no"))</f>
        <v>yes</v>
      </c>
    </row>
    <row r="368" customFormat="false" ht="15" hidden="false" customHeight="false" outlineLevel="0" collapsed="false">
      <c r="A368" s="9" t="n">
        <v>44309</v>
      </c>
      <c r="B368" s="10" t="n">
        <v>14341.35</v>
      </c>
      <c r="C368" s="11" t="n">
        <v>19.4848</v>
      </c>
      <c r="D368" s="11" t="n">
        <v>19.2663</v>
      </c>
      <c r="E368" s="11" t="n">
        <v>19.7033</v>
      </c>
      <c r="F368" s="12" t="n">
        <f aca="false">IF(C368="","",B368/C368)</f>
        <v>736.027570208573</v>
      </c>
      <c r="G368" s="12" t="n">
        <f aca="false">MEDIAN(F358:F378)</f>
        <v>744.130810700844</v>
      </c>
      <c r="H368" s="13" t="n">
        <f aca="false">B368/G368</f>
        <v>19.2726195364668</v>
      </c>
      <c r="I368" s="14" t="n">
        <f aca="false">B368/Summary!$C$8*100</f>
        <v>143.713861971521</v>
      </c>
      <c r="J368" s="14" t="n">
        <f aca="false">G368/Summary!$E$8*100</f>
        <v>126.469364875263</v>
      </c>
      <c r="K368" s="15" t="n">
        <f aca="false">Summary!$D$9</f>
        <v>16.9374488591431</v>
      </c>
      <c r="L368" s="16" t="str">
        <f aca="false">IF(OR(D368="",E368=""),"edge hidden",IF(AND(H368&gt;=D368-0.02,H368&lt;=E368+0.02),"yes","no"))</f>
        <v>yes</v>
      </c>
    </row>
    <row r="369" customFormat="false" ht="15" hidden="false" customHeight="false" outlineLevel="0" collapsed="false">
      <c r="A369" s="9" t="n">
        <v>44312</v>
      </c>
      <c r="B369" s="10" t="n">
        <v>14485</v>
      </c>
      <c r="C369" s="11" t="n">
        <v>19.5911</v>
      </c>
      <c r="D369" s="11" t="n">
        <v>19.2821</v>
      </c>
      <c r="E369" s="11" t="n">
        <v>19.9002</v>
      </c>
      <c r="F369" s="12" t="n">
        <f aca="false">IF(C369="","",B369/C369)</f>
        <v>739.366344921929</v>
      </c>
      <c r="G369" s="12" t="n">
        <f aca="false">MEDIAN(F359:F379)</f>
        <v>744.285932255111</v>
      </c>
      <c r="H369" s="13" t="n">
        <f aca="false">B369/G369</f>
        <v>19.4616065845984</v>
      </c>
      <c r="I369" s="14" t="n">
        <f aca="false">B369/Summary!$C$8*100</f>
        <v>145.153370544438</v>
      </c>
      <c r="J369" s="14" t="n">
        <f aca="false">G369/Summary!$E$8*100</f>
        <v>126.495728686792</v>
      </c>
      <c r="K369" s="15" t="n">
        <f aca="false">Summary!$D$9</f>
        <v>16.9374488591431</v>
      </c>
      <c r="L369" s="16" t="str">
        <f aca="false">IF(OR(D369="",E369=""),"edge hidden",IF(AND(H369&gt;=D369-0.02,H369&lt;=E369+0.02),"yes","no"))</f>
        <v>yes</v>
      </c>
    </row>
    <row r="370" customFormat="false" ht="15" hidden="false" customHeight="false" outlineLevel="0" collapsed="false">
      <c r="A370" s="9" t="n">
        <v>44313</v>
      </c>
      <c r="B370" s="10" t="n">
        <v>14653.05</v>
      </c>
      <c r="C370" s="11" t="n">
        <v>19.599</v>
      </c>
      <c r="D370" s="11" t="n">
        <v>19.2899</v>
      </c>
      <c r="E370" s="11" t="n">
        <v>19.908</v>
      </c>
      <c r="F370" s="12" t="n">
        <f aca="false">IF(C370="","",B370/C370)</f>
        <v>747.64273687433</v>
      </c>
      <c r="G370" s="12" t="n">
        <f aca="false">MEDIAN(F360:F380)</f>
        <v>744.285932255111</v>
      </c>
      <c r="H370" s="13" t="n">
        <f aca="false">B370/G370</f>
        <v>19.6873934666516</v>
      </c>
      <c r="I370" s="14" t="n">
        <f aca="false">B370/Summary!$C$8*100</f>
        <v>146.837390145404</v>
      </c>
      <c r="J370" s="14" t="n">
        <f aca="false">G370/Summary!$E$8*100</f>
        <v>126.495728686792</v>
      </c>
      <c r="K370" s="15" t="n">
        <f aca="false">Summary!$D$9</f>
        <v>16.9374488591431</v>
      </c>
      <c r="L370" s="16" t="str">
        <f aca="false">IF(OR(D370="",E370=""),"edge hidden",IF(AND(H370&gt;=D370-0.02,H370&lt;=E370+0.02),"yes","no"))</f>
        <v>yes</v>
      </c>
    </row>
    <row r="371" customFormat="false" ht="15" hidden="false" customHeight="false" outlineLevel="0" collapsed="false">
      <c r="A371" s="9" t="n">
        <v>44314</v>
      </c>
      <c r="B371" s="10" t="n">
        <v>14864.55</v>
      </c>
      <c r="C371" s="11" t="n">
        <v>19.6423</v>
      </c>
      <c r="D371" s="11" t="n">
        <v>19.3765</v>
      </c>
      <c r="E371" s="11" t="n">
        <v>19.908</v>
      </c>
      <c r="F371" s="12" t="n">
        <f aca="false">IF(C371="","",B371/C371)</f>
        <v>756.762191800349</v>
      </c>
      <c r="G371" s="12" t="n">
        <f aca="false">MEDIAN(F361:F381)</f>
        <v>744.130810700844</v>
      </c>
      <c r="H371" s="13" t="n">
        <f aca="false">B371/G371</f>
        <v>19.9757217229053</v>
      </c>
      <c r="I371" s="14" t="n">
        <f aca="false">B371/Summary!$C$8*100</f>
        <v>148.956819753284</v>
      </c>
      <c r="J371" s="14" t="n">
        <f aca="false">G371/Summary!$E$8*100</f>
        <v>126.469364875263</v>
      </c>
      <c r="K371" s="15" t="n">
        <f aca="false">Summary!$D$9</f>
        <v>16.9374488591431</v>
      </c>
      <c r="L371" s="16" t="str">
        <f aca="false">IF(OR(D371="",E371=""),"edge hidden",IF(AND(H371&gt;=D371-0.02,H371&lt;=E371+0.02),"yes","no"))</f>
        <v>no</v>
      </c>
    </row>
    <row r="372" customFormat="false" ht="15" hidden="false" customHeight="false" outlineLevel="0" collapsed="false">
      <c r="A372" s="9" t="n">
        <v>44315</v>
      </c>
      <c r="B372" s="10" t="n">
        <v>14894.9</v>
      </c>
      <c r="C372" s="11" t="n">
        <v>19.662</v>
      </c>
      <c r="D372" s="11" t="n">
        <v>19.4159</v>
      </c>
      <c r="E372" s="11" t="n">
        <v>19.908</v>
      </c>
      <c r="F372" s="12" t="n">
        <f aca="false">IF(C372="","",B372/C372)</f>
        <v>757.5475536568</v>
      </c>
      <c r="G372" s="12" t="n">
        <f aca="false">MEDIAN(F362:F382)</f>
        <v>744.130810700844</v>
      </c>
      <c r="H372" s="13" t="n">
        <f aca="false">B372/G372</f>
        <v>20.0165075626576</v>
      </c>
      <c r="I372" s="14" t="n">
        <f aca="false">B372/Summary!$C$8*100</f>
        <v>149.260955396779</v>
      </c>
      <c r="J372" s="14" t="n">
        <f aca="false">G372/Summary!$E$8*100</f>
        <v>126.469364875263</v>
      </c>
      <c r="K372" s="15" t="n">
        <f aca="false">Summary!$D$9</f>
        <v>16.9374488591431</v>
      </c>
      <c r="L372" s="16" t="str">
        <f aca="false">IF(OR(D372="",E372=""),"edge hidden",IF(AND(H372&gt;=D372-0.02,H372&lt;=E372+0.02),"yes","no"))</f>
        <v>no</v>
      </c>
    </row>
    <row r="373" customFormat="false" ht="15" hidden="false" customHeight="false" outlineLevel="0" collapsed="false">
      <c r="A373" s="9" t="n">
        <v>44316</v>
      </c>
      <c r="B373" s="10" t="n">
        <v>14631.1</v>
      </c>
      <c r="C373" s="11" t="n">
        <v>19.662</v>
      </c>
      <c r="D373" s="11" t="n">
        <v>19.4159</v>
      </c>
      <c r="E373" s="11" t="n">
        <v>19.908</v>
      </c>
      <c r="F373" s="12" t="n">
        <f aca="false">IF(C373="","",B373/C373)</f>
        <v>744.130810700844</v>
      </c>
      <c r="G373" s="12" t="n">
        <f aca="false">MEDIAN(F363:F383)</f>
        <v>744.285932255111</v>
      </c>
      <c r="H373" s="13" t="n">
        <f aca="false">B373/G373</f>
        <v>19.6579021125245</v>
      </c>
      <c r="I373" s="14" t="n">
        <f aca="false">B373/Summary!$C$8*100</f>
        <v>146.617430429598</v>
      </c>
      <c r="J373" s="14" t="n">
        <f aca="false">G373/Summary!$E$8*100</f>
        <v>126.495728686792</v>
      </c>
      <c r="K373" s="15" t="n">
        <f aca="false">Summary!$D$9</f>
        <v>16.9374488591431</v>
      </c>
      <c r="L373" s="16" t="str">
        <f aca="false">IF(OR(D373="",E373=""),"edge hidden",IF(AND(H373&gt;=D373-0.02,H373&lt;=E373+0.02),"yes","no"))</f>
        <v>yes</v>
      </c>
    </row>
    <row r="374" customFormat="false" ht="15" hidden="false" customHeight="false" outlineLevel="0" collapsed="false">
      <c r="A374" s="9" t="n">
        <v>44319</v>
      </c>
      <c r="B374" s="10" t="n">
        <v>14634.15</v>
      </c>
      <c r="C374" s="11" t="n">
        <v>19.662</v>
      </c>
      <c r="D374" s="11" t="n">
        <v>19.4002</v>
      </c>
      <c r="E374" s="11" t="n">
        <v>19.9238</v>
      </c>
      <c r="F374" s="12" t="n">
        <f aca="false">IF(C374="","",B374/C374)</f>
        <v>744.285932255111</v>
      </c>
      <c r="G374" s="12" t="n">
        <f aca="false">MEDIAN(F364:F384)</f>
        <v>744.285932255111</v>
      </c>
      <c r="H374" s="13" t="n">
        <f aca="false">B374/G374</f>
        <v>19.662</v>
      </c>
      <c r="I374" s="14" t="n">
        <f aca="false">B374/Summary!$C$8*100</f>
        <v>146.647994308104</v>
      </c>
      <c r="J374" s="14" t="n">
        <f aca="false">G374/Summary!$E$8*100</f>
        <v>126.495728686792</v>
      </c>
      <c r="K374" s="15" t="n">
        <f aca="false">Summary!$D$9</f>
        <v>16.9374488591431</v>
      </c>
      <c r="L374" s="16" t="str">
        <f aca="false">IF(OR(D374="",E374=""),"edge hidden",IF(AND(H374&gt;=D374-0.02,H374&lt;=E374+0.02),"yes","no"))</f>
        <v>yes</v>
      </c>
    </row>
    <row r="375" customFormat="false" ht="15" hidden="false" customHeight="false" outlineLevel="0" collapsed="false">
      <c r="A375" s="9" t="n">
        <v>44320</v>
      </c>
      <c r="B375" s="10" t="n">
        <v>14496.5</v>
      </c>
      <c r="C375" s="11" t="n">
        <v>19.7171</v>
      </c>
      <c r="D375" s="11" t="n">
        <v>19.4002</v>
      </c>
      <c r="E375" s="11" t="n">
        <v>20.034</v>
      </c>
      <c r="F375" s="12" t="n">
        <f aca="false">IF(C375="","",B375/C375)</f>
        <v>735.224754147415</v>
      </c>
      <c r="G375" s="12" t="n">
        <f aca="false">MEDIAN(F365:F385)</f>
        <v>744.285932255111</v>
      </c>
      <c r="H375" s="13" t="n">
        <f aca="false">B375/G375</f>
        <v>19.4770576357356</v>
      </c>
      <c r="I375" s="14" t="n">
        <f aca="false">B375/Summary!$C$8*100</f>
        <v>145.268611397821</v>
      </c>
      <c r="J375" s="14" t="n">
        <f aca="false">G375/Summary!$E$8*100</f>
        <v>126.495728686792</v>
      </c>
      <c r="K375" s="15" t="n">
        <f aca="false">Summary!$D$9</f>
        <v>16.9374488591431</v>
      </c>
      <c r="L375" s="16" t="str">
        <f aca="false">IF(OR(D375="",E375=""),"edge hidden",IF(AND(H375&gt;=D375-0.02,H375&lt;=E375+0.02),"yes","no"))</f>
        <v>yes</v>
      </c>
    </row>
    <row r="376" customFormat="false" ht="15" hidden="false" customHeight="false" outlineLevel="0" collapsed="false">
      <c r="A376" s="9" t="n">
        <v>44321</v>
      </c>
      <c r="B376" s="10" t="n">
        <v>14617.85</v>
      </c>
      <c r="C376" s="11" t="n">
        <v>19.725</v>
      </c>
      <c r="D376" s="11" t="n">
        <v>19.408</v>
      </c>
      <c r="E376" s="11" t="n">
        <v>20.0419</v>
      </c>
      <c r="F376" s="12" t="n">
        <f aca="false">IF(C376="","",B376/C376)</f>
        <v>741.082382762991</v>
      </c>
      <c r="G376" s="12" t="n">
        <f aca="false">MEDIAN(F366:F386)</f>
        <v>744.285932255111</v>
      </c>
      <c r="H376" s="13" t="n">
        <f aca="false">B376/G376</f>
        <v>19.640099814475</v>
      </c>
      <c r="I376" s="14" t="n">
        <f aca="false">B376/Summary!$C$8*100</f>
        <v>146.484652924612</v>
      </c>
      <c r="J376" s="14" t="n">
        <f aca="false">G376/Summary!$E$8*100</f>
        <v>126.495728686792</v>
      </c>
      <c r="K376" s="15" t="n">
        <f aca="false">Summary!$D$9</f>
        <v>16.9374488591431</v>
      </c>
      <c r="L376" s="16" t="str">
        <f aca="false">IF(OR(D376="",E376=""),"edge hidden",IF(AND(H376&gt;=D376-0.02,H376&lt;=E376+0.02),"yes","no"))</f>
        <v>yes</v>
      </c>
    </row>
    <row r="377" customFormat="false" ht="15" hidden="false" customHeight="false" outlineLevel="0" collapsed="false">
      <c r="A377" s="9" t="n">
        <v>44322</v>
      </c>
      <c r="B377" s="10" t="n">
        <v>14724.8</v>
      </c>
      <c r="C377" s="11" t="n">
        <v>19.7328</v>
      </c>
      <c r="D377" s="11" t="n">
        <v>19.4159</v>
      </c>
      <c r="E377" s="11" t="n">
        <v>20.0498</v>
      </c>
      <c r="F377" s="12" t="n">
        <f aca="false">IF(C377="","",B377/C377)</f>
        <v>746.209357009649</v>
      </c>
      <c r="G377" s="12" t="n">
        <f aca="false">MEDIAN(F367:F387)</f>
        <v>745.302572544139</v>
      </c>
      <c r="H377" s="13" t="n">
        <f aca="false">B377/G377</f>
        <v>19.7568082312341</v>
      </c>
      <c r="I377" s="14" t="n">
        <f aca="false">B377/Summary!$C$8*100</f>
        <v>147.55639286108</v>
      </c>
      <c r="J377" s="14" t="n">
        <f aca="false">G377/Summary!$E$8*100</f>
        <v>126.668512624523</v>
      </c>
      <c r="K377" s="15" t="n">
        <f aca="false">Summary!$D$9</f>
        <v>16.9374488591431</v>
      </c>
      <c r="L377" s="16" t="str">
        <f aca="false">IF(OR(D377="",E377=""),"edge hidden",IF(AND(H377&gt;=D377-0.02,H377&lt;=E377+0.02),"yes","no"))</f>
        <v>yes</v>
      </c>
    </row>
    <row r="378" customFormat="false" ht="15" hidden="false" customHeight="false" outlineLevel="0" collapsed="false">
      <c r="A378" s="9" t="n">
        <v>44323</v>
      </c>
      <c r="B378" s="10" t="n">
        <v>14823.15</v>
      </c>
      <c r="C378" s="11" t="n">
        <v>19.8313</v>
      </c>
      <c r="D378" s="11" t="n">
        <v>19.534</v>
      </c>
      <c r="E378" s="11" t="n">
        <v>20.1285</v>
      </c>
      <c r="F378" s="12" t="n">
        <f aca="false">IF(C378="","",B378/C378)</f>
        <v>747.462344879055</v>
      </c>
      <c r="G378" s="12" t="n">
        <f aca="false">MEDIAN(F368:F388)</f>
        <v>746.209357009649</v>
      </c>
      <c r="H378" s="13" t="n">
        <f aca="false">B378/G378</f>
        <v>19.8645994729979</v>
      </c>
      <c r="I378" s="14" t="n">
        <f aca="false">B378/Summary!$C$8*100</f>
        <v>148.541952681104</v>
      </c>
      <c r="J378" s="14" t="n">
        <f aca="false">G378/Summary!$E$8*100</f>
        <v>126.82262592528</v>
      </c>
      <c r="K378" s="15" t="n">
        <f aca="false">Summary!$D$9</f>
        <v>16.9374488591431</v>
      </c>
      <c r="L378" s="16" t="str">
        <f aca="false">IF(OR(D378="",E378=""),"edge hidden",IF(AND(H378&gt;=D378-0.02,H378&lt;=E378+0.02),"yes","no"))</f>
        <v>yes</v>
      </c>
    </row>
    <row r="379" customFormat="false" ht="15" hidden="false" customHeight="false" outlineLevel="0" collapsed="false">
      <c r="A379" s="9" t="n">
        <v>44326</v>
      </c>
      <c r="B379" s="10" t="n">
        <v>14942.35</v>
      </c>
      <c r="C379" s="11" t="n">
        <v>19.9258</v>
      </c>
      <c r="D379" s="11" t="n">
        <v>19.7151</v>
      </c>
      <c r="E379" s="11" t="n">
        <v>20.1364</v>
      </c>
      <c r="F379" s="12" t="n">
        <f aca="false">IF(C379="","",B379/C379)</f>
        <v>749.899627618465</v>
      </c>
      <c r="G379" s="12" t="n">
        <f aca="false">MEDIAN(F369:F389)</f>
        <v>746.725011008366</v>
      </c>
      <c r="H379" s="13" t="n">
        <f aca="false">B379/G379</f>
        <v>20.0105122765636</v>
      </c>
      <c r="I379" s="14" t="n">
        <f aca="false">B379/Summary!$C$8*100</f>
        <v>149.736449178784</v>
      </c>
      <c r="J379" s="14" t="n">
        <f aca="false">G379/Summary!$E$8*100</f>
        <v>126.910264325377</v>
      </c>
      <c r="K379" s="15" t="n">
        <f aca="false">Summary!$D$9</f>
        <v>16.9374488591431</v>
      </c>
      <c r="L379" s="16" t="str">
        <f aca="false">IF(OR(D379="",E379=""),"edge hidden",IF(AND(H379&gt;=D379-0.02,H379&lt;=E379+0.02),"yes","no"))</f>
        <v>yes</v>
      </c>
    </row>
    <row r="380" customFormat="false" ht="15" hidden="false" customHeight="false" outlineLevel="0" collapsed="false">
      <c r="A380" s="9" t="n">
        <v>44327</v>
      </c>
      <c r="B380" s="10" t="n">
        <v>14850.75</v>
      </c>
      <c r="C380" s="11" t="n">
        <v>19.9258</v>
      </c>
      <c r="D380" s="11" t="n">
        <v>19.7151</v>
      </c>
      <c r="E380" s="11" t="n">
        <v>20.1364</v>
      </c>
      <c r="F380" s="12" t="n">
        <f aca="false">IF(C380="","",B380/C380)</f>
        <v>745.302572544139</v>
      </c>
      <c r="G380" s="12" t="n">
        <f aca="false">MEDIAN(F370:F390)</f>
        <v>747.462344879055</v>
      </c>
      <c r="H380" s="13" t="n">
        <f aca="false">B380/G380</f>
        <v>19.8682249370073</v>
      </c>
      <c r="I380" s="14" t="n">
        <f aca="false">B380/Summary!$C$8*100</f>
        <v>148.818530729224</v>
      </c>
      <c r="J380" s="14" t="n">
        <f aca="false">G380/Summary!$E$8*100</f>
        <v>127.035578510714</v>
      </c>
      <c r="K380" s="15" t="n">
        <f aca="false">Summary!$D$9</f>
        <v>16.9374488591431</v>
      </c>
      <c r="L380" s="16" t="str">
        <f aca="false">IF(OR(D380="",E380=""),"edge hidden",IF(AND(H380&gt;=D380-0.02,H380&lt;=E380+0.02),"yes","no"))</f>
        <v>yes</v>
      </c>
    </row>
    <row r="381" customFormat="false" ht="15" hidden="false" customHeight="false" outlineLevel="0" collapsed="false">
      <c r="A381" s="9" t="n">
        <v>44328</v>
      </c>
      <c r="B381" s="10" t="n">
        <v>14696.5</v>
      </c>
      <c r="C381" s="11" t="n">
        <v>19.9218</v>
      </c>
      <c r="D381" s="11" t="n">
        <v>19.7073</v>
      </c>
      <c r="E381" s="11" t="n">
        <v>20.1364</v>
      </c>
      <c r="F381" s="12" t="n">
        <f aca="false">IF(C381="","",B381/C381)</f>
        <v>737.70944392575</v>
      </c>
      <c r="G381" s="12" t="n">
        <f aca="false">MEDIAN(F371:F391)</f>
        <v>747.462344879055</v>
      </c>
      <c r="H381" s="13" t="n">
        <f aca="false">B381/G381</f>
        <v>19.6618600263777</v>
      </c>
      <c r="I381" s="14" t="n">
        <f aca="false">B381/Summary!$C$8*100</f>
        <v>147.272800152318</v>
      </c>
      <c r="J381" s="14" t="n">
        <f aca="false">G381/Summary!$E$8*100</f>
        <v>127.035578510714</v>
      </c>
      <c r="K381" s="15" t="n">
        <f aca="false">Summary!$D$9</f>
        <v>16.9374488591431</v>
      </c>
      <c r="L381" s="16" t="str">
        <f aca="false">IF(OR(D381="",E381=""),"edge hidden",IF(AND(H381&gt;=D381-0.02,H381&lt;=E381+0.02),"yes","no"))</f>
        <v>no</v>
      </c>
    </row>
    <row r="382" customFormat="false" ht="15" hidden="false" customHeight="false" outlineLevel="0" collapsed="false">
      <c r="A382" s="9" t="n">
        <v>44330</v>
      </c>
      <c r="B382" s="10" t="n">
        <v>14677.8</v>
      </c>
      <c r="C382" s="11" t="n">
        <v>19.9297</v>
      </c>
      <c r="D382" s="11" t="n">
        <v>19.7073</v>
      </c>
      <c r="E382" s="11" t="n">
        <v>20.1521</v>
      </c>
      <c r="F382" s="12" t="n">
        <f aca="false">IF(C382="","",B382/C382)</f>
        <v>736.478722710327</v>
      </c>
      <c r="G382" s="12" t="n">
        <f aca="false">MEDIAN(F372:F392)</f>
        <v>747.462344879055</v>
      </c>
      <c r="H382" s="13" t="n">
        <f aca="false">B382/G382</f>
        <v>19.6368420436952</v>
      </c>
      <c r="I382" s="14" t="n">
        <f aca="false">B382/Summary!$C$8*100</f>
        <v>147.085408503773</v>
      </c>
      <c r="J382" s="14" t="n">
        <f aca="false">G382/Summary!$E$8*100</f>
        <v>127.035578510714</v>
      </c>
      <c r="K382" s="15" t="n">
        <f aca="false">Summary!$D$9</f>
        <v>16.9374488591431</v>
      </c>
      <c r="L382" s="16" t="str">
        <f aca="false">IF(OR(D382="",E382=""),"edge hidden",IF(AND(H382&gt;=D382-0.02,H382&lt;=E382+0.02),"yes","no"))</f>
        <v>no</v>
      </c>
    </row>
    <row r="383" customFormat="false" ht="15" hidden="false" customHeight="false" outlineLevel="0" collapsed="false">
      <c r="A383" s="9" t="n">
        <v>44333</v>
      </c>
      <c r="B383" s="10" t="n">
        <v>14923.15</v>
      </c>
      <c r="C383" s="11" t="n">
        <v>19.9848</v>
      </c>
      <c r="D383" s="11" t="n">
        <v>19.7073</v>
      </c>
      <c r="E383" s="11" t="n">
        <v>20.2624</v>
      </c>
      <c r="F383" s="12" t="n">
        <f aca="false">IF(C383="","",B383/C383)</f>
        <v>746.725011008366</v>
      </c>
      <c r="G383" s="12" t="n">
        <f aca="false">MEDIAN(F373:F393)</f>
        <v>747.462344879055</v>
      </c>
      <c r="H383" s="13" t="n">
        <f aca="false">B383/G383</f>
        <v>19.9650860036497</v>
      </c>
      <c r="I383" s="14" t="n">
        <f aca="false">B383/Summary!$C$8*100</f>
        <v>149.544047058352</v>
      </c>
      <c r="J383" s="14" t="n">
        <f aca="false">G383/Summary!$E$8*100</f>
        <v>127.035578510714</v>
      </c>
      <c r="K383" s="15" t="n">
        <f aca="false">Summary!$D$9</f>
        <v>16.9374488591431</v>
      </c>
      <c r="L383" s="16" t="str">
        <f aca="false">IF(OR(D383="",E383=""),"edge hidden",IF(AND(H383&gt;=D383-0.02,H383&lt;=E383+0.02),"yes","no"))</f>
        <v>yes</v>
      </c>
    </row>
    <row r="384" customFormat="false" ht="15" hidden="false" customHeight="false" outlineLevel="0" collapsed="false">
      <c r="A384" s="9" t="n">
        <v>44334</v>
      </c>
      <c r="B384" s="10" t="n">
        <v>15108.1</v>
      </c>
      <c r="C384" s="11" t="n">
        <v>20.0242</v>
      </c>
      <c r="D384" s="11" t="n">
        <v>19.7624</v>
      </c>
      <c r="E384" s="11" t="n">
        <v>20.286</v>
      </c>
      <c r="F384" s="12" t="n">
        <f aca="false">IF(C384="","",B384/C384)</f>
        <v>754.492064601832</v>
      </c>
      <c r="G384" s="12" t="n">
        <f aca="false">MEDIAN(F374:F394)</f>
        <v>748.394180210325</v>
      </c>
      <c r="H384" s="13" t="n">
        <f aca="false">B384/G384</f>
        <v>20.1873563417531</v>
      </c>
      <c r="I384" s="14" t="n">
        <f aca="false">B384/Summary!$C$8*100</f>
        <v>151.397420609073</v>
      </c>
      <c r="J384" s="14" t="n">
        <f aca="false">G384/Summary!$E$8*100</f>
        <v>127.193949351996</v>
      </c>
      <c r="K384" s="15" t="n">
        <f aca="false">Summary!$D$9</f>
        <v>16.9374488591431</v>
      </c>
      <c r="L384" s="16" t="str">
        <f aca="false">IF(OR(D384="",E384=""),"edge hidden",IF(AND(H384&gt;=D384-0.02,H384&lt;=E384+0.02),"yes","no"))</f>
        <v>yes</v>
      </c>
    </row>
    <row r="385" customFormat="false" ht="15" hidden="false" customHeight="false" outlineLevel="0" collapsed="false">
      <c r="A385" s="9" t="n">
        <v>44335</v>
      </c>
      <c r="B385" s="10" t="n">
        <v>15030.15</v>
      </c>
      <c r="C385" s="11" t="n">
        <v>20.0832</v>
      </c>
      <c r="D385" s="11" t="n">
        <v>19.8805</v>
      </c>
      <c r="E385" s="11" t="n">
        <v>20.286</v>
      </c>
      <c r="F385" s="12" t="n">
        <f aca="false">IF(C385="","",B385/C385)</f>
        <v>748.394180210325</v>
      </c>
      <c r="G385" s="12" t="n">
        <f aca="false">MEDIAN(F375:F395)</f>
        <v>749.899627618465</v>
      </c>
      <c r="H385" s="13" t="n">
        <f aca="false">B385/G385</f>
        <v>20.0428823357772</v>
      </c>
      <c r="I385" s="14" t="n">
        <f aca="false">B385/Summary!$C$8*100</f>
        <v>150.616288042008</v>
      </c>
      <c r="J385" s="14" t="n">
        <f aca="false">G385/Summary!$E$8*100</f>
        <v>127.449808906287</v>
      </c>
      <c r="K385" s="15" t="n">
        <f aca="false">Summary!$D$9</f>
        <v>16.9374488591431</v>
      </c>
      <c r="L385" s="16" t="str">
        <f aca="false">IF(OR(D385="",E385=""),"edge hidden",IF(AND(H385&gt;=D385-0.02,H385&lt;=E385+0.02),"yes","no"))</f>
        <v>yes</v>
      </c>
    </row>
    <row r="386" customFormat="false" ht="15" hidden="false" customHeight="false" outlineLevel="0" collapsed="false">
      <c r="A386" s="9" t="n">
        <v>44336</v>
      </c>
      <c r="B386" s="10" t="n">
        <v>14906.05</v>
      </c>
      <c r="C386" s="11" t="n">
        <v>20.1305</v>
      </c>
      <c r="D386" s="11" t="n">
        <v>19.9671</v>
      </c>
      <c r="E386" s="11" t="n">
        <v>20.2939</v>
      </c>
      <c r="F386" s="12" t="n">
        <f aca="false">IF(C386="","",B386/C386)</f>
        <v>740.47092720002</v>
      </c>
      <c r="G386" s="12" t="n">
        <f aca="false">MEDIAN(F376:F396)</f>
        <v>751.580040551902</v>
      </c>
      <c r="H386" s="13" t="n">
        <f aca="false">B386/G386</f>
        <v>19.8329508445357</v>
      </c>
      <c r="I386" s="14" t="n">
        <f aca="false">B386/Summary!$C$8*100</f>
        <v>149.372688919842</v>
      </c>
      <c r="J386" s="14" t="n">
        <f aca="false">G386/Summary!$E$8*100</f>
        <v>127.73540487055</v>
      </c>
      <c r="K386" s="15" t="n">
        <f aca="false">Summary!$D$9</f>
        <v>16.9374488591431</v>
      </c>
      <c r="L386" s="16" t="str">
        <f aca="false">IF(OR(D386="",E386=""),"edge hidden",IF(AND(H386&gt;=D386-0.02,H386&lt;=E386+0.02),"yes","no"))</f>
        <v>no</v>
      </c>
    </row>
    <row r="387" customFormat="false" ht="15" hidden="false" customHeight="false" outlineLevel="0" collapsed="false">
      <c r="A387" s="9" t="n">
        <v>44337</v>
      </c>
      <c r="B387" s="10" t="n">
        <v>15175.3</v>
      </c>
      <c r="C387" s="11" t="n">
        <v>20.1423</v>
      </c>
      <c r="D387" s="11" t="n">
        <v>19.9907</v>
      </c>
      <c r="E387" s="11" t="n">
        <v>20.2939</v>
      </c>
      <c r="F387" s="12" t="n">
        <f aca="false">IF(C387="","",B387/C387)</f>
        <v>753.404526791876</v>
      </c>
      <c r="G387" s="12" t="n">
        <f aca="false">MEDIAN(F377:F397)</f>
        <v>751.673025977621</v>
      </c>
      <c r="H387" s="13" t="n">
        <f aca="false">B387/G387</f>
        <v>20.1886983775467</v>
      </c>
      <c r="I387" s="14" t="n">
        <f aca="false">B387/Summary!$C$8*100</f>
        <v>152.070828030584</v>
      </c>
      <c r="J387" s="14" t="n">
        <f aca="false">G387/Summary!$E$8*100</f>
        <v>127.751208285171</v>
      </c>
      <c r="K387" s="15" t="n">
        <f aca="false">Summary!$D$9</f>
        <v>16.9374488591431</v>
      </c>
      <c r="L387" s="16" t="str">
        <f aca="false">IF(OR(D387="",E387=""),"edge hidden",IF(AND(H387&gt;=D387-0.02,H387&lt;=E387+0.02),"yes","no"))</f>
        <v>yes</v>
      </c>
    </row>
    <row r="388" customFormat="false" ht="15" hidden="false" customHeight="false" outlineLevel="0" collapsed="false">
      <c r="A388" s="9" t="n">
        <v>44340</v>
      </c>
      <c r="B388" s="10" t="n">
        <v>15197.7</v>
      </c>
      <c r="C388" s="11" t="n">
        <v>20.221</v>
      </c>
      <c r="D388" s="11" t="n">
        <v>20.0931</v>
      </c>
      <c r="E388" s="11" t="n">
        <v>20.349</v>
      </c>
      <c r="F388" s="12" t="n">
        <f aca="false">IF(C388="","",B388/C388)</f>
        <v>751.580040551902</v>
      </c>
      <c r="G388" s="12" t="n">
        <f aca="false">MEDIAN(F378:F398)</f>
        <v>753.404526791876</v>
      </c>
      <c r="H388" s="13" t="n">
        <f aca="false">B388/G388</f>
        <v>20.1720317034919</v>
      </c>
      <c r="I388" s="14" t="n">
        <f aca="false">B388/Summary!$C$8*100</f>
        <v>152.295297171088</v>
      </c>
      <c r="J388" s="14" t="n">
        <f aca="false">G388/Summary!$E$8*100</f>
        <v>128.045486932299</v>
      </c>
      <c r="K388" s="15" t="n">
        <f aca="false">Summary!$D$9</f>
        <v>16.9374488591431</v>
      </c>
      <c r="L388" s="16" t="str">
        <f aca="false">IF(OR(D388="",E388=""),"edge hidden",IF(AND(H388&gt;=D388-0.02,H388&lt;=E388+0.02),"yes","no"))</f>
        <v>yes</v>
      </c>
    </row>
    <row r="389" customFormat="false" ht="15" hidden="false" customHeight="false" outlineLevel="0" collapsed="false">
      <c r="A389" s="9" t="n">
        <v>44341</v>
      </c>
      <c r="B389" s="10" t="n">
        <v>15208.45</v>
      </c>
      <c r="C389" s="11" t="n">
        <v>20.2328</v>
      </c>
      <c r="D389" s="11" t="n">
        <v>20.101</v>
      </c>
      <c r="E389" s="11" t="n">
        <v>20.3647</v>
      </c>
      <c r="F389" s="12" t="n">
        <f aca="false">IF(C389="","",B389/C389)</f>
        <v>751.673025977621</v>
      </c>
      <c r="G389" s="12" t="n">
        <f aca="false">MEDIAN(F379:F399)</f>
        <v>754.492064601832</v>
      </c>
      <c r="H389" s="13" t="n">
        <f aca="false">B389/G389</f>
        <v>20.1572033869249</v>
      </c>
      <c r="I389" s="14" t="n">
        <f aca="false">B389/Summary!$C$8*100</f>
        <v>152.403022316642</v>
      </c>
      <c r="J389" s="14" t="n">
        <f aca="false">G389/Summary!$E$8*100</f>
        <v>128.230320316598</v>
      </c>
      <c r="K389" s="15" t="n">
        <f aca="false">Summary!$D$9</f>
        <v>16.9374488591431</v>
      </c>
      <c r="L389" s="16" t="str">
        <f aca="false">IF(OR(D389="",E389=""),"edge hidden",IF(AND(H389&gt;=D389-0.02,H389&lt;=E389+0.02),"yes","no"))</f>
        <v>yes</v>
      </c>
    </row>
    <row r="390" customFormat="false" ht="15" hidden="false" customHeight="false" outlineLevel="0" collapsed="false">
      <c r="A390" s="9" t="n">
        <v>44342</v>
      </c>
      <c r="B390" s="10" t="n">
        <v>15301.45</v>
      </c>
      <c r="C390" s="11" t="n">
        <v>20.2486</v>
      </c>
      <c r="D390" s="11" t="n">
        <v>20.1088</v>
      </c>
      <c r="E390" s="11" t="n">
        <v>20.3884</v>
      </c>
      <c r="F390" s="12" t="n">
        <f aca="false">IF(C390="","",B390/C390)</f>
        <v>755.679404995901</v>
      </c>
      <c r="G390" s="12" t="n">
        <f aca="false">MEDIAN(F380:F400)</f>
        <v>754.492064601832</v>
      </c>
      <c r="H390" s="13" t="n">
        <f aca="false">B390/G390</f>
        <v>20.2804651206968</v>
      </c>
      <c r="I390" s="14" t="n">
        <f aca="false">B390/Summary!$C$8*100</f>
        <v>153.334970087483</v>
      </c>
      <c r="J390" s="14" t="n">
        <f aca="false">G390/Summary!$E$8*100</f>
        <v>128.230320316598</v>
      </c>
      <c r="K390" s="15" t="n">
        <f aca="false">Summary!$D$9</f>
        <v>16.9374488591431</v>
      </c>
      <c r="L390" s="16" t="str">
        <f aca="false">IF(OR(D390="",E390=""),"edge hidden",IF(AND(H390&gt;=D390-0.02,H390&lt;=E390+0.02),"yes","no"))</f>
        <v>yes</v>
      </c>
    </row>
    <row r="391" customFormat="false" ht="15" hidden="false" customHeight="false" outlineLevel="0" collapsed="false">
      <c r="A391" s="9" t="n">
        <v>44343</v>
      </c>
      <c r="B391" s="10" t="n">
        <v>15337.85</v>
      </c>
      <c r="C391" s="11" t="n">
        <v>20.2958</v>
      </c>
      <c r="D391" s="11" t="n">
        <v>20.1167</v>
      </c>
      <c r="E391" s="11" t="n">
        <v>20.475</v>
      </c>
      <c r="F391" s="12" t="n">
        <f aca="false">IF(C391="","",B391/C391)</f>
        <v>755.715468224953</v>
      </c>
      <c r="G391" s="12" t="n">
        <f aca="false">MEDIAN(F381:F401)</f>
        <v>755.679404995901</v>
      </c>
      <c r="H391" s="13" t="n">
        <f aca="false">B391/G391</f>
        <v>20.2967685748736</v>
      </c>
      <c r="I391" s="14" t="n">
        <f aca="false">B391/Summary!$C$8*100</f>
        <v>153.699732440801</v>
      </c>
      <c r="J391" s="14" t="n">
        <f aca="false">G391/Summary!$E$8*100</f>
        <v>128.432115731288</v>
      </c>
      <c r="K391" s="15" t="n">
        <f aca="false">Summary!$D$9</f>
        <v>16.9374488591431</v>
      </c>
      <c r="L391" s="16" t="str">
        <f aca="false">IF(OR(D391="",E391=""),"edge hidden",IF(AND(H391&gt;=D391-0.02,H391&lt;=E391+0.02),"yes","no"))</f>
        <v>yes</v>
      </c>
    </row>
    <row r="392" customFormat="false" ht="15" hidden="false" customHeight="false" outlineLevel="0" collapsed="false">
      <c r="A392" s="9" t="n">
        <v>44344</v>
      </c>
      <c r="B392" s="10" t="n">
        <v>15435.65</v>
      </c>
      <c r="C392" s="11" t="n">
        <v>20.347</v>
      </c>
      <c r="D392" s="11" t="n">
        <v>20.1876</v>
      </c>
      <c r="E392" s="11" t="n">
        <v>20.5065</v>
      </c>
      <c r="F392" s="12" t="n">
        <f aca="false">IF(C392="","",B392/C392)</f>
        <v>758.620435445029</v>
      </c>
      <c r="G392" s="12" t="n">
        <f aca="false">MEDIAN(F382:F402)</f>
        <v>755.715468224953</v>
      </c>
      <c r="H392" s="13" t="n">
        <f aca="false">B392/G392</f>
        <v>20.4252137861565</v>
      </c>
      <c r="I392" s="14" t="n">
        <f aca="false">B392/Summary!$C$8*100</f>
        <v>154.67978074175</v>
      </c>
      <c r="J392" s="14" t="n">
        <f aca="false">G392/Summary!$E$8*100</f>
        <v>128.438244887087</v>
      </c>
      <c r="K392" s="15" t="n">
        <f aca="false">Summary!$D$9</f>
        <v>16.9374488591431</v>
      </c>
      <c r="L392" s="16" t="str">
        <f aca="false">IF(OR(D392="",E392=""),"edge hidden",IF(AND(H392&gt;=D392-0.02,H392&lt;=E392+0.02),"yes","no"))</f>
        <v>yes</v>
      </c>
    </row>
    <row r="393" customFormat="false" ht="15" hidden="false" customHeight="false" outlineLevel="0" collapsed="false">
      <c r="A393" s="9" t="n">
        <v>44347</v>
      </c>
      <c r="B393" s="10" t="n">
        <v>15582.8</v>
      </c>
      <c r="C393" s="11" t="n">
        <v>20.5321</v>
      </c>
      <c r="D393" s="11" t="n">
        <v>20.3765</v>
      </c>
      <c r="E393" s="11" t="n">
        <v>20.6876</v>
      </c>
      <c r="F393" s="12" t="n">
        <f aca="false">IF(C393="","",B393/C393)</f>
        <v>758.948183575962</v>
      </c>
      <c r="G393" s="12" t="n">
        <f aca="false">MEDIAN(F383:F403)</f>
        <v>755.873032819104</v>
      </c>
      <c r="H393" s="13" t="n">
        <f aca="false">B393/G393</f>
        <v>20.6156316251717</v>
      </c>
      <c r="I393" s="14" t="n">
        <f aca="false">B393/Summary!$C$8*100</f>
        <v>156.154362617871</v>
      </c>
      <c r="J393" s="14" t="n">
        <f aca="false">G393/Summary!$E$8*100</f>
        <v>128.465023907472</v>
      </c>
      <c r="K393" s="15" t="n">
        <f aca="false">Summary!$D$9</f>
        <v>16.9374488591431</v>
      </c>
      <c r="L393" s="16" t="str">
        <f aca="false">IF(OR(D393="",E393=""),"edge hidden",IF(AND(H393&gt;=D393-0.02,H393&lt;=E393+0.02),"yes","no"))</f>
        <v>yes</v>
      </c>
    </row>
    <row r="394" customFormat="false" ht="15" hidden="false" customHeight="false" outlineLevel="0" collapsed="false">
      <c r="A394" s="9" t="n">
        <v>44348</v>
      </c>
      <c r="B394" s="10" t="n">
        <v>15574.85</v>
      </c>
      <c r="C394" s="11" t="n">
        <v>20.5517</v>
      </c>
      <c r="D394" s="11" t="n">
        <v>20.408</v>
      </c>
      <c r="E394" s="11" t="n">
        <v>20.6954</v>
      </c>
      <c r="F394" s="12" t="n">
        <f aca="false">IF(C394="","",B394/C394)</f>
        <v>757.837551151486</v>
      </c>
      <c r="G394" s="12" t="n">
        <f aca="false">MEDIAN(F384:F404)</f>
        <v>757.837551151486</v>
      </c>
      <c r="H394" s="13" t="n">
        <f aca="false">B394/G394</f>
        <v>20.5517</v>
      </c>
      <c r="I394" s="14" t="n">
        <f aca="false">B394/Summary!$C$8*100</f>
        <v>156.07469611488</v>
      </c>
      <c r="J394" s="14" t="n">
        <f aca="false">G394/Summary!$E$8*100</f>
        <v>128.798905238831</v>
      </c>
      <c r="K394" s="15" t="n">
        <f aca="false">Summary!$D$9</f>
        <v>16.9374488591431</v>
      </c>
      <c r="L394" s="16" t="str">
        <f aca="false">IF(OR(D394="",E394=""),"edge hidden",IF(AND(H394&gt;=D394-0.02,H394&lt;=E394+0.02),"yes","no"))</f>
        <v>yes</v>
      </c>
    </row>
    <row r="395" customFormat="false" ht="15" hidden="false" customHeight="false" outlineLevel="0" collapsed="false">
      <c r="A395" s="9" t="n">
        <v>44349</v>
      </c>
      <c r="B395" s="10" t="n">
        <v>15576.2</v>
      </c>
      <c r="C395" s="11" t="n">
        <v>20.6069</v>
      </c>
      <c r="D395" s="11" t="n">
        <v>20.5025</v>
      </c>
      <c r="E395" s="11" t="n">
        <v>20.7112</v>
      </c>
      <c r="F395" s="12" t="n">
        <f aca="false">IF(C395="","",B395/C395)</f>
        <v>755.873032819104</v>
      </c>
      <c r="G395" s="12" t="n">
        <f aca="false">MEDIAN(F385:F405)</f>
        <v>757.976279155259</v>
      </c>
      <c r="H395" s="13" t="n">
        <f aca="false">B395/G395</f>
        <v>20.5497195998788</v>
      </c>
      <c r="I395" s="14" t="n">
        <f aca="false">B395/Summary!$C$8*100</f>
        <v>156.088224388973</v>
      </c>
      <c r="J395" s="14" t="n">
        <f aca="false">G395/Summary!$E$8*100</f>
        <v>128.822482870983</v>
      </c>
      <c r="K395" s="15" t="n">
        <f aca="false">Summary!$D$9</f>
        <v>16.9374488591431</v>
      </c>
      <c r="L395" s="16" t="str">
        <f aca="false">IF(OR(D395="",E395=""),"edge hidden",IF(AND(H395&gt;=D395-0.02,H395&lt;=E395+0.02),"yes","no"))</f>
        <v>yes</v>
      </c>
    </row>
    <row r="396" customFormat="false" ht="15" hidden="false" customHeight="false" outlineLevel="0" collapsed="false">
      <c r="A396" s="9" t="n">
        <v>44350</v>
      </c>
      <c r="B396" s="10" t="n">
        <v>15690.35</v>
      </c>
      <c r="C396" s="11" t="n">
        <v>20.6502</v>
      </c>
      <c r="D396" s="11" t="n">
        <v>20.5734</v>
      </c>
      <c r="E396" s="11" t="n">
        <v>20.7269</v>
      </c>
      <c r="F396" s="12" t="n">
        <f aca="false">IF(C396="","",B396/C396)</f>
        <v>759.81588556043</v>
      </c>
      <c r="G396" s="12" t="n">
        <f aca="false">MEDIAN(F386:F406)</f>
        <v>758.276753569962</v>
      </c>
      <c r="H396" s="13" t="n">
        <f aca="false">B396/G396</f>
        <v>20.6921152813006</v>
      </c>
      <c r="I396" s="14" t="n">
        <f aca="false">B396/Summary!$C$8*100</f>
        <v>157.232115120602</v>
      </c>
      <c r="J396" s="14" t="n">
        <f aca="false">G396/Summary!$E$8*100</f>
        <v>128.873550247636</v>
      </c>
      <c r="K396" s="15" t="n">
        <f aca="false">Summary!$D$9</f>
        <v>16.9374488591431</v>
      </c>
      <c r="L396" s="16" t="str">
        <f aca="false">IF(OR(D396="",E396=""),"edge hidden",IF(AND(H396&gt;=D396-0.02,H396&lt;=E396+0.02),"yes","no"))</f>
        <v>yes</v>
      </c>
    </row>
    <row r="397" customFormat="false" ht="15" hidden="false" customHeight="false" outlineLevel="0" collapsed="false">
      <c r="A397" s="9" t="n">
        <v>44351</v>
      </c>
      <c r="B397" s="10" t="n">
        <v>15670.25</v>
      </c>
      <c r="C397" s="11" t="n">
        <v>20.6738</v>
      </c>
      <c r="D397" s="11" t="n">
        <v>20.597</v>
      </c>
      <c r="E397" s="11" t="n">
        <v>20.7506</v>
      </c>
      <c r="F397" s="12" t="n">
        <f aca="false">IF(C397="","",B397/C397)</f>
        <v>757.976279155259</v>
      </c>
      <c r="G397" s="12" t="n">
        <f aca="false">MEDIAN(F387:F407)</f>
        <v>758.620435445029</v>
      </c>
      <c r="H397" s="13" t="n">
        <f aca="false">B397/G397</f>
        <v>20.6562455581722</v>
      </c>
      <c r="I397" s="14" t="n">
        <f aca="false">B397/Summary!$C$8*100</f>
        <v>157.030694150775</v>
      </c>
      <c r="J397" s="14" t="n">
        <f aca="false">G397/Summary!$E$8*100</f>
        <v>128.931960983804</v>
      </c>
      <c r="K397" s="15" t="n">
        <f aca="false">Summary!$D$9</f>
        <v>16.9374488591431</v>
      </c>
      <c r="L397" s="16" t="str">
        <f aca="false">IF(OR(D397="",E397=""),"edge hidden",IF(AND(H397&gt;=D397-0.02,H397&lt;=E397+0.02),"yes","no"))</f>
        <v>yes</v>
      </c>
    </row>
    <row r="398" customFormat="false" ht="15" hidden="false" customHeight="false" outlineLevel="0" collapsed="false">
      <c r="A398" s="9" t="n">
        <v>44354</v>
      </c>
      <c r="B398" s="10" t="n">
        <v>15751.65</v>
      </c>
      <c r="C398" s="11" t="n">
        <v>20.7132</v>
      </c>
      <c r="D398" s="11" t="n">
        <v>20.6285</v>
      </c>
      <c r="E398" s="11" t="n">
        <v>20.7978</v>
      </c>
      <c r="F398" s="12" t="n">
        <f aca="false">IF(C398="","",B398/C398)</f>
        <v>760.464341579283</v>
      </c>
      <c r="G398" s="12" t="n">
        <f aca="false">MEDIAN(F388:F408)</f>
        <v>758.948183575962</v>
      </c>
      <c r="H398" s="13" t="n">
        <f aca="false">B398/G398</f>
        <v>20.754578956606</v>
      </c>
      <c r="I398" s="14" t="n">
        <f aca="false">B398/Summary!$C$8*100</f>
        <v>157.846398973855</v>
      </c>
      <c r="J398" s="14" t="n">
        <f aca="false">G398/Summary!$E$8*100</f>
        <v>128.987663687364</v>
      </c>
      <c r="K398" s="15" t="n">
        <f aca="false">Summary!$D$9</f>
        <v>16.9374488591431</v>
      </c>
      <c r="L398" s="16" t="str">
        <f aca="false">IF(OR(D398="",E398=""),"edge hidden",IF(AND(H398&gt;=D398-0.02,H398&lt;=E398+0.02),"yes","no"))</f>
        <v>yes</v>
      </c>
    </row>
    <row r="399" customFormat="false" ht="15" hidden="false" customHeight="false" outlineLevel="0" collapsed="false">
      <c r="A399" s="9" t="n">
        <v>44355</v>
      </c>
      <c r="B399" s="10" t="n">
        <v>15740.1</v>
      </c>
      <c r="C399" s="11" t="n">
        <v>20.721</v>
      </c>
      <c r="D399" s="11" t="n">
        <v>20.6285</v>
      </c>
      <c r="E399" s="11" t="n">
        <v>20.8136</v>
      </c>
      <c r="F399" s="12" t="n">
        <f aca="false">IF(C399="","",B399/C399)</f>
        <v>759.620674677863</v>
      </c>
      <c r="G399" s="12" t="n">
        <f aca="false">MEDIAN(F389:F409)</f>
        <v>759.217807023045</v>
      </c>
      <c r="H399" s="13" t="n">
        <f aca="false">B399/G399</f>
        <v>20.7319952909406</v>
      </c>
      <c r="I399" s="14" t="n">
        <f aca="false">B399/Summary!$C$8*100</f>
        <v>157.730657073283</v>
      </c>
      <c r="J399" s="14" t="n">
        <f aca="false">G399/Summary!$E$8*100</f>
        <v>129.033487762403</v>
      </c>
      <c r="K399" s="15" t="n">
        <f aca="false">Summary!$D$9</f>
        <v>16.9374488591431</v>
      </c>
      <c r="L399" s="16" t="str">
        <f aca="false">IF(OR(D399="",E399=""),"edge hidden",IF(AND(H399&gt;=D399-0.02,H399&lt;=E399+0.02),"yes","no"))</f>
        <v>yes</v>
      </c>
    </row>
    <row r="400" customFormat="false" ht="15" hidden="false" customHeight="false" outlineLevel="0" collapsed="false">
      <c r="A400" s="9" t="n">
        <v>44356</v>
      </c>
      <c r="B400" s="10" t="n">
        <v>15635.35</v>
      </c>
      <c r="C400" s="11" t="n">
        <v>20.7289</v>
      </c>
      <c r="D400" s="11" t="n">
        <v>20.6285</v>
      </c>
      <c r="E400" s="11" t="n">
        <v>20.8293</v>
      </c>
      <c r="F400" s="12" t="n">
        <f aca="false">IF(C400="","",B400/C400)</f>
        <v>754.277843976284</v>
      </c>
      <c r="G400" s="12" t="n">
        <f aca="false">MEDIAN(F390:F410)</f>
        <v>759.620674677863</v>
      </c>
      <c r="H400" s="13" t="n">
        <f aca="false">B400/G400</f>
        <v>20.5831022261612</v>
      </c>
      <c r="I400" s="14" t="n">
        <f aca="false">B400/Summary!$C$8*100</f>
        <v>156.680963213115</v>
      </c>
      <c r="J400" s="14" t="n">
        <f aca="false">G400/Summary!$E$8*100</f>
        <v>129.101957466521</v>
      </c>
      <c r="K400" s="15" t="n">
        <f aca="false">Summary!$D$9</f>
        <v>16.9374488591431</v>
      </c>
      <c r="L400" s="16" t="str">
        <f aca="false">IF(OR(D400="",E400=""),"edge hidden",IF(AND(H400&gt;=D400-0.02,H400&lt;=E400+0.02),"yes","no"))</f>
        <v>no</v>
      </c>
    </row>
    <row r="401" customFormat="false" ht="15" hidden="false" customHeight="false" outlineLevel="0" collapsed="false">
      <c r="A401" s="9" t="n">
        <v>44357</v>
      </c>
      <c r="B401" s="10" t="n">
        <v>15737.75</v>
      </c>
      <c r="C401" s="11" t="n">
        <v>20.7289</v>
      </c>
      <c r="D401" s="11" t="n">
        <v>20.6285</v>
      </c>
      <c r="E401" s="11" t="n">
        <v>20.8293</v>
      </c>
      <c r="F401" s="12" t="n">
        <f aca="false">IF(C401="","",B401/C401)</f>
        <v>759.217807023045</v>
      </c>
      <c r="G401" s="12" t="n">
        <f aca="false">MEDIAN(F391:F411)</f>
        <v>759.767564660915</v>
      </c>
      <c r="H401" s="13" t="n">
        <f aca="false">B401/G401</f>
        <v>20.7139008454826</v>
      </c>
      <c r="I401" s="14" t="n">
        <f aca="false">B401/Summary!$C$8*100</f>
        <v>157.707107855418</v>
      </c>
      <c r="J401" s="14" t="n">
        <f aca="false">G401/Summary!$E$8*100</f>
        <v>129.126922274584</v>
      </c>
      <c r="K401" s="15" t="n">
        <f aca="false">Summary!$D$9</f>
        <v>16.9374488591431</v>
      </c>
      <c r="L401" s="16" t="str">
        <f aca="false">IF(OR(D401="",E401=""),"edge hidden",IF(AND(H401&gt;=D401-0.02,H401&lt;=E401+0.02),"yes","no"))</f>
        <v>yes</v>
      </c>
    </row>
    <row r="402" customFormat="false" ht="15" hidden="false" customHeight="false" outlineLevel="0" collapsed="false">
      <c r="A402" s="9" t="n">
        <v>44358</v>
      </c>
      <c r="B402" s="10" t="n">
        <v>15799.35</v>
      </c>
      <c r="C402" s="11" t="n">
        <v>20.7368</v>
      </c>
      <c r="D402" s="11" t="n">
        <v>20.6364</v>
      </c>
      <c r="E402" s="11" t="n">
        <v>20.8372</v>
      </c>
      <c r="F402" s="12" t="n">
        <f aca="false">IF(C402="","",B402/C402)</f>
        <v>761.899135835809</v>
      </c>
      <c r="G402" s="12" t="n">
        <f aca="false">MEDIAN(F392:F412)</f>
        <v>759.81588556043</v>
      </c>
      <c r="H402" s="13" t="n">
        <f aca="false">B402/G402</f>
        <v>20.7936558056385</v>
      </c>
      <c r="I402" s="14" t="n">
        <f aca="false">B402/Summary!$C$8*100</f>
        <v>158.324397991803</v>
      </c>
      <c r="J402" s="14" t="n">
        <f aca="false">G402/Summary!$E$8*100</f>
        <v>129.135134692863</v>
      </c>
      <c r="K402" s="15" t="n">
        <f aca="false">Summary!$D$9</f>
        <v>16.9374488591431</v>
      </c>
      <c r="L402" s="16" t="str">
        <f aca="false">IF(OR(D402="",E402=""),"edge hidden",IF(AND(H402&gt;=D402-0.02,H402&lt;=E402+0.02),"yes","no"))</f>
        <v>yes</v>
      </c>
    </row>
    <row r="403" customFormat="false" ht="15" hidden="false" customHeight="false" outlineLevel="0" collapsed="false">
      <c r="A403" s="9" t="n">
        <v>44361</v>
      </c>
      <c r="B403" s="10" t="n">
        <v>15811.85</v>
      </c>
      <c r="C403" s="11" t="n">
        <v>20.7328</v>
      </c>
      <c r="D403" s="11" t="n">
        <v>20.6128</v>
      </c>
      <c r="E403" s="11" t="n">
        <v>20.8529</v>
      </c>
      <c r="F403" s="12" t="n">
        <f aca="false">IF(C403="","",B403/C403)</f>
        <v>762.649039203581</v>
      </c>
      <c r="G403" s="12" t="n">
        <f aca="false">MEDIAN(F393:F413)</f>
        <v>760.464341579283</v>
      </c>
      <c r="H403" s="13" t="n">
        <f aca="false">B403/G403</f>
        <v>20.7923621601547</v>
      </c>
      <c r="I403" s="14" t="n">
        <f aca="false">B403/Summary!$C$8*100</f>
        <v>158.449659788959</v>
      </c>
      <c r="J403" s="14" t="n">
        <f aca="false">G403/Summary!$E$8*100</f>
        <v>129.245343569682</v>
      </c>
      <c r="K403" s="15" t="n">
        <f aca="false">Summary!$D$9</f>
        <v>16.9374488591431</v>
      </c>
      <c r="L403" s="16" t="str">
        <f aca="false">IF(OR(D403="",E403=""),"edge hidden",IF(AND(H403&gt;=D403-0.02,H403&lt;=E403+0.02),"yes","no"))</f>
        <v>yes</v>
      </c>
    </row>
    <row r="404" customFormat="false" ht="15" hidden="false" customHeight="false" outlineLevel="0" collapsed="false">
      <c r="A404" s="9" t="n">
        <v>44362</v>
      </c>
      <c r="B404" s="10" t="n">
        <v>15869.25</v>
      </c>
      <c r="C404" s="11" t="n">
        <v>20.725</v>
      </c>
      <c r="D404" s="11" t="n">
        <v>20.597</v>
      </c>
      <c r="E404" s="11" t="n">
        <v>20.8529</v>
      </c>
      <c r="F404" s="12" t="n">
        <f aca="false">IF(C404="","",B404/C404)</f>
        <v>765.705669481303</v>
      </c>
      <c r="G404" s="12" t="n">
        <f aca="false">MEDIAN(F394:F414)</f>
        <v>760.945417692196</v>
      </c>
      <c r="H404" s="13" t="n">
        <f aca="false">B404/G404</f>
        <v>20.8546495333771</v>
      </c>
      <c r="I404" s="14" t="n">
        <f aca="false">B404/Summary!$C$8*100</f>
        <v>159.0248619615</v>
      </c>
      <c r="J404" s="14" t="n">
        <f aca="false">G404/Summary!$E$8*100</f>
        <v>129.327105256716</v>
      </c>
      <c r="K404" s="15" t="n">
        <f aca="false">Summary!$D$9</f>
        <v>16.9374488591431</v>
      </c>
      <c r="L404" s="16" t="str">
        <f aca="false">IF(OR(D404="",E404=""),"edge hidden",IF(AND(H404&gt;=D404-0.02,H404&lt;=E404+0.02),"yes","no"))</f>
        <v>yes</v>
      </c>
    </row>
    <row r="405" customFormat="false" ht="15" hidden="false" customHeight="false" outlineLevel="0" collapsed="false">
      <c r="A405" s="9" t="n">
        <v>44363</v>
      </c>
      <c r="B405" s="10" t="n">
        <v>15767.55</v>
      </c>
      <c r="C405" s="11" t="n">
        <v>20.721</v>
      </c>
      <c r="D405" s="11" t="n">
        <v>20.5891</v>
      </c>
      <c r="E405" s="11" t="n">
        <v>20.8529</v>
      </c>
      <c r="F405" s="12" t="n">
        <f aca="false">IF(C405="","",B405/C405)</f>
        <v>760.945417692196</v>
      </c>
      <c r="G405" s="12" t="n">
        <f aca="false">MEDIAN(F395:F415)</f>
        <v>761.247446243734</v>
      </c>
      <c r="H405" s="13" t="n">
        <f aca="false">B405/G405</f>
        <v>20.7127788445173</v>
      </c>
      <c r="I405" s="14" t="n">
        <f aca="false">B405/Summary!$C$8*100</f>
        <v>158.005731979838</v>
      </c>
      <c r="J405" s="14" t="n">
        <f aca="false">G405/Summary!$E$8*100</f>
        <v>129.378436767974</v>
      </c>
      <c r="K405" s="15" t="n">
        <f aca="false">Summary!$D$9</f>
        <v>16.9374488591431</v>
      </c>
      <c r="L405" s="16" t="str">
        <f aca="false">IF(OR(D405="",E405=""),"edge hidden",IF(AND(H405&gt;=D405-0.02,H405&lt;=E405+0.02),"yes","no"))</f>
        <v>yes</v>
      </c>
    </row>
    <row r="406" customFormat="false" ht="15" hidden="false" customHeight="false" outlineLevel="0" collapsed="false">
      <c r="A406" s="9" t="n">
        <v>44364</v>
      </c>
      <c r="B406" s="10" t="n">
        <v>15691.4</v>
      </c>
      <c r="C406" s="11" t="n">
        <v>20.6935</v>
      </c>
      <c r="D406" s="11" t="n">
        <v>20.5734</v>
      </c>
      <c r="E406" s="11" t="n">
        <v>20.8136</v>
      </c>
      <c r="F406" s="12" t="n">
        <f aca="false">IF(C406="","",B406/C406)</f>
        <v>758.276753569962</v>
      </c>
      <c r="G406" s="12" t="n">
        <f aca="false">MEDIAN(F396:F416)</f>
        <v>761.899135835809</v>
      </c>
      <c r="H406" s="13" t="n">
        <f aca="false">B406/G406</f>
        <v>20.5951145787643</v>
      </c>
      <c r="I406" s="14" t="n">
        <f aca="false">B406/Summary!$C$8*100</f>
        <v>157.242637111563</v>
      </c>
      <c r="J406" s="14" t="n">
        <f aca="false">G406/Summary!$E$8*100</f>
        <v>129.489195209394</v>
      </c>
      <c r="K406" s="15" t="n">
        <f aca="false">Summary!$D$9</f>
        <v>16.9374488591431</v>
      </c>
      <c r="L406" s="16" t="str">
        <f aca="false">IF(OR(D406="",E406=""),"edge hidden",IF(AND(H406&gt;=D406-0.02,H406&lt;=E406+0.02),"yes","no"))</f>
        <v>yes</v>
      </c>
    </row>
    <row r="407" customFormat="false" ht="15" hidden="false" customHeight="false" outlineLevel="0" collapsed="false">
      <c r="A407" s="9" t="n">
        <v>44365</v>
      </c>
      <c r="B407" s="10" t="n">
        <v>15683.35</v>
      </c>
      <c r="C407" s="11" t="n">
        <v>20.6423</v>
      </c>
      <c r="D407" s="11" t="n">
        <v>20.5655</v>
      </c>
      <c r="E407" s="11" t="n">
        <v>20.7191</v>
      </c>
      <c r="F407" s="12" t="n">
        <f aca="false">IF(C407="","",B407/C407)</f>
        <v>759.767564660915</v>
      </c>
      <c r="G407" s="12" t="n">
        <f aca="false">MEDIAN(F397:F417)</f>
        <v>762.649039203581</v>
      </c>
      <c r="H407" s="13" t="n">
        <f aca="false">B407/G407</f>
        <v>20.564308343426</v>
      </c>
      <c r="I407" s="14" t="n">
        <f aca="false">B407/Summary!$C$8*100</f>
        <v>157.161968514195</v>
      </c>
      <c r="J407" s="14" t="n">
        <f aca="false">G407/Summary!$E$8*100</f>
        <v>129.616645653961</v>
      </c>
      <c r="K407" s="15" t="n">
        <f aca="false">Summary!$D$9</f>
        <v>16.9374488591431</v>
      </c>
      <c r="L407" s="16" t="str">
        <f aca="false">IF(OR(D407="",E407=""),"edge hidden",IF(AND(H407&gt;=D407-0.02,H407&lt;=E407+0.02),"yes","no"))</f>
        <v>yes</v>
      </c>
    </row>
    <row r="408" customFormat="false" ht="15" hidden="false" customHeight="false" outlineLevel="0" collapsed="false">
      <c r="A408" s="9" t="n">
        <v>44368</v>
      </c>
      <c r="B408" s="10" t="n">
        <v>15746.5</v>
      </c>
      <c r="C408" s="11" t="n">
        <v>20.6029</v>
      </c>
      <c r="D408" s="11" t="n">
        <v>20.5419</v>
      </c>
      <c r="E408" s="11" t="n">
        <v>20.6639</v>
      </c>
      <c r="F408" s="12" t="n">
        <f aca="false">IF(C408="","",B408/C408)</f>
        <v>764.285610278165</v>
      </c>
      <c r="G408" s="12" t="n">
        <f aca="false">MEDIAN(F398:F418)</f>
        <v>764.285610278165</v>
      </c>
      <c r="H408" s="13" t="n">
        <f aca="false">B408/G408</f>
        <v>20.6029</v>
      </c>
      <c r="I408" s="14" t="n">
        <f aca="false">B408/Summary!$C$8*100</f>
        <v>157.794791113427</v>
      </c>
      <c r="J408" s="14" t="n">
        <f aca="false">G408/Summary!$E$8*100</f>
        <v>129.89479043899</v>
      </c>
      <c r="K408" s="15" t="n">
        <f aca="false">Summary!$D$9</f>
        <v>16.9374488591431</v>
      </c>
      <c r="L408" s="16" t="str">
        <f aca="false">IF(OR(D408="",E408=""),"edge hidden",IF(AND(H408&gt;=D408-0.02,H408&lt;=E408+0.02),"yes","no"))</f>
        <v>yes</v>
      </c>
    </row>
    <row r="409" customFormat="false" ht="15" hidden="false" customHeight="false" outlineLevel="0" collapsed="false">
      <c r="A409" s="9" t="n">
        <v>44369</v>
      </c>
      <c r="B409" s="10" t="n">
        <v>15772.75</v>
      </c>
      <c r="C409" s="11" t="n">
        <v>20.6029</v>
      </c>
      <c r="D409" s="11" t="n">
        <v>20.5419</v>
      </c>
      <c r="E409" s="11" t="n">
        <v>20.6639</v>
      </c>
      <c r="F409" s="12" t="n">
        <f aca="false">IF(C409="","",B409/C409)</f>
        <v>765.559702760291</v>
      </c>
      <c r="G409" s="12" t="n">
        <f aca="false">MEDIAN(F399:F419)</f>
        <v>765.559702760291</v>
      </c>
      <c r="H409" s="13" t="n">
        <f aca="false">B409/G409</f>
        <v>20.6029</v>
      </c>
      <c r="I409" s="14" t="n">
        <f aca="false">B409/Summary!$C$8*100</f>
        <v>158.057840887455</v>
      </c>
      <c r="J409" s="14" t="n">
        <f aca="false">G409/Summary!$E$8*100</f>
        <v>130.111329876263</v>
      </c>
      <c r="K409" s="15" t="n">
        <f aca="false">Summary!$D$9</f>
        <v>16.9374488591431</v>
      </c>
      <c r="L409" s="16" t="str">
        <f aca="false">IF(OR(D409="",E409=""),"edge hidden",IF(AND(H409&gt;=D409-0.02,H409&lt;=E409+0.02),"yes","no"))</f>
        <v>yes</v>
      </c>
    </row>
    <row r="410" customFormat="false" ht="15" hidden="false" customHeight="false" outlineLevel="0" collapsed="false">
      <c r="A410" s="9" t="n">
        <v>44370</v>
      </c>
      <c r="B410" s="10" t="n">
        <v>15686.95</v>
      </c>
      <c r="C410" s="11" t="n">
        <v>20.6069</v>
      </c>
      <c r="D410" s="11" t="n">
        <v>20.5419</v>
      </c>
      <c r="E410" s="11" t="n">
        <v>20.6718</v>
      </c>
      <c r="F410" s="12" t="n">
        <f aca="false">IF(C410="","",B410/C410)</f>
        <v>761.247446243734</v>
      </c>
      <c r="G410" s="12" t="n">
        <f aca="false">MEDIAN(F400:F420)</f>
        <v>765.705669481303</v>
      </c>
      <c r="H410" s="13" t="n">
        <f aca="false">B410/G410</f>
        <v>20.4869189627739</v>
      </c>
      <c r="I410" s="14" t="n">
        <f aca="false">B410/Summary!$C$8*100</f>
        <v>157.198043911776</v>
      </c>
      <c r="J410" s="14" t="n">
        <f aca="false">G410/Summary!$E$8*100</f>
        <v>130.136137770566</v>
      </c>
      <c r="K410" s="15" t="n">
        <f aca="false">Summary!$D$9</f>
        <v>16.9374488591431</v>
      </c>
      <c r="L410" s="16" t="str">
        <f aca="false">IF(OR(D410="",E410=""),"edge hidden",IF(AND(H410&gt;=D410-0.02,H410&lt;=E410+0.02),"yes","no"))</f>
        <v>no</v>
      </c>
    </row>
    <row r="411" customFormat="false" ht="15" hidden="false" customHeight="false" outlineLevel="0" collapsed="false">
      <c r="A411" s="9" t="n">
        <v>44371</v>
      </c>
      <c r="B411" s="10" t="n">
        <v>15790.45</v>
      </c>
      <c r="C411" s="11" t="n">
        <v>20.6029</v>
      </c>
      <c r="D411" s="11" t="n">
        <v>20.534</v>
      </c>
      <c r="E411" s="11" t="n">
        <v>20.6718</v>
      </c>
      <c r="F411" s="12" t="n">
        <f aca="false">IF(C411="","",B411/C411)</f>
        <v>766.418805119668</v>
      </c>
      <c r="G411" s="12" t="n">
        <f aca="false">MEDIAN(F401:F421)</f>
        <v>766.418805119668</v>
      </c>
      <c r="H411" s="13" t="n">
        <f aca="false">B411/G411</f>
        <v>20.6029</v>
      </c>
      <c r="I411" s="14" t="n">
        <f aca="false">B411/Summary!$C$8*100</f>
        <v>158.235211592228</v>
      </c>
      <c r="J411" s="14" t="n">
        <f aca="false">G411/Summary!$E$8*100</f>
        <v>130.257339325396</v>
      </c>
      <c r="K411" s="15" t="n">
        <f aca="false">Summary!$D$9</f>
        <v>16.9374488591431</v>
      </c>
      <c r="L411" s="16" t="str">
        <f aca="false">IF(OR(D411="",E411=""),"edge hidden",IF(AND(H411&gt;=D411-0.02,H411&lt;=E411+0.02),"yes","no"))</f>
        <v>yes</v>
      </c>
    </row>
    <row r="412" customFormat="false" ht="15" hidden="false" customHeight="false" outlineLevel="0" collapsed="false">
      <c r="A412" s="9" t="n">
        <v>44372</v>
      </c>
      <c r="B412" s="10" t="n">
        <v>15860.35</v>
      </c>
      <c r="C412" s="11" t="n">
        <v>20.5872</v>
      </c>
      <c r="D412" s="11" t="n">
        <v>20.5025</v>
      </c>
      <c r="E412" s="11" t="n">
        <v>20.6718</v>
      </c>
      <c r="F412" s="12" t="n">
        <f aca="false">IF(C412="","",B412/C412)</f>
        <v>770.398597186602</v>
      </c>
      <c r="G412" s="12" t="n">
        <f aca="false">MEDIAN(F402:F422)</f>
        <v>766.920676533597</v>
      </c>
      <c r="H412" s="13" t="n">
        <f aca="false">B412/G412</f>
        <v>20.6805612174745</v>
      </c>
      <c r="I412" s="14" t="n">
        <f aca="false">B412/Summary!$C$8*100</f>
        <v>158.935675561924</v>
      </c>
      <c r="J412" s="14" t="n">
        <f aca="false">G412/Summary!$E$8*100</f>
        <v>130.342635294943</v>
      </c>
      <c r="K412" s="15" t="n">
        <f aca="false">Summary!$D$9</f>
        <v>16.9374488591431</v>
      </c>
      <c r="L412" s="16" t="str">
        <f aca="false">IF(OR(D412="",E412=""),"edge hidden",IF(AND(H412&gt;=D412-0.02,H412&lt;=E412+0.02),"yes","no"))</f>
        <v>yes</v>
      </c>
    </row>
    <row r="413" customFormat="false" ht="15" hidden="false" customHeight="false" outlineLevel="0" collapsed="false">
      <c r="A413" s="9" t="n">
        <v>44375</v>
      </c>
      <c r="B413" s="10" t="n">
        <v>15814.7</v>
      </c>
      <c r="C413" s="11" t="n">
        <v>20.5124</v>
      </c>
      <c r="D413" s="11" t="n">
        <v>20.3923</v>
      </c>
      <c r="E413" s="11" t="n">
        <v>20.6325</v>
      </c>
      <c r="F413" s="12" t="n">
        <f aca="false">IF(C413="","",B413/C413)</f>
        <v>770.982430139818</v>
      </c>
      <c r="G413" s="12" t="n">
        <f aca="false">MEDIAN(F403:F423)</f>
        <v>767.767582007042</v>
      </c>
      <c r="H413" s="13" t="n">
        <f aca="false">B413/G413</f>
        <v>20.5982909029037</v>
      </c>
      <c r="I413" s="14" t="n">
        <f aca="false">B413/Summary!$C$8*100</f>
        <v>158.478219478711</v>
      </c>
      <c r="J413" s="14" t="n">
        <f aca="false">G413/Summary!$E$8*100</f>
        <v>130.486571812281</v>
      </c>
      <c r="K413" s="15" t="n">
        <f aca="false">Summary!$D$9</f>
        <v>16.9374488591431</v>
      </c>
      <c r="L413" s="16" t="str">
        <f aca="false">IF(OR(D413="",E413=""),"edge hidden",IF(AND(H413&gt;=D413-0.02,H413&lt;=E413+0.02),"yes","no"))</f>
        <v>yes</v>
      </c>
    </row>
    <row r="414" customFormat="false" ht="15" hidden="false" customHeight="false" outlineLevel="0" collapsed="false">
      <c r="A414" s="9" t="n">
        <v>44376</v>
      </c>
      <c r="B414" s="10" t="n">
        <v>15748.45</v>
      </c>
      <c r="C414" s="11" t="n">
        <v>20.4966</v>
      </c>
      <c r="D414" s="11" t="n">
        <v>20.3844</v>
      </c>
      <c r="E414" s="11" t="n">
        <v>20.6088</v>
      </c>
      <c r="F414" s="12" t="n">
        <f aca="false">IF(C414="","",B414/C414)</f>
        <v>768.344505918055</v>
      </c>
      <c r="G414" s="12" t="n">
        <f aca="false">MEDIAN(F404:F424)</f>
        <v>768.344505918055</v>
      </c>
      <c r="H414" s="13" t="n">
        <f aca="false">B414/G414</f>
        <v>20.4966</v>
      </c>
      <c r="I414" s="14" t="n">
        <f aca="false">B414/Summary!$C$8*100</f>
        <v>157.814331953783</v>
      </c>
      <c r="J414" s="14" t="n">
        <f aca="false">G414/Summary!$E$8*100</f>
        <v>130.584623390791</v>
      </c>
      <c r="K414" s="15" t="n">
        <f aca="false">Summary!$D$9</f>
        <v>16.9374488591431</v>
      </c>
      <c r="L414" s="16" t="str">
        <f aca="false">IF(OR(D414="",E414=""),"edge hidden",IF(AND(H414&gt;=D414-0.02,H414&lt;=E414+0.02),"yes","no"))</f>
        <v>yes</v>
      </c>
    </row>
    <row r="415" customFormat="false" ht="15" hidden="false" customHeight="false" outlineLevel="0" collapsed="false">
      <c r="A415" s="9" t="n">
        <v>44377</v>
      </c>
      <c r="B415" s="10" t="n">
        <v>15721.5</v>
      </c>
      <c r="C415" s="11" t="n">
        <v>20.4769</v>
      </c>
      <c r="D415" s="11" t="n">
        <v>20.3844</v>
      </c>
      <c r="E415" s="11" t="n">
        <v>20.5695</v>
      </c>
      <c r="F415" s="12" t="n">
        <f aca="false">IF(C415="","",B415/C415)</f>
        <v>767.767582007042</v>
      </c>
      <c r="G415" s="12" t="n">
        <f aca="false">MEDIAN(F405:F425)</f>
        <v>768.984710497227</v>
      </c>
      <c r="H415" s="13" t="n">
        <f aca="false">B415/G415</f>
        <v>20.4444897088194</v>
      </c>
      <c r="I415" s="14" t="n">
        <f aca="false">B415/Summary!$C$8*100</f>
        <v>157.544267519115</v>
      </c>
      <c r="J415" s="14" t="n">
        <f aca="false">G415/Summary!$E$8*100</f>
        <v>130.693429887383</v>
      </c>
      <c r="K415" s="15" t="n">
        <f aca="false">Summary!$D$9</f>
        <v>16.9374488591431</v>
      </c>
      <c r="L415" s="16" t="str">
        <f aca="false">IF(OR(D415="",E415=""),"edge hidden",IF(AND(H415&gt;=D415-0.02,H415&lt;=E415+0.02),"yes","no"))</f>
        <v>yes</v>
      </c>
    </row>
    <row r="416" customFormat="false" ht="15" hidden="false" customHeight="false" outlineLevel="0" collapsed="false">
      <c r="A416" s="9" t="n">
        <v>44378</v>
      </c>
      <c r="B416" s="10" t="n">
        <v>15680</v>
      </c>
      <c r="C416" s="11" t="n">
        <v>20.4454</v>
      </c>
      <c r="D416" s="11" t="n">
        <v>20.3844</v>
      </c>
      <c r="E416" s="11" t="n">
        <v>20.5065</v>
      </c>
      <c r="F416" s="12" t="n">
        <f aca="false">IF(C416="","",B416/C416)</f>
        <v>766.920676533597</v>
      </c>
      <c r="G416" s="12" t="n">
        <f aca="false">MEDIAN(F406:F426)</f>
        <v>770.398597186602</v>
      </c>
      <c r="H416" s="13" t="n">
        <f aca="false">B416/G416</f>
        <v>20.3531004044677</v>
      </c>
      <c r="I416" s="14" t="n">
        <f aca="false">B416/Summary!$C$8*100</f>
        <v>157.128398352557</v>
      </c>
      <c r="J416" s="14" t="n">
        <f aca="false">G416/Summary!$E$8*100</f>
        <v>130.933728164298</v>
      </c>
      <c r="K416" s="15" t="n">
        <f aca="false">Summary!$D$9</f>
        <v>16.9374488591431</v>
      </c>
      <c r="L416" s="16" t="str">
        <f aca="false">IF(OR(D416="",E416=""),"edge hidden",IF(AND(H416&gt;=D416-0.02,H416&lt;=E416+0.02),"yes","no"))</f>
        <v>no</v>
      </c>
    </row>
    <row r="417" customFormat="false" ht="15" hidden="false" customHeight="false" outlineLevel="0" collapsed="false">
      <c r="A417" s="9" t="n">
        <v>44379</v>
      </c>
      <c r="B417" s="10" t="n">
        <v>15722.2</v>
      </c>
      <c r="C417" s="11" t="n">
        <v>20.4454</v>
      </c>
      <c r="D417" s="11" t="n">
        <v>20.3844</v>
      </c>
      <c r="E417" s="11" t="n">
        <v>20.5065</v>
      </c>
      <c r="F417" s="12" t="n">
        <f aca="false">IF(C417="","",B417/C417)</f>
        <v>768.984710497227</v>
      </c>
      <c r="G417" s="12" t="n">
        <f aca="false">MEDIAN(F407:F427)</f>
        <v>770.982430139818</v>
      </c>
      <c r="H417" s="13" t="n">
        <f aca="false">B417/G417</f>
        <v>20.3924232062575</v>
      </c>
      <c r="I417" s="14" t="n">
        <f aca="false">B417/Summary!$C$8*100</f>
        <v>157.551282179756</v>
      </c>
      <c r="J417" s="14" t="n">
        <f aca="false">G417/Summary!$E$8*100</f>
        <v>131.032953974766</v>
      </c>
      <c r="K417" s="15" t="n">
        <f aca="false">Summary!$D$9</f>
        <v>16.9374488591431</v>
      </c>
      <c r="L417" s="16" t="str">
        <f aca="false">IF(OR(D417="",E417=""),"edge hidden",IF(AND(H417&gt;=D417-0.02,H417&lt;=E417+0.02),"yes","no"))</f>
        <v>yes</v>
      </c>
    </row>
    <row r="418" customFormat="false" ht="15" hidden="false" customHeight="false" outlineLevel="0" collapsed="false">
      <c r="A418" s="9" t="n">
        <v>44382</v>
      </c>
      <c r="B418" s="10" t="n">
        <v>15834.35</v>
      </c>
      <c r="C418" s="11" t="n">
        <v>20.4021</v>
      </c>
      <c r="D418" s="11" t="n">
        <v>20.2821</v>
      </c>
      <c r="E418" s="11" t="n">
        <v>20.5222</v>
      </c>
      <c r="F418" s="12" t="n">
        <f aca="false">IF(C418="","",B418/C418)</f>
        <v>776.11373339019</v>
      </c>
      <c r="G418" s="12" t="n">
        <f aca="false">MEDIAN(F408:F428)</f>
        <v>773.205071974532</v>
      </c>
      <c r="H418" s="13" t="n">
        <f aca="false">B418/G418</f>
        <v>20.4788491099313</v>
      </c>
      <c r="I418" s="14" t="n">
        <f aca="false">B418/Summary!$C$8*100</f>
        <v>158.67513102384</v>
      </c>
      <c r="J418" s="14" t="n">
        <f aca="false">G418/Summary!$E$8*100</f>
        <v>131.410704898581</v>
      </c>
      <c r="K418" s="15" t="n">
        <f aca="false">Summary!$D$9</f>
        <v>16.9374488591431</v>
      </c>
      <c r="L418" s="16" t="str">
        <f aca="false">IF(OR(D418="",E418=""),"edge hidden",IF(AND(H418&gt;=D418-0.02,H418&lt;=E418+0.02),"yes","no"))</f>
        <v>yes</v>
      </c>
    </row>
    <row r="419" customFormat="false" ht="15" hidden="false" customHeight="false" outlineLevel="0" collapsed="false">
      <c r="A419" s="9" t="n">
        <v>44383</v>
      </c>
      <c r="B419" s="10" t="n">
        <v>15818.25</v>
      </c>
      <c r="C419" s="11" t="n">
        <v>20.3667</v>
      </c>
      <c r="D419" s="11" t="n">
        <v>20.2112</v>
      </c>
      <c r="E419" s="11" t="n">
        <v>20.5222</v>
      </c>
      <c r="F419" s="12" t="n">
        <f aca="false">IF(C419="","",B419/C419)</f>
        <v>776.672214939092</v>
      </c>
      <c r="G419" s="12" t="n">
        <f aca="false">MEDIAN(F409:F429)</f>
        <v>773.881338752374</v>
      </c>
      <c r="H419" s="13" t="n">
        <f aca="false">B419/G419</f>
        <v>20.4401491648599</v>
      </c>
      <c r="I419" s="14" t="n">
        <f aca="false">B419/Summary!$C$8*100</f>
        <v>158.513793829103</v>
      </c>
      <c r="J419" s="14" t="n">
        <f aca="false">G419/Summary!$E$8*100</f>
        <v>131.525640375852</v>
      </c>
      <c r="K419" s="15" t="n">
        <f aca="false">Summary!$D$9</f>
        <v>16.9374488591431</v>
      </c>
      <c r="L419" s="16" t="str">
        <f aca="false">IF(OR(D419="",E419=""),"edge hidden",IF(AND(H419&gt;=D419-0.02,H419&lt;=E419+0.02),"yes","no"))</f>
        <v>yes</v>
      </c>
    </row>
    <row r="420" customFormat="false" ht="15" hidden="false" customHeight="false" outlineLevel="0" collapsed="false">
      <c r="A420" s="9" t="n">
        <v>44384</v>
      </c>
      <c r="B420" s="10" t="n">
        <v>15879.65</v>
      </c>
      <c r="C420" s="11" t="n">
        <v>20.3431</v>
      </c>
      <c r="D420" s="11" t="n">
        <v>20.1639</v>
      </c>
      <c r="E420" s="11" t="n">
        <v>20.5222</v>
      </c>
      <c r="F420" s="12" t="n">
        <f aca="false">IF(C420="","",B420/C420)</f>
        <v>780.591453613264</v>
      </c>
      <c r="G420" s="12" t="n">
        <f aca="false">MEDIAN(F410:F430)</f>
        <v>774.871367813699</v>
      </c>
      <c r="H420" s="13" t="n">
        <f aca="false">B420/G420</f>
        <v>20.4932723799106</v>
      </c>
      <c r="I420" s="14" t="n">
        <f aca="false">B420/Summary!$C$8*100</f>
        <v>159.129079776733</v>
      </c>
      <c r="J420" s="14" t="n">
        <f aca="false">G420/Summary!$E$8*100</f>
        <v>131.69390158046</v>
      </c>
      <c r="K420" s="15" t="n">
        <f aca="false">Summary!$D$9</f>
        <v>16.9374488591431</v>
      </c>
      <c r="L420" s="16" t="str">
        <f aca="false">IF(OR(D420="",E420=""),"edge hidden",IF(AND(H420&gt;=D420-0.02,H420&lt;=E420+0.02),"yes","no"))</f>
        <v>yes</v>
      </c>
    </row>
    <row r="421" customFormat="false" ht="15" hidden="false" customHeight="false" outlineLevel="0" collapsed="false">
      <c r="A421" s="9" t="n">
        <v>44385</v>
      </c>
      <c r="B421" s="10" t="n">
        <v>15727.9</v>
      </c>
      <c r="C421" s="11" t="n">
        <v>20.3234</v>
      </c>
      <c r="D421" s="11" t="n">
        <v>20.1246</v>
      </c>
      <c r="E421" s="11" t="n">
        <v>20.5222</v>
      </c>
      <c r="F421" s="12" t="n">
        <f aca="false">IF(C421="","",B421/C421)</f>
        <v>773.881338752374</v>
      </c>
      <c r="G421" s="12" t="n">
        <f aca="false">MEDIAN(F411:F431)</f>
        <v>775.601992803764</v>
      </c>
      <c r="H421" s="13" t="n">
        <f aca="false">B421/G421</f>
        <v>20.278313034169</v>
      </c>
      <c r="I421" s="14" t="n">
        <f aca="false">B421/Summary!$C$8*100</f>
        <v>157.608401559259</v>
      </c>
      <c r="J421" s="14" t="n">
        <f aca="false">G421/Summary!$E$8*100</f>
        <v>131.818075552464</v>
      </c>
      <c r="K421" s="15" t="n">
        <f aca="false">Summary!$D$9</f>
        <v>16.9374488591431</v>
      </c>
      <c r="L421" s="16" t="str">
        <f aca="false">IF(OR(D421="",E421=""),"edge hidden",IF(AND(H421&gt;=D421-0.02,H421&lt;=E421+0.02),"yes","no"))</f>
        <v>yes</v>
      </c>
    </row>
    <row r="422" customFormat="false" ht="15" hidden="false" customHeight="false" outlineLevel="0" collapsed="false">
      <c r="A422" s="9" t="n">
        <v>44386</v>
      </c>
      <c r="B422" s="10" t="n">
        <v>15689.8</v>
      </c>
      <c r="C422" s="11" t="n">
        <v>20.2919</v>
      </c>
      <c r="D422" s="11" t="n">
        <v>20.0931</v>
      </c>
      <c r="E422" s="11" t="n">
        <v>20.4907</v>
      </c>
      <c r="F422" s="12" t="n">
        <f aca="false">IF(C422="","",B422/C422)</f>
        <v>773.205071974532</v>
      </c>
      <c r="G422" s="12" t="n">
        <f aca="false">MEDIAN(F412:F432)</f>
        <v>776.11373339019</v>
      </c>
      <c r="H422" s="13" t="n">
        <f aca="false">B422/G422</f>
        <v>20.21585152406</v>
      </c>
      <c r="I422" s="14" t="n">
        <f aca="false">B422/Summary!$C$8*100</f>
        <v>157.226603601527</v>
      </c>
      <c r="J422" s="14" t="n">
        <f aca="false">G422/Summary!$E$8*100</f>
        <v>131.905048845352</v>
      </c>
      <c r="K422" s="15" t="n">
        <f aca="false">Summary!$D$9</f>
        <v>16.9374488591431</v>
      </c>
      <c r="L422" s="16" t="str">
        <f aca="false">IF(OR(D422="",E422=""),"edge hidden",IF(AND(H422&gt;=D422-0.02,H422&lt;=E422+0.02),"yes","no"))</f>
        <v>yes</v>
      </c>
    </row>
    <row r="423" customFormat="false" ht="15" hidden="false" customHeight="false" outlineLevel="0" collapsed="false">
      <c r="A423" s="9" t="n">
        <v>44389</v>
      </c>
      <c r="B423" s="10" t="n">
        <v>15692.6</v>
      </c>
      <c r="C423" s="11" t="n">
        <v>20.2328</v>
      </c>
      <c r="D423" s="11" t="n">
        <v>20.0931</v>
      </c>
      <c r="E423" s="11" t="n">
        <v>20.3726</v>
      </c>
      <c r="F423" s="12" t="n">
        <f aca="false">IF(C423="","",B423/C423)</f>
        <v>775.601992803764</v>
      </c>
      <c r="G423" s="12" t="n">
        <f aca="false">MEDIAN(F413:F433)</f>
        <v>776.672214939092</v>
      </c>
      <c r="H423" s="13" t="n">
        <f aca="false">B423/G423</f>
        <v>20.2049200398274</v>
      </c>
      <c r="I423" s="14" t="n">
        <f aca="false">B423/Summary!$C$8*100</f>
        <v>157.25466224409</v>
      </c>
      <c r="J423" s="14" t="n">
        <f aca="false">G423/Summary!$E$8*100</f>
        <v>131.999966037018</v>
      </c>
      <c r="K423" s="15" t="n">
        <f aca="false">Summary!$D$9</f>
        <v>16.9374488591431</v>
      </c>
      <c r="L423" s="16" t="str">
        <f aca="false">IF(OR(D423="",E423=""),"edge hidden",IF(AND(H423&gt;=D423-0.02,H423&lt;=E423+0.02),"yes","no"))</f>
        <v>yes</v>
      </c>
    </row>
    <row r="424" customFormat="false" ht="15" hidden="false" customHeight="false" outlineLevel="0" collapsed="false">
      <c r="A424" s="9" t="n">
        <v>44390</v>
      </c>
      <c r="B424" s="10" t="n">
        <v>15812.35</v>
      </c>
      <c r="C424" s="11" t="n">
        <v>20.2328</v>
      </c>
      <c r="D424" s="11" t="n">
        <v>20.0931</v>
      </c>
      <c r="E424" s="11" t="n">
        <v>20.3726</v>
      </c>
      <c r="F424" s="12" t="n">
        <f aca="false">IF(C424="","",B424/C424)</f>
        <v>781.520600213515</v>
      </c>
      <c r="G424" s="12" t="n">
        <f aca="false">MEDIAN(F414:F434)</f>
        <v>776.672214939092</v>
      </c>
      <c r="H424" s="13" t="n">
        <f aca="false">B424/G424</f>
        <v>20.3591034877436</v>
      </c>
      <c r="I424" s="14" t="n">
        <f aca="false">B424/Summary!$C$8*100</f>
        <v>158.454670260845</v>
      </c>
      <c r="J424" s="14" t="n">
        <f aca="false">G424/Summary!$E$8*100</f>
        <v>131.999966037018</v>
      </c>
      <c r="K424" s="15" t="n">
        <f aca="false">Summary!$D$9</f>
        <v>16.9374488591431</v>
      </c>
      <c r="L424" s="16" t="str">
        <f aca="false">IF(OR(D424="",E424=""),"edge hidden",IF(AND(H424&gt;=D424-0.02,H424&lt;=E424+0.02),"yes","no"))</f>
        <v>yes</v>
      </c>
    </row>
    <row r="425" customFormat="false" ht="15" hidden="false" customHeight="false" outlineLevel="0" collapsed="false">
      <c r="A425" s="9" t="n">
        <v>44391</v>
      </c>
      <c r="B425" s="10" t="n">
        <v>15853.95</v>
      </c>
      <c r="C425" s="11" t="n">
        <v>20.2368</v>
      </c>
      <c r="D425" s="11" t="n">
        <v>20.0931</v>
      </c>
      <c r="E425" s="11" t="n">
        <v>20.3805</v>
      </c>
      <c r="F425" s="12" t="n">
        <f aca="false">IF(C425="","",B425/C425)</f>
        <v>783.421786053131</v>
      </c>
      <c r="G425" s="12" t="n">
        <f aca="false">MEDIAN(F415:F435)</f>
        <v>777.806043063123</v>
      </c>
      <c r="H425" s="13" t="n">
        <f aca="false">B425/G425</f>
        <v>20.3829092630402</v>
      </c>
      <c r="I425" s="14" t="n">
        <f aca="false">B425/Summary!$C$8*100</f>
        <v>158.871541521781</v>
      </c>
      <c r="J425" s="14" t="n">
        <f aca="false">G425/Summary!$E$8*100</f>
        <v>132.192666729775</v>
      </c>
      <c r="K425" s="15" t="n">
        <f aca="false">Summary!$D$9</f>
        <v>16.9374488591431</v>
      </c>
      <c r="L425" s="16" t="str">
        <f aca="false">IF(OR(D425="",E425=""),"edge hidden",IF(AND(H425&gt;=D425-0.02,H425&lt;=E425+0.02),"yes","no"))</f>
        <v>yes</v>
      </c>
    </row>
    <row r="426" customFormat="false" ht="15" hidden="false" customHeight="false" outlineLevel="0" collapsed="false">
      <c r="A426" s="9" t="n">
        <v>44392</v>
      </c>
      <c r="B426" s="10" t="n">
        <v>15924.2</v>
      </c>
      <c r="C426" s="11" t="n">
        <v>20.2289</v>
      </c>
      <c r="D426" s="11" t="n">
        <v>20.0773</v>
      </c>
      <c r="E426" s="11" t="n">
        <v>20.3805</v>
      </c>
      <c r="F426" s="12" t="n">
        <f aca="false">IF(C426="","",B426/C426)</f>
        <v>787.200490387515</v>
      </c>
      <c r="G426" s="12" t="n">
        <f aca="false">MEDIAN(F416:F436)</f>
        <v>777.806043063123</v>
      </c>
      <c r="H426" s="13" t="n">
        <f aca="false">B426/G426</f>
        <v>20.4732274093526</v>
      </c>
      <c r="I426" s="14" t="n">
        <f aca="false">B426/Summary!$C$8*100</f>
        <v>159.575512821798</v>
      </c>
      <c r="J426" s="14" t="n">
        <f aca="false">G426/Summary!$E$8*100</f>
        <v>132.192666729775</v>
      </c>
      <c r="K426" s="15" t="n">
        <f aca="false">Summary!$D$9</f>
        <v>16.9374488591431</v>
      </c>
      <c r="L426" s="16" t="str">
        <f aca="false">IF(OR(D426="",E426=""),"edge hidden",IF(AND(H426&gt;=D426-0.02,H426&lt;=E426+0.02),"yes","no"))</f>
        <v>no</v>
      </c>
    </row>
    <row r="427" customFormat="false" ht="15" hidden="false" customHeight="false" outlineLevel="0" collapsed="false">
      <c r="A427" s="9" t="n">
        <v>44393</v>
      </c>
      <c r="B427" s="10" t="n">
        <v>15923.4</v>
      </c>
      <c r="C427" s="11" t="n">
        <v>20.2014</v>
      </c>
      <c r="D427" s="11" t="n">
        <v>20.0222</v>
      </c>
      <c r="E427" s="11" t="n">
        <v>20.3805</v>
      </c>
      <c r="F427" s="12" t="n">
        <f aca="false">IF(C427="","",B427/C427)</f>
        <v>788.232498737711</v>
      </c>
      <c r="G427" s="12" t="n">
        <f aca="false">MEDIAN(F417:F437)</f>
        <v>777.806043063123</v>
      </c>
      <c r="H427" s="13" t="n">
        <f aca="false">B427/G427</f>
        <v>20.4721988753021</v>
      </c>
      <c r="I427" s="14" t="n">
        <f aca="false">B427/Summary!$C$8*100</f>
        <v>159.56749606678</v>
      </c>
      <c r="J427" s="14" t="n">
        <f aca="false">G427/Summary!$E$8*100</f>
        <v>132.192666729775</v>
      </c>
      <c r="K427" s="15" t="n">
        <f aca="false">Summary!$D$9</f>
        <v>16.9374488591431</v>
      </c>
      <c r="L427" s="16" t="str">
        <f aca="false">IF(OR(D427="",E427=""),"edge hidden",IF(AND(H427&gt;=D427-0.02,H427&lt;=E427+0.02),"yes","no"))</f>
        <v>no</v>
      </c>
    </row>
    <row r="428" customFormat="false" ht="15" hidden="false" customHeight="false" outlineLevel="0" collapsed="false">
      <c r="A428" s="9" t="n">
        <v>44396</v>
      </c>
      <c r="B428" s="10" t="n">
        <v>15752.4</v>
      </c>
      <c r="C428" s="11" t="n">
        <v>20.1817</v>
      </c>
      <c r="D428" s="11" t="n">
        <v>19.9907</v>
      </c>
      <c r="E428" s="11" t="n">
        <v>20.3726</v>
      </c>
      <c r="F428" s="12" t="n">
        <f aca="false">IF(C428="","",B428/C428)</f>
        <v>780.528894989025</v>
      </c>
      <c r="G428" s="12" t="n">
        <f aca="false">MEDIAN(F418:F438)</f>
        <v>778.782748613058</v>
      </c>
      <c r="H428" s="13" t="n">
        <f aca="false">B428/G428</f>
        <v>20.226950363312</v>
      </c>
      <c r="I428" s="14" t="n">
        <f aca="false">B428/Summary!$C$8*100</f>
        <v>157.853914681685</v>
      </c>
      <c r="J428" s="14" t="n">
        <f aca="false">G428/Summary!$E$8*100</f>
        <v>132.35866352603</v>
      </c>
      <c r="K428" s="15" t="n">
        <f aca="false">Summary!$D$9</f>
        <v>16.9374488591431</v>
      </c>
      <c r="L428" s="16" t="str">
        <f aca="false">IF(OR(D428="",E428=""),"edge hidden",IF(AND(H428&gt;=D428-0.02,H428&lt;=E428+0.02),"yes","no"))</f>
        <v>yes</v>
      </c>
    </row>
    <row r="429" customFormat="false" ht="15" hidden="false" customHeight="false" outlineLevel="0" collapsed="false">
      <c r="A429" s="9" t="n">
        <v>44397</v>
      </c>
      <c r="B429" s="10" t="n">
        <v>15632.1</v>
      </c>
      <c r="C429" s="11" t="n">
        <v>20.1738</v>
      </c>
      <c r="D429" s="11" t="n">
        <v>19.9907</v>
      </c>
      <c r="E429" s="11" t="n">
        <v>20.3569</v>
      </c>
      <c r="F429" s="12" t="n">
        <f aca="false">IF(C429="","",B429/C429)</f>
        <v>774.871367813699</v>
      </c>
      <c r="G429" s="12" t="n">
        <f aca="false">MEDIAN(F419:F439)</f>
        <v>780.528894989025</v>
      </c>
      <c r="H429" s="13" t="n">
        <f aca="false">B429/G429</f>
        <v>20.0275737392397</v>
      </c>
      <c r="I429" s="14" t="n">
        <f aca="false">B429/Summary!$C$8*100</f>
        <v>156.648395145855</v>
      </c>
      <c r="J429" s="14" t="n">
        <f aca="false">G429/Summary!$E$8*100</f>
        <v>132.655431271663</v>
      </c>
      <c r="K429" s="15" t="n">
        <f aca="false">Summary!$D$9</f>
        <v>16.9374488591431</v>
      </c>
      <c r="L429" s="16" t="str">
        <f aca="false">IF(OR(D429="",E429=""),"edge hidden",IF(AND(H429&gt;=D429-0.02,H429&lt;=E429+0.02),"yes","no"))</f>
        <v>yes</v>
      </c>
    </row>
    <row r="430" customFormat="false" ht="15" hidden="false" customHeight="false" outlineLevel="0" collapsed="false">
      <c r="A430" s="9" t="n">
        <v>44399</v>
      </c>
      <c r="B430" s="10" t="n">
        <v>15824.05</v>
      </c>
      <c r="C430" s="11" t="n">
        <v>20.1502</v>
      </c>
      <c r="D430" s="11" t="n">
        <v>19.9907</v>
      </c>
      <c r="E430" s="11" t="n">
        <v>20.3096</v>
      </c>
      <c r="F430" s="12" t="n">
        <f aca="false">IF(C430="","",B430/C430)</f>
        <v>785.304860497663</v>
      </c>
      <c r="G430" s="12" t="n">
        <f aca="false">MEDIAN(F420:F440)</f>
        <v>780.591453613264</v>
      </c>
      <c r="H430" s="13" t="n">
        <f aca="false">B430/G430</f>
        <v>20.2718719590797</v>
      </c>
      <c r="I430" s="14" t="n">
        <f aca="false">B430/Summary!$C$8*100</f>
        <v>158.571915302983</v>
      </c>
      <c r="J430" s="14" t="n">
        <f aca="false">G430/Summary!$E$8*100</f>
        <v>132.666063474175</v>
      </c>
      <c r="K430" s="15" t="n">
        <f aca="false">Summary!$D$9</f>
        <v>16.9374488591431</v>
      </c>
      <c r="L430" s="16" t="str">
        <f aca="false">IF(OR(D430="",E430=""),"edge hidden",IF(AND(H430&gt;=D430-0.02,H430&lt;=E430+0.02),"yes","no"))</f>
        <v>yes</v>
      </c>
    </row>
    <row r="431" customFormat="false" ht="15" hidden="false" customHeight="false" outlineLevel="0" collapsed="false">
      <c r="A431" s="9" t="n">
        <v>44400</v>
      </c>
      <c r="B431" s="10" t="n">
        <v>15856.05</v>
      </c>
      <c r="C431" s="11" t="n">
        <v>20.162</v>
      </c>
      <c r="D431" s="11" t="n">
        <v>20.0143</v>
      </c>
      <c r="E431" s="11" t="n">
        <v>20.3096</v>
      </c>
      <c r="F431" s="12" t="n">
        <f aca="false">IF(C431="","",B431/C431)</f>
        <v>786.432397579605</v>
      </c>
      <c r="G431" s="12" t="n">
        <f aca="false">MEDIAN(F421:F441)</f>
        <v>781.520600213515</v>
      </c>
      <c r="H431" s="13" t="n">
        <f aca="false">B431/G431</f>
        <v>20.2887166322526</v>
      </c>
      <c r="I431" s="14" t="n">
        <f aca="false">B431/Summary!$C$8*100</f>
        <v>158.892585503703</v>
      </c>
      <c r="J431" s="14" t="n">
        <f aca="false">G431/Summary!$E$8*100</f>
        <v>132.823977349961</v>
      </c>
      <c r="K431" s="15" t="n">
        <f aca="false">Summary!$D$9</f>
        <v>16.9374488591431</v>
      </c>
      <c r="L431" s="16" t="str">
        <f aca="false">IF(OR(D431="",E431=""),"edge hidden",IF(AND(H431&gt;=D431-0.02,H431&lt;=E431+0.02),"yes","no"))</f>
        <v>yes</v>
      </c>
    </row>
    <row r="432" customFormat="false" ht="15" hidden="false" customHeight="false" outlineLevel="0" collapsed="false">
      <c r="A432" s="9" t="n">
        <v>44403</v>
      </c>
      <c r="B432" s="10" t="n">
        <v>15824.45</v>
      </c>
      <c r="C432" s="11" t="n">
        <v>20.2447</v>
      </c>
      <c r="D432" s="11" t="n">
        <v>20.1718</v>
      </c>
      <c r="E432" s="11" t="n">
        <v>20.3175</v>
      </c>
      <c r="F432" s="12" t="n">
        <f aca="false">IF(C432="","",B432/C432)</f>
        <v>781.658903317905</v>
      </c>
      <c r="G432" s="12" t="n">
        <f aca="false">MEDIAN(F422:F442)</f>
        <v>781.520600213515</v>
      </c>
      <c r="H432" s="13" t="n">
        <f aca="false">B432/G432</f>
        <v>20.2482826373057</v>
      </c>
      <c r="I432" s="14" t="n">
        <f aca="false">B432/Summary!$C$8*100</f>
        <v>158.575923680492</v>
      </c>
      <c r="J432" s="14" t="n">
        <f aca="false">G432/Summary!$E$8*100</f>
        <v>132.823977349961</v>
      </c>
      <c r="K432" s="15" t="n">
        <f aca="false">Summary!$D$9</f>
        <v>16.9374488591431</v>
      </c>
      <c r="L432" s="16" t="str">
        <f aca="false">IF(OR(D432="",E432=""),"edge hidden",IF(AND(H432&gt;=D432-0.02,H432&lt;=E432+0.02),"yes","no"))</f>
        <v>yes</v>
      </c>
    </row>
    <row r="433" customFormat="false" ht="15" hidden="false" customHeight="false" outlineLevel="0" collapsed="false">
      <c r="A433" s="9" t="n">
        <v>44404</v>
      </c>
      <c r="B433" s="10" t="n">
        <v>15746.45</v>
      </c>
      <c r="C433" s="11" t="n">
        <v>20.2447</v>
      </c>
      <c r="D433" s="11" t="n">
        <v>20.1718</v>
      </c>
      <c r="E433" s="11" t="n">
        <v>20.3175</v>
      </c>
      <c r="F433" s="12" t="n">
        <f aca="false">IF(C433="","",B433/C433)</f>
        <v>777.806043063123</v>
      </c>
      <c r="G433" s="12" t="n">
        <f aca="false">MEDIAN(F423:F443)</f>
        <v>781.520600213515</v>
      </c>
      <c r="H433" s="13" t="n">
        <f aca="false">B433/G433</f>
        <v>20.1484772067403</v>
      </c>
      <c r="I433" s="14" t="n">
        <f aca="false">B433/Summary!$C$8*100</f>
        <v>157.794290066238</v>
      </c>
      <c r="J433" s="14" t="n">
        <f aca="false">G433/Summary!$E$8*100</f>
        <v>132.823977349961</v>
      </c>
      <c r="K433" s="15" t="n">
        <f aca="false">Summary!$D$9</f>
        <v>16.9374488591431</v>
      </c>
      <c r="L433" s="16" t="str">
        <f aca="false">IF(OR(D433="",E433=""),"edge hidden",IF(AND(H433&gt;=D433-0.02,H433&lt;=E433+0.02),"yes","no"))</f>
        <v>no</v>
      </c>
    </row>
    <row r="434" customFormat="false" ht="15" hidden="false" customHeight="false" outlineLevel="0" collapsed="false">
      <c r="A434" s="9" t="n">
        <v>44405</v>
      </c>
      <c r="B434" s="10" t="n">
        <v>15709.4</v>
      </c>
      <c r="C434" s="11" t="n">
        <v>20.2447</v>
      </c>
      <c r="D434" s="11" t="n">
        <v>20.1718</v>
      </c>
      <c r="E434" s="11" t="n">
        <v>20.3175</v>
      </c>
      <c r="F434" s="12" t="n">
        <f aca="false">IF(C434="","",B434/C434)</f>
        <v>775.975934442101</v>
      </c>
      <c r="G434" s="12" t="n">
        <f aca="false">MEDIAN(F424:F444)</f>
        <v>781.520600213515</v>
      </c>
      <c r="H434" s="13" t="n">
        <f aca="false">B434/G434</f>
        <v>20.1010696272218</v>
      </c>
      <c r="I434" s="14" t="n">
        <f aca="false">B434/Summary!$C$8*100</f>
        <v>157.423014099468</v>
      </c>
      <c r="J434" s="14" t="n">
        <f aca="false">G434/Summary!$E$8*100</f>
        <v>132.823977349961</v>
      </c>
      <c r="K434" s="15" t="n">
        <f aca="false">Summary!$D$9</f>
        <v>16.9374488591431</v>
      </c>
      <c r="L434" s="16" t="str">
        <f aca="false">IF(OR(D434="",E434=""),"edge hidden",IF(AND(H434&gt;=D434-0.02,H434&lt;=E434+0.02),"yes","no"))</f>
        <v>no</v>
      </c>
    </row>
    <row r="435" customFormat="false" ht="15" hidden="false" customHeight="false" outlineLevel="0" collapsed="false">
      <c r="A435" s="9" t="n">
        <v>44406</v>
      </c>
      <c r="B435" s="10" t="n">
        <v>15778.45</v>
      </c>
      <c r="C435" s="11" t="n">
        <v>20.2604</v>
      </c>
      <c r="D435" s="11" t="n">
        <v>20.1797</v>
      </c>
      <c r="E435" s="11" t="n">
        <v>20.3411</v>
      </c>
      <c r="F435" s="12" t="n">
        <f aca="false">IF(C435="","",B435/C435)</f>
        <v>778.782748613058</v>
      </c>
      <c r="G435" s="12" t="n">
        <f aca="false">MEDIAN(F425:F445)</f>
        <v>781.658903317905</v>
      </c>
      <c r="H435" s="13" t="n">
        <f aca="false">B435/G435</f>
        <v>20.1858508014497</v>
      </c>
      <c r="I435" s="14" t="n">
        <f aca="false">B435/Summary!$C$8*100</f>
        <v>158.114960266958</v>
      </c>
      <c r="J435" s="14" t="n">
        <f aca="false">G435/Summary!$E$8*100</f>
        <v>132.847482767989</v>
      </c>
      <c r="K435" s="15" t="n">
        <f aca="false">Summary!$D$9</f>
        <v>16.9374488591431</v>
      </c>
      <c r="L435" s="16" t="str">
        <f aca="false">IF(OR(D435="",E435=""),"edge hidden",IF(AND(H435&gt;=D435-0.02,H435&lt;=E435+0.02),"yes","no"))</f>
        <v>yes</v>
      </c>
    </row>
    <row r="436" customFormat="false" ht="15" hidden="false" customHeight="false" outlineLevel="0" collapsed="false">
      <c r="A436" s="9" t="n">
        <v>44407</v>
      </c>
      <c r="B436" s="10" t="n">
        <v>15763.05</v>
      </c>
      <c r="C436" s="11" t="n">
        <v>20.3667</v>
      </c>
      <c r="D436" s="11" t="n">
        <v>20.1876</v>
      </c>
      <c r="E436" s="11" t="n">
        <v>20.5458</v>
      </c>
      <c r="F436" s="12" t="n">
        <f aca="false">IF(C436="","",B436/C436)</f>
        <v>773.961908409315</v>
      </c>
      <c r="G436" s="12" t="n">
        <f aca="false">MEDIAN(F426:F446)</f>
        <v>781.658903317905</v>
      </c>
      <c r="H436" s="13" t="n">
        <f aca="false">B436/G436</f>
        <v>20.1661491132393</v>
      </c>
      <c r="I436" s="14" t="n">
        <f aca="false">B436/Summary!$C$8*100</f>
        <v>157.960637732862</v>
      </c>
      <c r="J436" s="14" t="n">
        <f aca="false">G436/Summary!$E$8*100</f>
        <v>132.847482767989</v>
      </c>
      <c r="K436" s="15" t="n">
        <f aca="false">Summary!$D$9</f>
        <v>16.9374488591431</v>
      </c>
      <c r="L436" s="16" t="str">
        <f aca="false">IF(OR(D436="",E436=""),"edge hidden",IF(AND(H436&gt;=D436-0.02,H436&lt;=E436+0.02),"yes","no"))</f>
        <v>no</v>
      </c>
    </row>
    <row r="437" customFormat="false" ht="15" hidden="false" customHeight="false" outlineLevel="0" collapsed="false">
      <c r="A437" s="9" t="n">
        <v>44410</v>
      </c>
      <c r="B437" s="10" t="n">
        <v>15885.15</v>
      </c>
      <c r="C437" s="11" t="n">
        <v>20.5124</v>
      </c>
      <c r="D437" s="11" t="n">
        <v>20.2112</v>
      </c>
      <c r="E437" s="11" t="n">
        <v>20.8136</v>
      </c>
      <c r="F437" s="12" t="n">
        <f aca="false">IF(C437="","",B437/C437)</f>
        <v>774.41693804723</v>
      </c>
      <c r="G437" s="12" t="n">
        <f aca="false">MEDIAN(F427:F447)</f>
        <v>781.658903317905</v>
      </c>
      <c r="H437" s="13" t="n">
        <f aca="false">B437/G437</f>
        <v>20.3223553554784</v>
      </c>
      <c r="I437" s="14" t="n">
        <f aca="false">B437/Summary!$C$8*100</f>
        <v>159.184194967482</v>
      </c>
      <c r="J437" s="14" t="n">
        <f aca="false">G437/Summary!$E$8*100</f>
        <v>132.847482767989</v>
      </c>
      <c r="K437" s="15" t="n">
        <f aca="false">Summary!$D$9</f>
        <v>16.9374488591431</v>
      </c>
      <c r="L437" s="16" t="str">
        <f aca="false">IF(OR(D437="",E437=""),"edge hidden",IF(AND(H437&gt;=D437-0.02,H437&lt;=E437+0.02),"yes","no"))</f>
        <v>yes</v>
      </c>
    </row>
    <row r="438" customFormat="false" ht="15" hidden="false" customHeight="false" outlineLevel="0" collapsed="false">
      <c r="A438" s="9" t="n">
        <v>44411</v>
      </c>
      <c r="B438" s="10" t="n">
        <v>16130.75</v>
      </c>
      <c r="C438" s="11" t="n">
        <v>20.5399</v>
      </c>
      <c r="D438" s="11" t="n">
        <v>20.2506</v>
      </c>
      <c r="E438" s="11" t="n">
        <v>20.8293</v>
      </c>
      <c r="F438" s="12" t="n">
        <f aca="false">IF(C438="","",B438/C438)</f>
        <v>785.337319071661</v>
      </c>
      <c r="G438" s="12" t="n">
        <f aca="false">MEDIAN(F428:F448)</f>
        <v>781.658903317905</v>
      </c>
      <c r="H438" s="13" t="n">
        <f aca="false">B438/G438</f>
        <v>20.6365589025211</v>
      </c>
      <c r="I438" s="14" t="n">
        <f aca="false">B438/Summary!$C$8*100</f>
        <v>161.645338758004</v>
      </c>
      <c r="J438" s="14" t="n">
        <f aca="false">G438/Summary!$E$8*100</f>
        <v>132.847482767989</v>
      </c>
      <c r="K438" s="15" t="n">
        <f aca="false">Summary!$D$9</f>
        <v>16.9374488591431</v>
      </c>
      <c r="L438" s="16" t="str">
        <f aca="false">IF(OR(D438="",E438=""),"edge hidden",IF(AND(H438&gt;=D438-0.02,H438&lt;=E438+0.02),"yes","no"))</f>
        <v>yes</v>
      </c>
    </row>
    <row r="439" customFormat="false" ht="15" hidden="false" customHeight="false" outlineLevel="0" collapsed="false">
      <c r="A439" s="9" t="n">
        <v>44412</v>
      </c>
      <c r="B439" s="10" t="n">
        <v>16258.8</v>
      </c>
      <c r="C439" s="11" t="n">
        <v>20.5832</v>
      </c>
      <c r="D439" s="11" t="n">
        <v>20.3451</v>
      </c>
      <c r="E439" s="11" t="n">
        <v>20.8214</v>
      </c>
      <c r="F439" s="12" t="n">
        <f aca="false">IF(C439="","",B439/C439)</f>
        <v>789.906331377045</v>
      </c>
      <c r="G439" s="12" t="n">
        <f aca="false">MEDIAN(F429:F449)</f>
        <v>782.171827132425</v>
      </c>
      <c r="H439" s="13" t="n">
        <f aca="false">B439/G439</f>
        <v>20.7867369240433</v>
      </c>
      <c r="I439" s="14" t="n">
        <f aca="false">B439/Summary!$C$8*100</f>
        <v>162.928520608071</v>
      </c>
      <c r="J439" s="14" t="n">
        <f aca="false">G439/Summary!$E$8*100</f>
        <v>132.934657157382</v>
      </c>
      <c r="K439" s="15" t="n">
        <f aca="false">Summary!$D$9</f>
        <v>16.9374488591431</v>
      </c>
      <c r="L439" s="16" t="str">
        <f aca="false">IF(OR(D439="",E439=""),"edge hidden",IF(AND(H439&gt;=D439-0.02,H439&lt;=E439+0.02),"yes","no"))</f>
        <v>yes</v>
      </c>
    </row>
    <row r="440" customFormat="false" ht="15" hidden="false" customHeight="false" outlineLevel="0" collapsed="false">
      <c r="A440" s="9" t="n">
        <v>44413</v>
      </c>
      <c r="B440" s="10" t="n">
        <v>16294.6</v>
      </c>
      <c r="C440" s="11" t="n">
        <v>20.6817</v>
      </c>
      <c r="D440" s="11" t="n">
        <v>20.5419</v>
      </c>
      <c r="E440" s="11" t="n">
        <v>20.8214</v>
      </c>
      <c r="F440" s="12" t="n">
        <f aca="false">IF(C440="","",B440/C440)</f>
        <v>787.875271375177</v>
      </c>
      <c r="G440" s="12" t="n">
        <f aca="false">MEDIAN(F430:F450)</f>
        <v>783.641805339399</v>
      </c>
      <c r="H440" s="13" t="n">
        <f aca="false">B440/G440</f>
        <v>20.7934286927721</v>
      </c>
      <c r="I440" s="14" t="n">
        <f aca="false">B440/Summary!$C$8*100</f>
        <v>163.287270395126</v>
      </c>
      <c r="J440" s="14" t="n">
        <f aca="false">G440/Summary!$E$8*100</f>
        <v>133.184488514373</v>
      </c>
      <c r="K440" s="15" t="n">
        <f aca="false">Summary!$D$9</f>
        <v>16.9374488591431</v>
      </c>
      <c r="L440" s="16" t="str">
        <f aca="false">IF(OR(D440="",E440=""),"edge hidden",IF(AND(H440&gt;=D440-0.02,H440&lt;=E440+0.02),"yes","no"))</f>
        <v>yes</v>
      </c>
    </row>
    <row r="441" customFormat="false" ht="15" hidden="false" customHeight="false" outlineLevel="0" collapsed="false">
      <c r="A441" s="9" t="n">
        <v>44414</v>
      </c>
      <c r="B441" s="10" t="n">
        <v>16238.2</v>
      </c>
      <c r="C441" s="11" t="n">
        <v>20.7604</v>
      </c>
      <c r="D441" s="11" t="n">
        <v>20.6915</v>
      </c>
      <c r="E441" s="11" t="n">
        <v>20.8293</v>
      </c>
      <c r="F441" s="12" t="n">
        <f aca="false">IF(C441="","",B441/C441)</f>
        <v>782.171827132425</v>
      </c>
      <c r="G441" s="12" t="n">
        <f aca="false">MEDIAN(F431:F451)</f>
        <v>783.641805339399</v>
      </c>
      <c r="H441" s="13" t="n">
        <f aca="false">B441/G441</f>
        <v>20.7214570347828</v>
      </c>
      <c r="I441" s="14" t="n">
        <f aca="false">B441/Summary!$C$8*100</f>
        <v>162.722089166358</v>
      </c>
      <c r="J441" s="14" t="n">
        <f aca="false">G441/Summary!$E$8*100</f>
        <v>133.184488514373</v>
      </c>
      <c r="K441" s="15" t="n">
        <f aca="false">Summary!$D$9</f>
        <v>16.9374488591431</v>
      </c>
      <c r="L441" s="16" t="str">
        <f aca="false">IF(OR(D441="",E441=""),"edge hidden",IF(AND(H441&gt;=D441-0.02,H441&lt;=E441+0.02),"yes","no"))</f>
        <v>yes</v>
      </c>
    </row>
    <row r="442" customFormat="false" ht="15" hidden="false" customHeight="false" outlineLevel="0" collapsed="false">
      <c r="A442" s="9" t="n">
        <v>44417</v>
      </c>
      <c r="B442" s="10" t="n">
        <v>16258.25</v>
      </c>
      <c r="C442" s="11" t="n">
        <v>20.847</v>
      </c>
      <c r="D442" s="11" t="n">
        <v>20.7151</v>
      </c>
      <c r="E442" s="11" t="n">
        <v>20.9789</v>
      </c>
      <c r="F442" s="12" t="n">
        <f aca="false">IF(C442="","",B442/C442)</f>
        <v>779.884395836331</v>
      </c>
      <c r="G442" s="12" t="n">
        <f aca="false">MEDIAN(F432:F452)</f>
        <v>783.641805339399</v>
      </c>
      <c r="H442" s="13" t="n">
        <f aca="false">B442/G442</f>
        <v>20.7470427039794</v>
      </c>
      <c r="I442" s="14" t="n">
        <f aca="false">B442/Summary!$C$8*100</f>
        <v>162.923009088996</v>
      </c>
      <c r="J442" s="14" t="n">
        <f aca="false">G442/Summary!$E$8*100</f>
        <v>133.184488514373</v>
      </c>
      <c r="K442" s="15" t="n">
        <f aca="false">Summary!$D$9</f>
        <v>16.9374488591431</v>
      </c>
      <c r="L442" s="16" t="str">
        <f aca="false">IF(OR(D442="",E442=""),"edge hidden",IF(AND(H442&gt;=D442-0.02,H442&lt;=E442+0.02),"yes","no"))</f>
        <v>yes</v>
      </c>
    </row>
    <row r="443" customFormat="false" ht="15" hidden="false" customHeight="false" outlineLevel="0" collapsed="false">
      <c r="A443" s="9" t="n">
        <v>44418</v>
      </c>
      <c r="B443" s="10" t="n">
        <v>16280.1</v>
      </c>
      <c r="C443" s="11" t="n">
        <v>20.8588</v>
      </c>
      <c r="D443" s="11" t="n">
        <v>20.723</v>
      </c>
      <c r="E443" s="11" t="n">
        <v>20.9947</v>
      </c>
      <c r="F443" s="12" t="n">
        <f aca="false">IF(C443="","",B443/C443)</f>
        <v>780.490728133929</v>
      </c>
      <c r="G443" s="12" t="n">
        <f aca="false">MEDIAN(F433:F453)</f>
        <v>784.807167528577</v>
      </c>
      <c r="H443" s="13" t="n">
        <f aca="false">B443/G443</f>
        <v>20.7440766007112</v>
      </c>
      <c r="I443" s="14" t="n">
        <f aca="false">B443/Summary!$C$8*100</f>
        <v>163.141966710425</v>
      </c>
      <c r="J443" s="14" t="n">
        <f aca="false">G443/Summary!$E$8*100</f>
        <v>133.382548605147</v>
      </c>
      <c r="K443" s="15" t="n">
        <f aca="false">Summary!$D$9</f>
        <v>16.9374488591431</v>
      </c>
      <c r="L443" s="16" t="str">
        <f aca="false">IF(OR(D443="",E443=""),"edge hidden",IF(AND(H443&gt;=D443-0.02,H443&lt;=E443+0.02),"yes","no"))</f>
        <v>yes</v>
      </c>
    </row>
    <row r="444" customFormat="false" ht="15" hidden="false" customHeight="false" outlineLevel="0" collapsed="false">
      <c r="A444" s="9" t="n">
        <v>44419</v>
      </c>
      <c r="B444" s="10" t="n">
        <v>16282.25</v>
      </c>
      <c r="C444" s="11" t="n">
        <v>20.8746</v>
      </c>
      <c r="D444" s="11" t="n">
        <v>20.7388</v>
      </c>
      <c r="E444" s="11" t="n">
        <v>21.0104</v>
      </c>
      <c r="F444" s="12" t="n">
        <f aca="false">IF(C444="","",B444/C444)</f>
        <v>780.002970116793</v>
      </c>
      <c r="G444" s="12" t="n">
        <f aca="false">MEDIAN(F434:F454)</f>
        <v>785.337319071661</v>
      </c>
      <c r="H444" s="13" t="n">
        <f aca="false">B444/G444</f>
        <v>20.7328107357066</v>
      </c>
      <c r="I444" s="14" t="n">
        <f aca="false">B444/Summary!$C$8*100</f>
        <v>163.163511739536</v>
      </c>
      <c r="J444" s="14" t="n">
        <f aca="false">G444/Summary!$E$8*100</f>
        <v>133.472650947339</v>
      </c>
      <c r="K444" s="15" t="n">
        <f aca="false">Summary!$D$9</f>
        <v>16.9374488591431</v>
      </c>
      <c r="L444" s="16" t="str">
        <f aca="false">IF(OR(D444="",E444=""),"edge hidden",IF(AND(H444&gt;=D444-0.02,H444&lt;=E444+0.02),"yes","no"))</f>
        <v>yes</v>
      </c>
    </row>
    <row r="445" customFormat="false" ht="15" hidden="false" customHeight="false" outlineLevel="0" collapsed="false">
      <c r="A445" s="9" t="n">
        <v>44420</v>
      </c>
      <c r="B445" s="10" t="n">
        <v>16364.4</v>
      </c>
      <c r="C445" s="11" t="n">
        <v>20.8825</v>
      </c>
      <c r="D445" s="11" t="n">
        <v>20.7466</v>
      </c>
      <c r="E445" s="11" t="n">
        <v>21.0183</v>
      </c>
      <c r="F445" s="12" t="n">
        <f aca="false">IF(C445="","",B445/C445)</f>
        <v>783.641805339399</v>
      </c>
      <c r="G445" s="12" t="n">
        <f aca="false">MEDIAN(F435:F455)</f>
        <v>785.337319071661</v>
      </c>
      <c r="H445" s="13" t="n">
        <f aca="false">B445/G445</f>
        <v>20.8374154679727</v>
      </c>
      <c r="I445" s="14" t="n">
        <f aca="false">B445/Summary!$C$8*100</f>
        <v>163.986732270445</v>
      </c>
      <c r="J445" s="14" t="n">
        <f aca="false">G445/Summary!$E$8*100</f>
        <v>133.472650947339</v>
      </c>
      <c r="K445" s="15" t="n">
        <f aca="false">Summary!$D$9</f>
        <v>16.9374488591431</v>
      </c>
      <c r="L445" s="16" t="str">
        <f aca="false">IF(OR(D445="",E445=""),"edge hidden",IF(AND(H445&gt;=D445-0.02,H445&lt;=E445+0.02),"yes","no"))</f>
        <v>yes</v>
      </c>
    </row>
    <row r="446" customFormat="false" ht="15" hidden="false" customHeight="false" outlineLevel="0" collapsed="false">
      <c r="A446" s="9" t="n">
        <v>44421</v>
      </c>
      <c r="B446" s="10" t="n">
        <v>16529.1</v>
      </c>
      <c r="C446" s="11" t="n">
        <v>20.8864</v>
      </c>
      <c r="D446" s="11" t="n">
        <v>20.7545</v>
      </c>
      <c r="E446" s="11" t="n">
        <v>21.0183</v>
      </c>
      <c r="F446" s="12" t="n">
        <f aca="false">IF(C446="","",B446/C446)</f>
        <v>791.380994331239</v>
      </c>
      <c r="G446" s="12" t="n">
        <f aca="false">MEDIAN(F436:F456)</f>
        <v>785.818403540278</v>
      </c>
      <c r="H446" s="13" t="n">
        <f aca="false">B446/G446</f>
        <v>21.0342490396419</v>
      </c>
      <c r="I446" s="14" t="n">
        <f aca="false">B446/Summary!$C$8*100</f>
        <v>165.637181709773</v>
      </c>
      <c r="J446" s="14" t="n">
        <f aca="false">G446/Summary!$E$8*100</f>
        <v>133.554414054474</v>
      </c>
      <c r="K446" s="15" t="n">
        <f aca="false">Summary!$D$9</f>
        <v>16.9374488591431</v>
      </c>
      <c r="L446" s="16" t="str">
        <f aca="false">IF(OR(D446="",E446=""),"edge hidden",IF(AND(H446&gt;=D446-0.02,H446&lt;=E446+0.02),"yes","no"))</f>
        <v>yes</v>
      </c>
    </row>
    <row r="447" customFormat="false" ht="15" hidden="false" customHeight="false" outlineLevel="0" collapsed="false">
      <c r="A447" s="9" t="n">
        <v>44424</v>
      </c>
      <c r="B447" s="10" t="n">
        <v>16563.05</v>
      </c>
      <c r="C447" s="11" t="n">
        <v>20.9573</v>
      </c>
      <c r="D447" s="11" t="n">
        <v>20.8726</v>
      </c>
      <c r="E447" s="11" t="n">
        <v>21.0419</v>
      </c>
      <c r="F447" s="12" t="n">
        <f aca="false">IF(C447="","",B447/C447)</f>
        <v>790.323658104813</v>
      </c>
      <c r="G447" s="12" t="n">
        <f aca="false">MEDIAN(F437:F457)</f>
        <v>786.756012900663</v>
      </c>
      <c r="H447" s="13" t="n">
        <f aca="false">B447/G447</f>
        <v>21.0523335423066</v>
      </c>
      <c r="I447" s="14" t="n">
        <f aca="false">B447/Summary!$C$8*100</f>
        <v>165.977392750849</v>
      </c>
      <c r="J447" s="14" t="n">
        <f aca="false">G447/Summary!$E$8*100</f>
        <v>133.713766225629</v>
      </c>
      <c r="K447" s="15" t="n">
        <f aca="false">Summary!$D$9</f>
        <v>16.9374488591431</v>
      </c>
      <c r="L447" s="16" t="str">
        <f aca="false">IF(OR(D447="",E447=""),"edge hidden",IF(AND(H447&gt;=D447-0.02,H447&lt;=E447+0.02),"yes","no"))</f>
        <v>yes</v>
      </c>
    </row>
    <row r="448" customFormat="false" ht="15" hidden="false" customHeight="false" outlineLevel="0" collapsed="false">
      <c r="A448" s="9" t="n">
        <v>44425</v>
      </c>
      <c r="B448" s="10" t="n">
        <v>16614.6</v>
      </c>
      <c r="C448" s="11" t="n">
        <v>20.9651</v>
      </c>
      <c r="D448" s="11" t="n">
        <v>20.8805</v>
      </c>
      <c r="E448" s="11" t="n">
        <v>21.0498</v>
      </c>
      <c r="F448" s="12" t="n">
        <f aca="false">IF(C448="","",B448/C448)</f>
        <v>792.488468931701</v>
      </c>
      <c r="G448" s="12" t="n">
        <f aca="false">MEDIAN(F438:F458)</f>
        <v>787.875271375177</v>
      </c>
      <c r="H448" s="13" t="n">
        <f aca="false">B448/G448</f>
        <v>21.08785565893</v>
      </c>
      <c r="I448" s="14" t="n">
        <f aca="false">B448/Summary!$C$8*100</f>
        <v>166.493972402321</v>
      </c>
      <c r="J448" s="14" t="n">
        <f aca="false">G448/Summary!$E$8*100</f>
        <v>133.903990721602</v>
      </c>
      <c r="K448" s="15" t="n">
        <f aca="false">Summary!$D$9</f>
        <v>16.9374488591431</v>
      </c>
      <c r="L448" s="16" t="str">
        <f aca="false">IF(OR(D448="",E448=""),"edge hidden",IF(AND(H448&gt;=D448-0.02,H448&lt;=E448+0.02),"yes","no"))</f>
        <v>no</v>
      </c>
    </row>
    <row r="449" customFormat="false" ht="15" hidden="false" customHeight="false" outlineLevel="0" collapsed="false">
      <c r="A449" s="9" t="n">
        <v>44426</v>
      </c>
      <c r="B449" s="10" t="n">
        <v>16568.85</v>
      </c>
      <c r="C449" s="11" t="n">
        <v>20.9651</v>
      </c>
      <c r="D449" s="11" t="n">
        <v>20.8805</v>
      </c>
      <c r="E449" s="11" t="n">
        <v>21.0498</v>
      </c>
      <c r="F449" s="12" t="n">
        <f aca="false">IF(C449="","",B449/C449)</f>
        <v>790.306270897825</v>
      </c>
      <c r="G449" s="12" t="n">
        <f aca="false">MEDIAN(F439:F459)</f>
        <v>788.771074907641</v>
      </c>
      <c r="H449" s="13" t="n">
        <f aca="false">B449/G449</f>
        <v>21.0059046624397</v>
      </c>
      <c r="I449" s="14" t="n">
        <f aca="false">B449/Summary!$C$8*100</f>
        <v>166.03551422473</v>
      </c>
      <c r="J449" s="14" t="n">
        <f aca="false">G449/Summary!$E$8*100</f>
        <v>134.056237748837</v>
      </c>
      <c r="K449" s="15" t="n">
        <f aca="false">Summary!$D$9</f>
        <v>16.9374488591431</v>
      </c>
      <c r="L449" s="16" t="str">
        <f aca="false">IF(OR(D449="",E449=""),"edge hidden",IF(AND(H449&gt;=D449-0.02,H449&lt;=E449+0.02),"yes","no"))</f>
        <v>yes</v>
      </c>
    </row>
    <row r="450" customFormat="false" ht="15" hidden="false" customHeight="false" outlineLevel="0" collapsed="false">
      <c r="A450" s="9" t="n">
        <v>44428</v>
      </c>
      <c r="B450" s="10" t="n">
        <v>16450.5</v>
      </c>
      <c r="C450" s="11" t="n">
        <v>20.9612</v>
      </c>
      <c r="D450" s="11" t="n">
        <v>20.8805</v>
      </c>
      <c r="E450" s="11" t="n">
        <v>21.0419</v>
      </c>
      <c r="F450" s="12" t="n">
        <f aca="false">IF(C450="","",B450/C450)</f>
        <v>784.807167528577</v>
      </c>
      <c r="G450" s="12" t="n">
        <f aca="false">MEDIAN(F440:F460)</f>
        <v>788.771074907641</v>
      </c>
      <c r="H450" s="13" t="n">
        <f aca="false">B450/G450</f>
        <v>20.8558611279277</v>
      </c>
      <c r="I450" s="14" t="n">
        <f aca="false">B450/Summary!$C$8*100</f>
        <v>164.849535529256</v>
      </c>
      <c r="J450" s="14" t="n">
        <f aca="false">G450/Summary!$E$8*100</f>
        <v>134.056237748837</v>
      </c>
      <c r="K450" s="15" t="n">
        <f aca="false">Summary!$D$9</f>
        <v>16.9374488591431</v>
      </c>
      <c r="L450" s="16" t="str">
        <f aca="false">IF(OR(D450="",E450=""),"edge hidden",IF(AND(H450&gt;=D450-0.02,H450&lt;=E450+0.02),"yes","no"))</f>
        <v>no</v>
      </c>
    </row>
    <row r="451" customFormat="false" ht="15" hidden="false" customHeight="false" outlineLevel="0" collapsed="false">
      <c r="A451" s="9" t="n">
        <v>44431</v>
      </c>
      <c r="B451" s="10" t="n">
        <v>16496.45</v>
      </c>
      <c r="C451" s="11" t="n">
        <v>20.9927</v>
      </c>
      <c r="D451" s="11" t="n">
        <v>20.8805</v>
      </c>
      <c r="E451" s="11" t="n">
        <v>21.1049</v>
      </c>
      <c r="F451" s="12" t="n">
        <f aca="false">IF(C451="","",B451/C451)</f>
        <v>785.818403540278</v>
      </c>
      <c r="G451" s="12" t="n">
        <f aca="false">MEDIAN(F441:F461)</f>
        <v>790.030728021391</v>
      </c>
      <c r="H451" s="13" t="n">
        <f aca="false">B451/G451</f>
        <v>20.880770095253</v>
      </c>
      <c r="I451" s="14" t="n">
        <f aca="false">B451/Summary!$C$8*100</f>
        <v>165.309997895602</v>
      </c>
      <c r="J451" s="14" t="n">
        <f aca="false">G451/Summary!$E$8*100</f>
        <v>134.270323131365</v>
      </c>
      <c r="K451" s="15" t="n">
        <f aca="false">Summary!$D$9</f>
        <v>16.9374488591431</v>
      </c>
      <c r="L451" s="16" t="str">
        <f aca="false">IF(OR(D451="",E451=""),"edge hidden",IF(AND(H451&gt;=D451-0.02,H451&lt;=E451+0.02),"yes","no"))</f>
        <v>yes</v>
      </c>
    </row>
    <row r="452" customFormat="false" ht="15" hidden="false" customHeight="false" outlineLevel="0" collapsed="false">
      <c r="A452" s="9" t="n">
        <v>44432</v>
      </c>
      <c r="B452" s="10" t="n">
        <v>16624.6</v>
      </c>
      <c r="C452" s="11" t="n">
        <v>21.0045</v>
      </c>
      <c r="D452" s="11" t="n">
        <v>20.8884</v>
      </c>
      <c r="E452" s="11" t="n">
        <v>21.1206</v>
      </c>
      <c r="F452" s="12" t="n">
        <f aca="false">IF(C452="","",B452/C452)</f>
        <v>791.478016615487</v>
      </c>
      <c r="G452" s="12" t="n">
        <f aca="false">MEDIAN(F442:F462)</f>
        <v>790.172043607826</v>
      </c>
      <c r="H452" s="13" t="n">
        <f aca="false">B452/G452</f>
        <v>21.0392156170119</v>
      </c>
      <c r="I452" s="14" t="n">
        <f aca="false">B452/Summary!$C$8*100</f>
        <v>166.594181840046</v>
      </c>
      <c r="J452" s="14" t="n">
        <f aca="false">G452/Summary!$E$8*100</f>
        <v>134.294340538259</v>
      </c>
      <c r="K452" s="15" t="n">
        <f aca="false">Summary!$D$9</f>
        <v>16.9374488591431</v>
      </c>
      <c r="L452" s="16" t="str">
        <f aca="false">IF(OR(D452="",E452=""),"edge hidden",IF(AND(H452&gt;=D452-0.02,H452&lt;=E452+0.02),"yes","no"))</f>
        <v>yes</v>
      </c>
    </row>
    <row r="453" customFormat="false" ht="15" hidden="false" customHeight="false" outlineLevel="0" collapsed="false">
      <c r="A453" s="9" t="n">
        <v>44433</v>
      </c>
      <c r="B453" s="10" t="n">
        <v>16634.65</v>
      </c>
      <c r="C453" s="11" t="n">
        <v>21.0557</v>
      </c>
      <c r="D453" s="11" t="n">
        <v>20.9592</v>
      </c>
      <c r="E453" s="11" t="n">
        <v>21.1521</v>
      </c>
      <c r="F453" s="12" t="n">
        <f aca="false">IF(C453="","",B453/C453)</f>
        <v>790.030728021391</v>
      </c>
      <c r="G453" s="12" t="n">
        <f aca="false">MEDIAN(F443:F463)</f>
        <v>790.306270897825</v>
      </c>
      <c r="H453" s="13" t="n">
        <f aca="false">B453/G453</f>
        <v>21.0483588610555</v>
      </c>
      <c r="I453" s="14" t="n">
        <f aca="false">B453/Summary!$C$8*100</f>
        <v>166.694892324959</v>
      </c>
      <c r="J453" s="14" t="n">
        <f aca="false">G453/Summary!$E$8*100</f>
        <v>134.317153247894</v>
      </c>
      <c r="K453" s="15" t="n">
        <f aca="false">Summary!$D$9</f>
        <v>16.9374488591431</v>
      </c>
      <c r="L453" s="16" t="str">
        <f aca="false">IF(OR(D453="",E453=""),"edge hidden",IF(AND(H453&gt;=D453-0.02,H453&lt;=E453+0.02),"yes","no"))</f>
        <v>yes</v>
      </c>
    </row>
    <row r="454" customFormat="false" ht="15" hidden="false" customHeight="false" outlineLevel="0" collapsed="false">
      <c r="A454" s="9" t="n">
        <v>44434</v>
      </c>
      <c r="B454" s="10" t="n">
        <v>16636.9</v>
      </c>
      <c r="C454" s="11" t="n">
        <v>21.1462</v>
      </c>
      <c r="D454" s="11" t="n">
        <v>21.0222</v>
      </c>
      <c r="E454" s="11" t="n">
        <v>21.2702</v>
      </c>
      <c r="F454" s="12" t="n">
        <f aca="false">IF(C454="","",B454/C454)</f>
        <v>786.756012900663</v>
      </c>
      <c r="G454" s="12" t="n">
        <f aca="false">MEDIAN(F444:F464)</f>
        <v>790.323658104813</v>
      </c>
      <c r="H454" s="13" t="n">
        <f aca="false">B454/G454</f>
        <v>21.0507427297509</v>
      </c>
      <c r="I454" s="14" t="n">
        <f aca="false">B454/Summary!$C$8*100</f>
        <v>166.717439448447</v>
      </c>
      <c r="J454" s="14" t="n">
        <f aca="false">G454/Summary!$E$8*100</f>
        <v>134.32010830498</v>
      </c>
      <c r="K454" s="15" t="n">
        <f aca="false">Summary!$D$9</f>
        <v>16.9374488591431</v>
      </c>
      <c r="L454" s="16" t="str">
        <f aca="false">IF(OR(D454="",E454=""),"edge hidden",IF(AND(H454&gt;=D454-0.02,H454&lt;=E454+0.02),"yes","no"))</f>
        <v>yes</v>
      </c>
    </row>
    <row r="455" customFormat="false" ht="15" hidden="false" customHeight="false" outlineLevel="0" collapsed="false">
      <c r="A455" s="9" t="n">
        <v>44435</v>
      </c>
      <c r="B455" s="10" t="n">
        <v>16705.2</v>
      </c>
      <c r="C455" s="11" t="n">
        <v>21.3195</v>
      </c>
      <c r="D455" s="11" t="n">
        <v>21.0537</v>
      </c>
      <c r="E455" s="11" t="n">
        <v>21.5852</v>
      </c>
      <c r="F455" s="12" t="n">
        <f aca="false">IF(C455="","",B455/C455)</f>
        <v>783.564342503342</v>
      </c>
      <c r="G455" s="12" t="n">
        <f aca="false">MEDIAN(F445:F465)</f>
        <v>790.323658104813</v>
      </c>
      <c r="H455" s="13" t="n">
        <f aca="false">B455/G455</f>
        <v>21.1371630200959</v>
      </c>
      <c r="I455" s="14" t="n">
        <f aca="false">B455/Summary!$C$8*100</f>
        <v>167.401869908108</v>
      </c>
      <c r="J455" s="14" t="n">
        <f aca="false">G455/Summary!$E$8*100</f>
        <v>134.32010830498</v>
      </c>
      <c r="K455" s="15" t="n">
        <f aca="false">Summary!$D$9</f>
        <v>16.9374488591431</v>
      </c>
      <c r="L455" s="16" t="str">
        <f aca="false">IF(OR(D455="",E455=""),"edge hidden",IF(AND(H455&gt;=D455-0.02,H455&lt;=E455+0.02),"yes","no"))</f>
        <v>yes</v>
      </c>
    </row>
    <row r="456" customFormat="false" ht="15" hidden="false" customHeight="false" outlineLevel="0" collapsed="false">
      <c r="A456" s="9" t="n">
        <v>44438</v>
      </c>
      <c r="B456" s="10" t="n">
        <v>16931.05</v>
      </c>
      <c r="C456" s="11" t="n">
        <v>21.4651</v>
      </c>
      <c r="D456" s="11" t="n">
        <v>21.1325</v>
      </c>
      <c r="E456" s="11" t="n">
        <v>21.7978</v>
      </c>
      <c r="F456" s="12" t="n">
        <f aca="false">IF(C456="","",B456/C456)</f>
        <v>788.771074907641</v>
      </c>
      <c r="G456" s="12" t="n">
        <f aca="false">MEDIAN(F446:F466)</f>
        <v>790.323658104813</v>
      </c>
      <c r="H456" s="13" t="n">
        <f aca="false">B456/G456</f>
        <v>21.4229320182575</v>
      </c>
      <c r="I456" s="14" t="n">
        <f aca="false">B456/Summary!$C$8*100</f>
        <v>169.665100059124</v>
      </c>
      <c r="J456" s="14" t="n">
        <f aca="false">G456/Summary!$E$8*100</f>
        <v>134.32010830498</v>
      </c>
      <c r="K456" s="15" t="n">
        <f aca="false">Summary!$D$9</f>
        <v>16.9374488591431</v>
      </c>
      <c r="L456" s="16" t="str">
        <f aca="false">IF(OR(D456="",E456=""),"edge hidden",IF(AND(H456&gt;=D456-0.02,H456&lt;=E456+0.02),"yes","no"))</f>
        <v>yes</v>
      </c>
    </row>
    <row r="457" customFormat="false" ht="15" hidden="false" customHeight="false" outlineLevel="0" collapsed="false">
      <c r="A457" s="9" t="n">
        <v>44439</v>
      </c>
      <c r="B457" s="10" t="n">
        <v>17132.2</v>
      </c>
      <c r="C457" s="11" t="n">
        <v>21.5124</v>
      </c>
      <c r="D457" s="11" t="n">
        <v>21.1639</v>
      </c>
      <c r="E457" s="11" t="n">
        <v>21.8608</v>
      </c>
      <c r="F457" s="12" t="n">
        <f aca="false">IF(C457="","",B457/C457)</f>
        <v>796.3871999405</v>
      </c>
      <c r="G457" s="12" t="n">
        <f aca="false">MEDIAN(F447:F467)</f>
        <v>790.323658104813</v>
      </c>
      <c r="H457" s="13" t="n">
        <f aca="false">B457/G457</f>
        <v>21.6774479978023</v>
      </c>
      <c r="I457" s="14" t="n">
        <f aca="false">B457/Summary!$C$8*100</f>
        <v>171.680812898959</v>
      </c>
      <c r="J457" s="14" t="n">
        <f aca="false">G457/Summary!$E$8*100</f>
        <v>134.32010830498</v>
      </c>
      <c r="K457" s="15" t="n">
        <f aca="false">Summary!$D$9</f>
        <v>16.9374488591431</v>
      </c>
      <c r="L457" s="16" t="str">
        <f aca="false">IF(OR(D457="",E457=""),"edge hidden",IF(AND(H457&gt;=D457-0.02,H457&lt;=E457+0.02),"yes","no"))</f>
        <v>yes</v>
      </c>
    </row>
    <row r="458" customFormat="false" ht="15" hidden="false" customHeight="false" outlineLevel="0" collapsed="false">
      <c r="A458" s="9" t="n">
        <v>44440</v>
      </c>
      <c r="B458" s="10" t="n">
        <v>17076.25</v>
      </c>
      <c r="C458" s="11" t="n">
        <v>21.6108</v>
      </c>
      <c r="D458" s="11" t="n">
        <v>21.3451</v>
      </c>
      <c r="E458" s="11" t="n">
        <v>21.8765</v>
      </c>
      <c r="F458" s="12" t="n">
        <f aca="false">IF(C458="","",B458/C458)</f>
        <v>790.172043607826</v>
      </c>
      <c r="G458" s="12" t="n">
        <f aca="false">MEDIAN(F448:F468)</f>
        <v>791.478016615487</v>
      </c>
      <c r="H458" s="13" t="n">
        <f aca="false">B458/G458</f>
        <v>21.5751412439999</v>
      </c>
      <c r="I458" s="14" t="n">
        <f aca="false">B458/Summary!$C$8*100</f>
        <v>171.120141094888</v>
      </c>
      <c r="J458" s="14" t="n">
        <f aca="false">G458/Summary!$E$8*100</f>
        <v>134.51629825651</v>
      </c>
      <c r="K458" s="15" t="n">
        <f aca="false">Summary!$D$9</f>
        <v>16.9374488591431</v>
      </c>
      <c r="L458" s="16" t="str">
        <f aca="false">IF(OR(D458="",E458=""),"edge hidden",IF(AND(H458&gt;=D458-0.02,H458&lt;=E458+0.02),"yes","no"))</f>
        <v>yes</v>
      </c>
    </row>
    <row r="459" customFormat="false" ht="15" hidden="false" customHeight="false" outlineLevel="0" collapsed="false">
      <c r="A459" s="9" t="n">
        <v>44441</v>
      </c>
      <c r="B459" s="10" t="n">
        <v>17234.15</v>
      </c>
      <c r="C459" s="11" t="n">
        <v>21.7289</v>
      </c>
      <c r="D459" s="11" t="n">
        <v>21.5734</v>
      </c>
      <c r="E459" s="11" t="n">
        <v>21.8844</v>
      </c>
      <c r="F459" s="12" t="n">
        <f aca="false">IF(C459="","",B459/C459)</f>
        <v>793.144153638703</v>
      </c>
      <c r="G459" s="12" t="n">
        <f aca="false">MEDIAN(F449:F469)</f>
        <v>791.478016615487</v>
      </c>
      <c r="H459" s="13" t="n">
        <f aca="false">B459/G459</f>
        <v>21.7746414154326</v>
      </c>
      <c r="I459" s="14" t="n">
        <f aca="false">B459/Summary!$C$8*100</f>
        <v>172.702448116564</v>
      </c>
      <c r="J459" s="14" t="n">
        <f aca="false">G459/Summary!$E$8*100</f>
        <v>134.51629825651</v>
      </c>
      <c r="K459" s="15" t="n">
        <f aca="false">Summary!$D$9</f>
        <v>16.9374488591431</v>
      </c>
      <c r="L459" s="16" t="str">
        <f aca="false">IF(OR(D459="",E459=""),"edge hidden",IF(AND(H459&gt;=D459-0.02,H459&lt;=E459+0.02),"yes","no"))</f>
        <v>yes</v>
      </c>
    </row>
    <row r="460" customFormat="false" ht="15" hidden="false" customHeight="false" outlineLevel="0" collapsed="false">
      <c r="A460" s="9" t="n">
        <v>44442</v>
      </c>
      <c r="B460" s="10" t="n">
        <v>17323.6</v>
      </c>
      <c r="C460" s="11" t="n">
        <v>21.7525</v>
      </c>
      <c r="D460" s="11" t="n">
        <v>21.597</v>
      </c>
      <c r="E460" s="11" t="n">
        <v>21.908</v>
      </c>
      <c r="F460" s="12" t="n">
        <f aca="false">IF(C460="","",B460/C460)</f>
        <v>796.395816572808</v>
      </c>
      <c r="G460" s="12" t="n">
        <f aca="false">MEDIAN(F450:F470)</f>
        <v>791.478016615487</v>
      </c>
      <c r="H460" s="13" t="n">
        <f aca="false">B460/G460</f>
        <v>21.8876578203385</v>
      </c>
      <c r="I460" s="14" t="n">
        <f aca="false">B460/Summary!$C$8*100</f>
        <v>173.598821537012</v>
      </c>
      <c r="J460" s="14" t="n">
        <f aca="false">G460/Summary!$E$8*100</f>
        <v>134.51629825651</v>
      </c>
      <c r="K460" s="15" t="n">
        <f aca="false">Summary!$D$9</f>
        <v>16.9374488591431</v>
      </c>
      <c r="L460" s="16" t="str">
        <f aca="false">IF(OR(D460="",E460=""),"edge hidden",IF(AND(H460&gt;=D460-0.02,H460&lt;=E460+0.02),"yes","no"))</f>
        <v>yes</v>
      </c>
    </row>
    <row r="461" customFormat="false" ht="15" hidden="false" customHeight="false" outlineLevel="0" collapsed="false">
      <c r="A461" s="9" t="n">
        <v>44445</v>
      </c>
      <c r="B461" s="10" t="n">
        <v>17377.8</v>
      </c>
      <c r="C461" s="11" t="n">
        <v>21.8943</v>
      </c>
      <c r="D461" s="11" t="n">
        <v>21.8726</v>
      </c>
      <c r="E461" s="11" t="n">
        <v>21.9159</v>
      </c>
      <c r="F461" s="12" t="n">
        <f aca="false">IF(C461="","",B461/C461)</f>
        <v>793.713432263192</v>
      </c>
      <c r="G461" s="12" t="n">
        <f aca="false">MEDIAN(F451:F471)</f>
        <v>792.462394169384</v>
      </c>
      <c r="H461" s="13" t="n">
        <f aca="false">B461/G461</f>
        <v>21.9288639156366</v>
      </c>
      <c r="I461" s="14" t="n">
        <f aca="false">B461/Summary!$C$8*100</f>
        <v>174.141956689481</v>
      </c>
      <c r="J461" s="14" t="n">
        <f aca="false">G461/Summary!$E$8*100</f>
        <v>134.683598954517</v>
      </c>
      <c r="K461" s="15" t="n">
        <f aca="false">Summary!$D$9</f>
        <v>16.9374488591431</v>
      </c>
      <c r="L461" s="16" t="str">
        <f aca="false">IF(OR(D461="",E461=""),"edge hidden",IF(AND(H461&gt;=D461-0.02,H461&lt;=E461+0.02),"yes","no"))</f>
        <v>yes</v>
      </c>
    </row>
    <row r="462" customFormat="false" ht="15" hidden="false" customHeight="false" outlineLevel="0" collapsed="false">
      <c r="A462" s="9" t="n">
        <v>44446</v>
      </c>
      <c r="B462" s="10" t="n">
        <v>17362.1</v>
      </c>
      <c r="C462" s="11" t="n">
        <v>21.8982</v>
      </c>
      <c r="D462" s="11" t="n">
        <v>21.8805</v>
      </c>
      <c r="E462" s="11" t="n">
        <v>21.9159</v>
      </c>
      <c r="F462" s="12" t="n">
        <f aca="false">IF(C462="","",B462/C462)</f>
        <v>792.855120512188</v>
      </c>
      <c r="G462" s="12" t="n">
        <f aca="false">MEDIAN(F452:F472)</f>
        <v>792.462394169384</v>
      </c>
      <c r="H462" s="13" t="n">
        <f aca="false">B462/G462</f>
        <v>21.9090522499784</v>
      </c>
      <c r="I462" s="14" t="n">
        <f aca="false">B462/Summary!$C$8*100</f>
        <v>173.984627872253</v>
      </c>
      <c r="J462" s="14" t="n">
        <f aca="false">G462/Summary!$E$8*100</f>
        <v>134.683598954517</v>
      </c>
      <c r="K462" s="15" t="n">
        <f aca="false">Summary!$D$9</f>
        <v>16.9374488591431</v>
      </c>
      <c r="L462" s="16" t="str">
        <f aca="false">IF(OR(D462="",E462=""),"edge hidden",IF(AND(H462&gt;=D462-0.02,H462&lt;=E462+0.02),"yes","no"))</f>
        <v>yes</v>
      </c>
    </row>
    <row r="463" customFormat="false" ht="15" hidden="false" customHeight="false" outlineLevel="0" collapsed="false">
      <c r="A463" s="9" t="n">
        <v>44447</v>
      </c>
      <c r="B463" s="10" t="n">
        <v>17353.5</v>
      </c>
      <c r="C463" s="11" t="n">
        <v>21.8982</v>
      </c>
      <c r="D463" s="11" t="n">
        <v>21.8805</v>
      </c>
      <c r="E463" s="11" t="n">
        <v>21.9159</v>
      </c>
      <c r="F463" s="12" t="n">
        <f aca="false">IF(C463="","",B463/C463)</f>
        <v>792.462394169384</v>
      </c>
      <c r="G463" s="12" t="n">
        <f aca="false">MEDIAN(F453:F473)</f>
        <v>792.720083415711</v>
      </c>
      <c r="H463" s="13" t="n">
        <f aca="false">B463/G463</f>
        <v>21.8910815596174</v>
      </c>
      <c r="I463" s="14" t="n">
        <f aca="false">B463/Summary!$C$8*100</f>
        <v>173.89844775581</v>
      </c>
      <c r="J463" s="14" t="n">
        <f aca="false">G463/Summary!$E$8*100</f>
        <v>134.727394742636</v>
      </c>
      <c r="K463" s="15" t="n">
        <f aca="false">Summary!$D$9</f>
        <v>16.9374488591431</v>
      </c>
      <c r="L463" s="16" t="str">
        <f aca="false">IF(OR(D463="",E463=""),"edge hidden",IF(AND(H463&gt;=D463-0.02,H463&lt;=E463+0.02),"yes","no"))</f>
        <v>yes</v>
      </c>
    </row>
    <row r="464" customFormat="false" ht="15" hidden="false" customHeight="false" outlineLevel="0" collapsed="false">
      <c r="A464" s="9" t="n">
        <v>44448</v>
      </c>
      <c r="B464" s="10" t="n">
        <v>17369.25</v>
      </c>
      <c r="C464" s="11" t="n">
        <v>21.8982</v>
      </c>
      <c r="D464" s="11" t="n">
        <v>21.8805</v>
      </c>
      <c r="E464" s="11" t="n">
        <v>21.9159</v>
      </c>
      <c r="F464" s="12" t="n">
        <f aca="false">IF(C464="","",B464/C464)</f>
        <v>793.181631366962</v>
      </c>
      <c r="G464" s="12" t="n">
        <f aca="false">MEDIAN(F454:F474)</f>
        <v>792.855120512188</v>
      </c>
      <c r="H464" s="13" t="n">
        <f aca="false">B464/G464</f>
        <v>21.9072180410204</v>
      </c>
      <c r="I464" s="14" t="n">
        <f aca="false">B464/Summary!$C$8*100</f>
        <v>174.056277620226</v>
      </c>
      <c r="J464" s="14" t="n">
        <f aca="false">G464/Summary!$E$8*100</f>
        <v>134.750345083598</v>
      </c>
      <c r="K464" s="15" t="n">
        <f aca="false">Summary!$D$9</f>
        <v>16.9374488591431</v>
      </c>
      <c r="L464" s="16" t="str">
        <f aca="false">IF(OR(D464="",E464=""),"edge hidden",IF(AND(H464&gt;=D464-0.02,H464&lt;=E464+0.02),"yes","no"))</f>
        <v>yes</v>
      </c>
    </row>
    <row r="465" customFormat="false" ht="15" hidden="false" customHeight="false" outlineLevel="0" collapsed="false">
      <c r="A465" s="9" t="n">
        <v>44452</v>
      </c>
      <c r="B465" s="10" t="n">
        <v>17355.3</v>
      </c>
      <c r="C465" s="11" t="n">
        <v>22.0557</v>
      </c>
      <c r="D465" s="11" t="n">
        <v>21.8805</v>
      </c>
      <c r="E465" s="11" t="n">
        <v>22.2309</v>
      </c>
      <c r="F465" s="12" t="n">
        <f aca="false">IF(C465="","",B465/C465)</f>
        <v>786.885022919245</v>
      </c>
      <c r="G465" s="12" t="n">
        <f aca="false">MEDIAN(F455:F475)</f>
        <v>793.144153638703</v>
      </c>
      <c r="H465" s="13" t="n">
        <f aca="false">B465/G465</f>
        <v>21.8816465082409</v>
      </c>
      <c r="I465" s="14" t="n">
        <f aca="false">B465/Summary!$C$8*100</f>
        <v>173.9164854546</v>
      </c>
      <c r="J465" s="14" t="n">
        <f aca="false">G465/Summary!$E$8*100</f>
        <v>134.799467946692</v>
      </c>
      <c r="K465" s="15" t="n">
        <f aca="false">Summary!$D$9</f>
        <v>16.9374488591431</v>
      </c>
      <c r="L465" s="16" t="str">
        <f aca="false">IF(OR(D465="",E465=""),"edge hidden",IF(AND(H465&gt;=D465-0.02,H465&lt;=E465+0.02),"yes","no"))</f>
        <v>yes</v>
      </c>
    </row>
    <row r="466" customFormat="false" ht="15" hidden="false" customHeight="false" outlineLevel="0" collapsed="false">
      <c r="A466" s="9" t="n">
        <v>44453</v>
      </c>
      <c r="B466" s="10" t="n">
        <v>17380</v>
      </c>
      <c r="C466" s="11" t="n">
        <v>22.0596</v>
      </c>
      <c r="D466" s="11" t="n">
        <v>21.8805</v>
      </c>
      <c r="E466" s="11" t="n">
        <v>22.2388</v>
      </c>
      <c r="F466" s="12" t="n">
        <f aca="false">IF(C466="","",B466/C466)</f>
        <v>787.865600464197</v>
      </c>
      <c r="G466" s="12" t="n">
        <f aca="false">MEDIAN(F456:F476)</f>
        <v>793.181631366962</v>
      </c>
      <c r="H466" s="13" t="n">
        <f aca="false">B466/G466</f>
        <v>21.9117530117881</v>
      </c>
      <c r="I466" s="14" t="n">
        <f aca="false">B466/Summary!$C$8*100</f>
        <v>174.16400276578</v>
      </c>
      <c r="J466" s="14" t="n">
        <f aca="false">G466/Summary!$E$8*100</f>
        <v>134.805837504869</v>
      </c>
      <c r="K466" s="15" t="n">
        <f aca="false">Summary!$D$9</f>
        <v>16.9374488591431</v>
      </c>
      <c r="L466" s="16" t="str">
        <f aca="false">IF(OR(D466="",E466=""),"edge hidden",IF(AND(H466&gt;=D466-0.02,H466&lt;=E466+0.02),"yes","no"))</f>
        <v>yes</v>
      </c>
    </row>
    <row r="467" customFormat="false" ht="15" hidden="false" customHeight="false" outlineLevel="0" collapsed="false">
      <c r="A467" s="9" t="n">
        <v>44454</v>
      </c>
      <c r="B467" s="10" t="n">
        <v>17519.45</v>
      </c>
      <c r="C467" s="11" t="n">
        <v>22.0636</v>
      </c>
      <c r="D467" s="11" t="n">
        <v>21.8884</v>
      </c>
      <c r="E467" s="11" t="n">
        <v>22.2388</v>
      </c>
      <c r="F467" s="12" t="n">
        <f aca="false">IF(C467="","",B467/C467)</f>
        <v>794.043129860948</v>
      </c>
      <c r="G467" s="12" t="n">
        <f aca="false">MEDIAN(F457:F477)</f>
        <v>793.713432263192</v>
      </c>
      <c r="H467" s="13" t="n">
        <f aca="false">B467/G467</f>
        <v>22.0727649147188</v>
      </c>
      <c r="I467" s="14" t="n">
        <f aca="false">B467/Summary!$C$8*100</f>
        <v>175.561423374853</v>
      </c>
      <c r="J467" s="14" t="n">
        <f aca="false">G467/Summary!$E$8*100</f>
        <v>134.896220164234</v>
      </c>
      <c r="K467" s="15" t="n">
        <f aca="false">Summary!$D$9</f>
        <v>16.9374488591431</v>
      </c>
      <c r="L467" s="16" t="str">
        <f aca="false">IF(OR(D467="",E467=""),"edge hidden",IF(AND(H467&gt;=D467-0.02,H467&lt;=E467+0.02),"yes","no"))</f>
        <v>yes</v>
      </c>
    </row>
    <row r="468" customFormat="false" ht="15" hidden="false" customHeight="false" outlineLevel="0" collapsed="false">
      <c r="A468" s="9" t="n">
        <v>44455</v>
      </c>
      <c r="B468" s="10" t="n">
        <v>17629.5</v>
      </c>
      <c r="C468" s="11" t="n">
        <v>22.0754</v>
      </c>
      <c r="D468" s="11" t="n">
        <v>21.912</v>
      </c>
      <c r="E468" s="11" t="n">
        <v>22.2388</v>
      </c>
      <c r="F468" s="12" t="n">
        <f aca="false">IF(C468="","",B468/C468)</f>
        <v>798.60387580746</v>
      </c>
      <c r="G468" s="12" t="n">
        <f aca="false">MEDIAN(F458:F478)</f>
        <v>793.713432263192</v>
      </c>
      <c r="H468" s="13" t="n">
        <f aca="false">B468/G468</f>
        <v>22.2114169716535</v>
      </c>
      <c r="I468" s="14" t="n">
        <f aca="false">B468/Summary!$C$8*100</f>
        <v>176.664228237015</v>
      </c>
      <c r="J468" s="14" t="n">
        <f aca="false">G468/Summary!$E$8*100</f>
        <v>134.896220164234</v>
      </c>
      <c r="K468" s="15" t="n">
        <f aca="false">Summary!$D$9</f>
        <v>16.9374488591431</v>
      </c>
      <c r="L468" s="16" t="str">
        <f aca="false">IF(OR(D468="",E468=""),"edge hidden",IF(AND(H468&gt;=D468-0.02,H468&lt;=E468+0.02),"yes","no"))</f>
        <v>yes</v>
      </c>
    </row>
    <row r="469" customFormat="false" ht="15" hidden="false" customHeight="false" outlineLevel="0" collapsed="false">
      <c r="A469" s="9" t="n">
        <v>44456</v>
      </c>
      <c r="B469" s="10" t="n">
        <v>17585.15</v>
      </c>
      <c r="C469" s="11" t="n">
        <v>22.0793</v>
      </c>
      <c r="D469" s="11" t="n">
        <v>21.9199</v>
      </c>
      <c r="E469" s="11" t="n">
        <v>22.2388</v>
      </c>
      <c r="F469" s="12" t="n">
        <f aca="false">IF(C469="","",B469/C469)</f>
        <v>796.45414483249</v>
      </c>
      <c r="G469" s="12" t="n">
        <f aca="false">MEDIAN(F459:F479)</f>
        <v>793.713432263192</v>
      </c>
      <c r="H469" s="13" t="n">
        <f aca="false">B469/G469</f>
        <v>22.1555403816939</v>
      </c>
      <c r="I469" s="14" t="n">
        <f aca="false">B469/Summary!$C$8*100</f>
        <v>176.219799380706</v>
      </c>
      <c r="J469" s="14" t="n">
        <f aca="false">G469/Summary!$E$8*100</f>
        <v>134.896220164234</v>
      </c>
      <c r="K469" s="15" t="n">
        <f aca="false">Summary!$D$9</f>
        <v>16.9374488591431</v>
      </c>
      <c r="L469" s="16" t="str">
        <f aca="false">IF(OR(D469="",E469=""),"edge hidden",IF(AND(H469&gt;=D469-0.02,H469&lt;=E469+0.02),"yes","no"))</f>
        <v>yes</v>
      </c>
    </row>
    <row r="470" customFormat="false" ht="15" hidden="false" customHeight="false" outlineLevel="0" collapsed="false">
      <c r="A470" s="9" t="n">
        <v>44459</v>
      </c>
      <c r="B470" s="10" t="n">
        <v>17396.9</v>
      </c>
      <c r="C470" s="11" t="n">
        <v>22.1384</v>
      </c>
      <c r="D470" s="11" t="n">
        <v>21.9277</v>
      </c>
      <c r="E470" s="11" t="n">
        <v>22.349</v>
      </c>
      <c r="F470" s="12" t="n">
        <f aca="false">IF(C470="","",B470/C470)</f>
        <v>785.82463050627</v>
      </c>
      <c r="G470" s="12" t="n">
        <f aca="false">MEDIAN(F460:F480)</f>
        <v>794.043129860948</v>
      </c>
      <c r="H470" s="13" t="n">
        <f aca="false">B470/G470</f>
        <v>21.909263295366</v>
      </c>
      <c r="I470" s="14" t="n">
        <f aca="false">B470/Summary!$C$8*100</f>
        <v>174.333356715535</v>
      </c>
      <c r="J470" s="14" t="n">
        <f aca="false">G470/Summary!$E$8*100</f>
        <v>134.952254191033</v>
      </c>
      <c r="K470" s="15" t="n">
        <f aca="false">Summary!$D$9</f>
        <v>16.9374488591431</v>
      </c>
      <c r="L470" s="16" t="str">
        <f aca="false">IF(OR(D470="",E470=""),"edge hidden",IF(AND(H470&gt;=D470-0.02,H470&lt;=E470+0.02),"yes","no"))</f>
        <v>yes</v>
      </c>
    </row>
    <row r="471" customFormat="false" ht="15" hidden="false" customHeight="false" outlineLevel="0" collapsed="false">
      <c r="A471" s="9" t="n">
        <v>44460</v>
      </c>
      <c r="B471" s="10" t="n">
        <v>17562</v>
      </c>
      <c r="C471" s="11" t="n">
        <v>22.1541</v>
      </c>
      <c r="D471" s="11" t="n">
        <v>21.9356</v>
      </c>
      <c r="E471" s="11" t="n">
        <v>22.3726</v>
      </c>
      <c r="F471" s="12" t="n">
        <f aca="false">IF(C471="","",B471/C471)</f>
        <v>792.720083415711</v>
      </c>
      <c r="G471" s="12" t="n">
        <f aca="false">MEDIAN(F461:F481)</f>
        <v>794.043129860948</v>
      </c>
      <c r="H471" s="13" t="n">
        <f aca="false">B471/G471</f>
        <v>22.1171865098505</v>
      </c>
      <c r="I471" s="14" t="n">
        <f aca="false">B471/Summary!$C$8*100</f>
        <v>175.987814532373</v>
      </c>
      <c r="J471" s="14" t="n">
        <f aca="false">G471/Summary!$E$8*100</f>
        <v>134.952254191033</v>
      </c>
      <c r="K471" s="15" t="n">
        <f aca="false">Summary!$D$9</f>
        <v>16.9374488591431</v>
      </c>
      <c r="L471" s="16" t="str">
        <f aca="false">IF(OR(D471="",E471=""),"edge hidden",IF(AND(H471&gt;=D471-0.02,H471&lt;=E471+0.02),"yes","no"))</f>
        <v>yes</v>
      </c>
    </row>
    <row r="472" customFormat="false" ht="15" hidden="false" customHeight="false" outlineLevel="0" collapsed="false">
      <c r="A472" s="9" t="n">
        <v>44461</v>
      </c>
      <c r="B472" s="10" t="n">
        <v>17546.65</v>
      </c>
      <c r="C472" s="11" t="n">
        <v>22.1699</v>
      </c>
      <c r="D472" s="11" t="n">
        <v>21.9513</v>
      </c>
      <c r="E472" s="11" t="n">
        <v>22.3884</v>
      </c>
      <c r="F472" s="12" t="n">
        <f aca="false">IF(C472="","",B472/C472)</f>
        <v>791.462749042621</v>
      </c>
      <c r="G472" s="12" t="n">
        <f aca="false">MEDIAN(F462:F482)</f>
        <v>795.664113050497</v>
      </c>
      <c r="H472" s="13" t="n">
        <f aca="false">B472/G472</f>
        <v>22.0528357534285</v>
      </c>
      <c r="I472" s="14" t="n">
        <f aca="false">B472/Summary!$C$8*100</f>
        <v>175.833993045465</v>
      </c>
      <c r="J472" s="14" t="n">
        <f aca="false">G472/Summary!$E$8*100</f>
        <v>135.227749724221</v>
      </c>
      <c r="K472" s="15" t="n">
        <f aca="false">Summary!$D$9</f>
        <v>16.9374488591431</v>
      </c>
      <c r="L472" s="16" t="str">
        <f aca="false">IF(OR(D472="",E472=""),"edge hidden",IF(AND(H472&gt;=D472-0.02,H472&lt;=E472+0.02),"yes","no"))</f>
        <v>yes</v>
      </c>
    </row>
    <row r="473" customFormat="false" ht="15" hidden="false" customHeight="false" outlineLevel="0" collapsed="false">
      <c r="A473" s="9" t="n">
        <v>44462</v>
      </c>
      <c r="B473" s="10" t="n">
        <v>17822.95</v>
      </c>
      <c r="C473" s="11" t="n">
        <v>22.2053</v>
      </c>
      <c r="D473" s="11" t="n">
        <v>22.0222</v>
      </c>
      <c r="E473" s="11" t="n">
        <v>22.3884</v>
      </c>
      <c r="F473" s="12" t="n">
        <f aca="false">IF(C473="","",B473/C473)</f>
        <v>802.643963378112</v>
      </c>
      <c r="G473" s="12" t="n">
        <f aca="false">MEDIAN(F463:F483)</f>
        <v>796.246582152623</v>
      </c>
      <c r="H473" s="13" t="n">
        <f aca="false">B473/G473</f>
        <v>22.3837067555334</v>
      </c>
      <c r="I473" s="14" t="n">
        <f aca="false">B473/Summary!$C$8*100</f>
        <v>178.602779809802</v>
      </c>
      <c r="J473" s="14" t="n">
        <f aca="false">G473/Summary!$E$8*100</f>
        <v>135.326743740254</v>
      </c>
      <c r="K473" s="15" t="n">
        <f aca="false">Summary!$D$9</f>
        <v>16.9374488591431</v>
      </c>
      <c r="L473" s="16" t="str">
        <f aca="false">IF(OR(D473="",E473=""),"edge hidden",IF(AND(H473&gt;=D473-0.02,H473&lt;=E473+0.02),"yes","no"))</f>
        <v>yes</v>
      </c>
    </row>
    <row r="474" customFormat="false" ht="15" hidden="false" customHeight="false" outlineLevel="0" collapsed="false">
      <c r="A474" s="9" t="n">
        <v>44463</v>
      </c>
      <c r="B474" s="10" t="n">
        <v>17853.2</v>
      </c>
      <c r="C474" s="11" t="n">
        <v>22.2132</v>
      </c>
      <c r="D474" s="11" t="n">
        <v>22.038</v>
      </c>
      <c r="E474" s="11" t="n">
        <v>22.3884</v>
      </c>
      <c r="F474" s="12" t="n">
        <f aca="false">IF(C474="","",B474/C474)</f>
        <v>803.720310446041</v>
      </c>
      <c r="G474" s="12" t="n">
        <f aca="false">MEDIAN(F464:F484)</f>
        <v>796.45414483249</v>
      </c>
      <c r="H474" s="13" t="n">
        <f aca="false">B474/G474</f>
        <v>22.4158542156308</v>
      </c>
      <c r="I474" s="14" t="n">
        <f aca="false">B474/Summary!$C$8*100</f>
        <v>178.90591335892</v>
      </c>
      <c r="J474" s="14" t="n">
        <f aca="false">G474/Summary!$E$8*100</f>
        <v>135.362020226481</v>
      </c>
      <c r="K474" s="15" t="n">
        <f aca="false">Summary!$D$9</f>
        <v>16.9374488591431</v>
      </c>
      <c r="L474" s="16" t="str">
        <f aca="false">IF(OR(D474="",E474=""),"edge hidden",IF(AND(H474&gt;=D474-0.02,H474&lt;=E474+0.02),"yes","no"))</f>
        <v>no</v>
      </c>
    </row>
    <row r="475" customFormat="false" ht="15" hidden="false" customHeight="false" outlineLevel="0" collapsed="false">
      <c r="A475" s="9" t="n">
        <v>44466</v>
      </c>
      <c r="B475" s="10" t="n">
        <v>17855.1</v>
      </c>
      <c r="C475" s="11" t="n">
        <v>22.1817</v>
      </c>
      <c r="D475" s="11" t="n">
        <v>21.9986</v>
      </c>
      <c r="E475" s="11" t="n">
        <v>22.3647</v>
      </c>
      <c r="F475" s="12" t="n">
        <f aca="false">IF(C475="","",B475/C475)</f>
        <v>804.947321440647</v>
      </c>
      <c r="G475" s="12" t="n">
        <f aca="false">MEDIAN(F465:F485)</f>
        <v>796.45414483249</v>
      </c>
      <c r="H475" s="13" t="n">
        <f aca="false">B475/G475</f>
        <v>22.418239789254</v>
      </c>
      <c r="I475" s="14" t="n">
        <f aca="false">B475/Summary!$C$8*100</f>
        <v>178.924953152088</v>
      </c>
      <c r="J475" s="14" t="n">
        <f aca="false">G475/Summary!$E$8*100</f>
        <v>135.362020226481</v>
      </c>
      <c r="K475" s="15" t="n">
        <f aca="false">Summary!$D$9</f>
        <v>16.9374488591431</v>
      </c>
      <c r="L475" s="16" t="str">
        <f aca="false">IF(OR(D475="",E475=""),"edge hidden",IF(AND(H475&gt;=D475-0.02,H475&lt;=E475+0.02),"yes","no"))</f>
        <v>no</v>
      </c>
    </row>
    <row r="476" customFormat="false" ht="15" hidden="false" customHeight="false" outlineLevel="0" collapsed="false">
      <c r="A476" s="9" t="n">
        <v>44467</v>
      </c>
      <c r="B476" s="10" t="n">
        <v>17748.6</v>
      </c>
      <c r="C476" s="11" t="n">
        <v>22.162</v>
      </c>
      <c r="D476" s="11" t="n">
        <v>21.975</v>
      </c>
      <c r="E476" s="11" t="n">
        <v>22.349</v>
      </c>
      <c r="F476" s="12" t="n">
        <f aca="false">IF(C476="","",B476/C476)</f>
        <v>800.857323346268</v>
      </c>
      <c r="G476" s="12" t="n">
        <f aca="false">MEDIAN(F466:F486)</f>
        <v>796.833825672187</v>
      </c>
      <c r="H476" s="13" t="n">
        <f aca="false">B476/G476</f>
        <v>22.2739038281009</v>
      </c>
      <c r="I476" s="14" t="n">
        <f aca="false">B476/Summary!$C$8*100</f>
        <v>177.857722640318</v>
      </c>
      <c r="J476" s="14" t="n">
        <f aca="false">G476/Summary!$E$8*100</f>
        <v>135.426549196336</v>
      </c>
      <c r="K476" s="15" t="n">
        <f aca="false">Summary!$D$9</f>
        <v>16.9374488591431</v>
      </c>
      <c r="L476" s="16" t="str">
        <f aca="false">IF(OR(D476="",E476=""),"edge hidden",IF(AND(H476&gt;=D476-0.02,H476&lt;=E476+0.02),"yes","no"))</f>
        <v>yes</v>
      </c>
    </row>
    <row r="477" customFormat="false" ht="15" hidden="false" customHeight="false" outlineLevel="0" collapsed="false">
      <c r="A477" s="9" t="n">
        <v>44468</v>
      </c>
      <c r="B477" s="10" t="n">
        <v>17711.3</v>
      </c>
      <c r="C477" s="11" t="n">
        <v>22.1541</v>
      </c>
      <c r="D477" s="11" t="n">
        <v>21.9671</v>
      </c>
      <c r="E477" s="11" t="n">
        <v>22.3411</v>
      </c>
      <c r="F477" s="12" t="n">
        <f aca="false">IF(C477="","",B477/C477)</f>
        <v>799.459242307293</v>
      </c>
      <c r="G477" s="12" t="n">
        <f aca="false">MEDIAN(F467:F487)</f>
        <v>798.60387580746</v>
      </c>
      <c r="H477" s="13" t="n">
        <f aca="false">B477/G477</f>
        <v>22.177828754077</v>
      </c>
      <c r="I477" s="14" t="n">
        <f aca="false">B477/Summary!$C$8*100</f>
        <v>177.483941437605</v>
      </c>
      <c r="J477" s="14" t="n">
        <f aca="false">G477/Summary!$E$8*100</f>
        <v>135.727379525071</v>
      </c>
      <c r="K477" s="15" t="n">
        <f aca="false">Summary!$D$9</f>
        <v>16.9374488591431</v>
      </c>
      <c r="L477" s="16" t="str">
        <f aca="false">IF(OR(D477="",E477=""),"edge hidden",IF(AND(H477&gt;=D477-0.02,H477&lt;=E477+0.02),"yes","no"))</f>
        <v>yes</v>
      </c>
    </row>
    <row r="478" customFormat="false" ht="15" hidden="false" customHeight="false" outlineLevel="0" collapsed="false">
      <c r="A478" s="9" t="n">
        <v>44469</v>
      </c>
      <c r="B478" s="10" t="n">
        <v>17618.15</v>
      </c>
      <c r="C478" s="11" t="n">
        <v>22.1265</v>
      </c>
      <c r="D478" s="11" t="n">
        <v>21.9592</v>
      </c>
      <c r="E478" s="11" t="n">
        <v>22.2939</v>
      </c>
      <c r="F478" s="12" t="n">
        <f aca="false">IF(C478="","",B478/C478)</f>
        <v>796.246582152623</v>
      </c>
      <c r="G478" s="12" t="n">
        <f aca="false">MEDIAN(F468:F488)</f>
        <v>799.459242307293</v>
      </c>
      <c r="H478" s="13" t="n">
        <f aca="false">B478/G478</f>
        <v>22.0375837411709</v>
      </c>
      <c r="I478" s="14" t="n">
        <f aca="false">B478/Summary!$C$8*100</f>
        <v>176.550490525198</v>
      </c>
      <c r="J478" s="14" t="n">
        <f aca="false">G478/Summary!$E$8*100</f>
        <v>135.872754043118</v>
      </c>
      <c r="K478" s="15" t="n">
        <f aca="false">Summary!$D$9</f>
        <v>16.9374488591431</v>
      </c>
      <c r="L478" s="16" t="str">
        <f aca="false">IF(OR(D478="",E478=""),"edge hidden",IF(AND(H478&gt;=D478-0.02,H478&lt;=E478+0.02),"yes","no"))</f>
        <v>yes</v>
      </c>
    </row>
    <row r="479" customFormat="false" ht="15" hidden="false" customHeight="false" outlineLevel="0" collapsed="false">
      <c r="A479" s="9" t="n">
        <v>44470</v>
      </c>
      <c r="B479" s="10" t="n">
        <v>17532.05</v>
      </c>
      <c r="C479" s="11" t="n">
        <v>22.1226</v>
      </c>
      <c r="D479" s="11" t="n">
        <v>21.9513</v>
      </c>
      <c r="E479" s="11" t="n">
        <v>22.2939</v>
      </c>
      <c r="F479" s="12" t="n">
        <f aca="false">IF(C479="","",B479/C479)</f>
        <v>792.495005107899</v>
      </c>
      <c r="G479" s="12" t="n">
        <f aca="false">MEDIAN(F469:F489)</f>
        <v>799.550312973132</v>
      </c>
      <c r="H479" s="13" t="n">
        <f aca="false">B479/G479</f>
        <v>21.9273880774394</v>
      </c>
      <c r="I479" s="14" t="n">
        <f aca="false">B479/Summary!$C$8*100</f>
        <v>175.687687266387</v>
      </c>
      <c r="J479" s="14" t="n">
        <f aca="false">G479/Summary!$E$8*100</f>
        <v>135.888232033146</v>
      </c>
      <c r="K479" s="15" t="n">
        <f aca="false">Summary!$D$9</f>
        <v>16.9374488591431</v>
      </c>
      <c r="L479" s="16" t="str">
        <f aca="false">IF(OR(D479="",E479=""),"edge hidden",IF(AND(H479&gt;=D479-0.02,H479&lt;=E479+0.02),"yes","no"))</f>
        <v>no</v>
      </c>
    </row>
    <row r="480" customFormat="false" ht="15" hidden="false" customHeight="false" outlineLevel="0" collapsed="false">
      <c r="A480" s="9" t="n">
        <v>44473</v>
      </c>
      <c r="B480" s="10" t="n">
        <v>17691.25</v>
      </c>
      <c r="C480" s="11" t="n">
        <v>22.1265</v>
      </c>
      <c r="D480" s="11" t="n">
        <v>21.9592</v>
      </c>
      <c r="E480" s="11" t="n">
        <v>22.2939</v>
      </c>
      <c r="F480" s="12" t="n">
        <f aca="false">IF(C480="","",B480/C480)</f>
        <v>799.550312973132</v>
      </c>
      <c r="G480" s="12" t="n">
        <f aca="false">MEDIAN(F470:F490)</f>
        <v>800.857323346268</v>
      </c>
      <c r="H480" s="13" t="n">
        <f aca="false">B480/G480</f>
        <v>22.0903892419684</v>
      </c>
      <c r="I480" s="14" t="n">
        <f aca="false">B480/Summary!$C$8*100</f>
        <v>177.283021514966</v>
      </c>
      <c r="J480" s="14" t="n">
        <f aca="false">G480/Summary!$E$8*100</f>
        <v>136.110366057701</v>
      </c>
      <c r="K480" s="15" t="n">
        <f aca="false">Summary!$D$9</f>
        <v>16.9374488591431</v>
      </c>
      <c r="L480" s="16" t="str">
        <f aca="false">IF(OR(D480="",E480=""),"edge hidden",IF(AND(H480&gt;=D480-0.02,H480&lt;=E480+0.02),"yes","no"))</f>
        <v>yes</v>
      </c>
    </row>
    <row r="481" customFormat="false" ht="15" hidden="false" customHeight="false" outlineLevel="0" collapsed="false">
      <c r="A481" s="9" t="n">
        <v>44474</v>
      </c>
      <c r="B481" s="10" t="n">
        <v>17822.3</v>
      </c>
      <c r="C481" s="11" t="n">
        <v>22.1384</v>
      </c>
      <c r="D481" s="11" t="n">
        <v>21.975</v>
      </c>
      <c r="E481" s="11" t="n">
        <v>22.3017</v>
      </c>
      <c r="F481" s="12" t="n">
        <f aca="false">IF(C481="","",B481/C481)</f>
        <v>805.040111299823</v>
      </c>
      <c r="G481" s="12" t="n">
        <f aca="false">MEDIAN(F471:F491)</f>
        <v>802.02824851116</v>
      </c>
      <c r="H481" s="13" t="n">
        <f aca="false">B481/G481</f>
        <v>22.2215365020924</v>
      </c>
      <c r="I481" s="14" t="n">
        <f aca="false">B481/Summary!$C$8*100</f>
        <v>178.59626619635</v>
      </c>
      <c r="J481" s="14" t="n">
        <f aca="false">G481/Summary!$E$8*100</f>
        <v>136.309371608594</v>
      </c>
      <c r="K481" s="15" t="n">
        <f aca="false">Summary!$D$9</f>
        <v>16.9374488591431</v>
      </c>
      <c r="L481" s="16" t="str">
        <f aca="false">IF(OR(D481="",E481=""),"edge hidden",IF(AND(H481&gt;=D481-0.02,H481&lt;=E481+0.02),"yes","no"))</f>
        <v>yes</v>
      </c>
    </row>
    <row r="482" customFormat="false" ht="15" hidden="false" customHeight="false" outlineLevel="0" collapsed="false">
      <c r="A482" s="9" t="n">
        <v>44475</v>
      </c>
      <c r="B482" s="10" t="n">
        <v>17646</v>
      </c>
      <c r="C482" s="11" t="n">
        <v>22.1777</v>
      </c>
      <c r="D482" s="11" t="n">
        <v>22.0458</v>
      </c>
      <c r="E482" s="11" t="n">
        <v>22.3096</v>
      </c>
      <c r="F482" s="12" t="n">
        <f aca="false">IF(C482="","",B482/C482)</f>
        <v>795.664113050497</v>
      </c>
      <c r="G482" s="12" t="n">
        <f aca="false">MEDIAN(F472:F492)</f>
        <v>802.02824851116</v>
      </c>
      <c r="H482" s="13" t="n">
        <f aca="false">B482/G482</f>
        <v>22.0017188082303</v>
      </c>
      <c r="I482" s="14" t="n">
        <f aca="false">B482/Summary!$C$8*100</f>
        <v>176.829573809261</v>
      </c>
      <c r="J482" s="14" t="n">
        <f aca="false">G482/Summary!$E$8*100</f>
        <v>136.309371608594</v>
      </c>
      <c r="K482" s="15" t="n">
        <f aca="false">Summary!$D$9</f>
        <v>16.9374488591431</v>
      </c>
      <c r="L482" s="16" t="str">
        <f aca="false">IF(OR(D482="",E482=""),"edge hidden",IF(AND(H482&gt;=D482-0.02,H482&lt;=E482+0.02),"yes","no"))</f>
        <v>no</v>
      </c>
    </row>
    <row r="483" customFormat="false" ht="15" hidden="false" customHeight="false" outlineLevel="0" collapsed="false">
      <c r="A483" s="9" t="n">
        <v>44476</v>
      </c>
      <c r="B483" s="10" t="n">
        <v>17790.35</v>
      </c>
      <c r="C483" s="11" t="n">
        <v>22.1817</v>
      </c>
      <c r="D483" s="11" t="n">
        <v>22.0537</v>
      </c>
      <c r="E483" s="11" t="n">
        <v>22.3096</v>
      </c>
      <c r="F483" s="12" t="n">
        <f aca="false">IF(C483="","",B483/C483)</f>
        <v>802.02824851116</v>
      </c>
      <c r="G483" s="12" t="n">
        <f aca="false">MEDIAN(F473:F493)</f>
        <v>802.643963378112</v>
      </c>
      <c r="H483" s="13" t="n">
        <f aca="false">B483/G483</f>
        <v>22.1646842332498</v>
      </c>
      <c r="I483" s="14" t="n">
        <f aca="false">B483/Summary!$C$8*100</f>
        <v>178.27609704282</v>
      </c>
      <c r="J483" s="14" t="n">
        <f aca="false">G483/Summary!$E$8*100</f>
        <v>136.414015935973</v>
      </c>
      <c r="K483" s="15" t="n">
        <f aca="false">Summary!$D$9</f>
        <v>16.9374488591431</v>
      </c>
      <c r="L483" s="16" t="str">
        <f aca="false">IF(OR(D483="",E483=""),"edge hidden",IF(AND(H483&gt;=D483-0.02,H483&lt;=E483+0.02),"yes","no"))</f>
        <v>yes</v>
      </c>
    </row>
    <row r="484" customFormat="false" ht="15" hidden="false" customHeight="false" outlineLevel="0" collapsed="false">
      <c r="A484" s="9" t="n">
        <v>44477</v>
      </c>
      <c r="B484" s="10" t="n">
        <v>17895.2</v>
      </c>
      <c r="C484" s="11" t="n">
        <v>22.2722</v>
      </c>
      <c r="D484" s="11" t="n">
        <v>22.1088</v>
      </c>
      <c r="E484" s="11" t="n">
        <v>22.4356</v>
      </c>
      <c r="F484" s="12" t="n">
        <f aca="false">IF(C484="","",B484/C484)</f>
        <v>803.47698027137</v>
      </c>
      <c r="G484" s="12" t="n">
        <f aca="false">MEDIAN(F474:F494)</f>
        <v>803.47698027137</v>
      </c>
      <c r="H484" s="13" t="n">
        <f aca="false">B484/G484</f>
        <v>22.2722</v>
      </c>
      <c r="I484" s="14" t="n">
        <f aca="false">B484/Summary!$C$8*100</f>
        <v>179.326792997365</v>
      </c>
      <c r="J484" s="14" t="n">
        <f aca="false">G484/Summary!$E$8*100</f>
        <v>136.555592008225</v>
      </c>
      <c r="K484" s="15" t="n">
        <f aca="false">Summary!$D$9</f>
        <v>16.9374488591431</v>
      </c>
      <c r="L484" s="16" t="str">
        <f aca="false">IF(OR(D484="",E484=""),"edge hidden",IF(AND(H484&gt;=D484-0.02,H484&lt;=E484+0.02),"yes","no"))</f>
        <v>yes</v>
      </c>
    </row>
    <row r="485" customFormat="false" ht="15" hidden="false" customHeight="false" outlineLevel="0" collapsed="false">
      <c r="A485" s="9" t="n">
        <v>44480</v>
      </c>
      <c r="B485" s="10" t="n">
        <v>17945.95</v>
      </c>
      <c r="C485" s="11" t="n">
        <v>22.5675</v>
      </c>
      <c r="D485" s="11" t="n">
        <v>22.2978</v>
      </c>
      <c r="E485" s="11" t="n">
        <v>22.8372</v>
      </c>
      <c r="F485" s="12" t="n">
        <f aca="false">IF(C485="","",B485/C485)</f>
        <v>795.212141353717</v>
      </c>
      <c r="G485" s="12" t="n">
        <f aca="false">MEDIAN(F475:F495)</f>
        <v>803.47698027137</v>
      </c>
      <c r="H485" s="13" t="n">
        <f aca="false">B485/G485</f>
        <v>22.3353629794582</v>
      </c>
      <c r="I485" s="14" t="n">
        <f aca="false">B485/Summary!$C$8*100</f>
        <v>179.835355893818</v>
      </c>
      <c r="J485" s="14" t="n">
        <f aca="false">G485/Summary!$E$8*100</f>
        <v>136.555592008225</v>
      </c>
      <c r="K485" s="15" t="n">
        <f aca="false">Summary!$D$9</f>
        <v>16.9374488591431</v>
      </c>
      <c r="L485" s="16" t="str">
        <f aca="false">IF(OR(D485="",E485=""),"edge hidden",IF(AND(H485&gt;=D485-0.02,H485&lt;=E485+0.02),"yes","no"))</f>
        <v>yes</v>
      </c>
    </row>
    <row r="486" customFormat="false" ht="15" hidden="false" customHeight="false" outlineLevel="0" collapsed="false">
      <c r="A486" s="9" t="n">
        <v>44481</v>
      </c>
      <c r="B486" s="10" t="n">
        <v>17991.95</v>
      </c>
      <c r="C486" s="11" t="n">
        <v>22.5793</v>
      </c>
      <c r="D486" s="11" t="n">
        <v>22.3136</v>
      </c>
      <c r="E486" s="11" t="n">
        <v>22.8451</v>
      </c>
      <c r="F486" s="12" t="n">
        <f aca="false">IF(C486="","",B486/C486)</f>
        <v>796.833825672187</v>
      </c>
      <c r="G486" s="12" t="n">
        <f aca="false">MEDIAN(F476:F496)</f>
        <v>803.47698027137</v>
      </c>
      <c r="H486" s="13" t="n">
        <f aca="false">B486/G486</f>
        <v>22.3926141529572</v>
      </c>
      <c r="I486" s="14" t="n">
        <f aca="false">B486/Summary!$C$8*100</f>
        <v>180.296319307352</v>
      </c>
      <c r="J486" s="14" t="n">
        <f aca="false">G486/Summary!$E$8*100</f>
        <v>136.555592008225</v>
      </c>
      <c r="K486" s="15" t="n">
        <f aca="false">Summary!$D$9</f>
        <v>16.9374488591431</v>
      </c>
      <c r="L486" s="16" t="str">
        <f aca="false">IF(OR(D486="",E486=""),"edge hidden",IF(AND(H486&gt;=D486-0.02,H486&lt;=E486+0.02),"yes","no"))</f>
        <v>yes</v>
      </c>
    </row>
    <row r="487" customFormat="false" ht="15" hidden="false" customHeight="false" outlineLevel="0" collapsed="false">
      <c r="A487" s="9" t="n">
        <v>44482</v>
      </c>
      <c r="B487" s="10" t="n">
        <v>18161.75</v>
      </c>
      <c r="C487" s="11" t="n">
        <v>22.5911</v>
      </c>
      <c r="D487" s="11" t="n">
        <v>22.3293</v>
      </c>
      <c r="E487" s="11" t="n">
        <v>22.8529</v>
      </c>
      <c r="F487" s="12" t="n">
        <f aca="false">IF(C487="","",B487/C487)</f>
        <v>803.933850055995</v>
      </c>
      <c r="G487" s="12" t="n">
        <f aca="false">MEDIAN(F477:F497)</f>
        <v>803.933850055995</v>
      </c>
      <c r="H487" s="13" t="n">
        <f aca="false">B487/G487</f>
        <v>22.5911</v>
      </c>
      <c r="I487" s="14" t="n">
        <f aca="false">B487/Summary!$C$8*100</f>
        <v>181.99787555992</v>
      </c>
      <c r="J487" s="14" t="n">
        <f aca="false">G487/Summary!$E$8*100</f>
        <v>136.633239688796</v>
      </c>
      <c r="K487" s="15" t="n">
        <f aca="false">Summary!$D$9</f>
        <v>16.9374488591431</v>
      </c>
      <c r="L487" s="16" t="str">
        <f aca="false">IF(OR(D487="",E487=""),"edge hidden",IF(AND(H487&gt;=D487-0.02,H487&lt;=E487+0.02),"yes","no"))</f>
        <v>yes</v>
      </c>
    </row>
    <row r="488" customFormat="false" ht="15" hidden="false" customHeight="false" outlineLevel="0" collapsed="false">
      <c r="A488" s="9" t="n">
        <v>44483</v>
      </c>
      <c r="B488" s="10" t="n">
        <v>18338.55</v>
      </c>
      <c r="C488" s="11" t="n">
        <v>22.6974</v>
      </c>
      <c r="D488" s="11" t="n">
        <v>22.4474</v>
      </c>
      <c r="E488" s="11" t="n">
        <v>22.9474</v>
      </c>
      <c r="F488" s="12" t="n">
        <f aca="false">IF(C488="","",B488/C488)</f>
        <v>807.958180232097</v>
      </c>
      <c r="G488" s="12" t="n">
        <f aca="false">MEDIAN(F478:F498)</f>
        <v>803.933850055995</v>
      </c>
      <c r="H488" s="13" t="n">
        <f aca="false">B488/G488</f>
        <v>22.8110185915454</v>
      </c>
      <c r="I488" s="14" t="n">
        <f aca="false">B488/Summary!$C$8*100</f>
        <v>183.769578418895</v>
      </c>
      <c r="J488" s="14" t="n">
        <f aca="false">G488/Summary!$E$8*100</f>
        <v>136.633239688796</v>
      </c>
      <c r="K488" s="15" t="n">
        <f aca="false">Summary!$D$9</f>
        <v>16.9374488591431</v>
      </c>
      <c r="L488" s="16" t="str">
        <f aca="false">IF(OR(D488="",E488=""),"edge hidden",IF(AND(H488&gt;=D488-0.02,H488&lt;=E488+0.02),"yes","no"))</f>
        <v>yes</v>
      </c>
    </row>
    <row r="489" customFormat="false" ht="15" hidden="false" customHeight="false" outlineLevel="0" collapsed="false">
      <c r="A489" s="9" t="n">
        <v>44487</v>
      </c>
      <c r="B489" s="10" t="n">
        <v>18477.05</v>
      </c>
      <c r="C489" s="11" t="n">
        <v>22.7447</v>
      </c>
      <c r="D489" s="11" t="n">
        <v>22.5183</v>
      </c>
      <c r="E489" s="11" t="n">
        <v>22.971</v>
      </c>
      <c r="F489" s="12" t="n">
        <f aca="false">IF(C489="","",B489/C489)</f>
        <v>812.367276772171</v>
      </c>
      <c r="G489" s="12" t="n">
        <f aca="false">MEDIAN(F479:F499)</f>
        <v>804.102432073721</v>
      </c>
      <c r="H489" s="13" t="n">
        <f aca="false">B489/G489</f>
        <v>22.9784779438473</v>
      </c>
      <c r="I489" s="14" t="n">
        <f aca="false">B489/Summary!$C$8*100</f>
        <v>185.157479131385</v>
      </c>
      <c r="J489" s="14" t="n">
        <f aca="false">G489/Summary!$E$8*100</f>
        <v>136.66189118448</v>
      </c>
      <c r="K489" s="15" t="n">
        <f aca="false">Summary!$D$9</f>
        <v>16.9374488591431</v>
      </c>
      <c r="L489" s="16" t="str">
        <f aca="false">IF(OR(D489="",E489=""),"edge hidden",IF(AND(H489&gt;=D489-0.02,H489&lt;=E489+0.02),"yes","no"))</f>
        <v>yes</v>
      </c>
    </row>
    <row r="490" customFormat="false" ht="15" hidden="false" customHeight="false" outlineLevel="0" collapsed="false">
      <c r="A490" s="9" t="n">
        <v>44488</v>
      </c>
      <c r="B490" s="10" t="n">
        <v>18418.75</v>
      </c>
      <c r="C490" s="11" t="n">
        <v>22.7132</v>
      </c>
      <c r="D490" s="11" t="n">
        <v>22.4632</v>
      </c>
      <c r="E490" s="11" t="n">
        <v>22.9632</v>
      </c>
      <c r="F490" s="12" t="n">
        <f aca="false">IF(C490="","",B490/C490)</f>
        <v>810.927126076467</v>
      </c>
      <c r="G490" s="12" t="n">
        <f aca="false">MEDIAN(F480:F500)</f>
        <v>804.926520809923</v>
      </c>
      <c r="H490" s="13" t="n">
        <f aca="false">B490/G490</f>
        <v>22.8825234649579</v>
      </c>
      <c r="I490" s="14" t="n">
        <f aca="false">B490/Summary!$C$8*100</f>
        <v>184.573258109449</v>
      </c>
      <c r="J490" s="14" t="n">
        <f aca="false">G490/Summary!$E$8*100</f>
        <v>136.801949864445</v>
      </c>
      <c r="K490" s="15" t="n">
        <f aca="false">Summary!$D$9</f>
        <v>16.9374488591431</v>
      </c>
      <c r="L490" s="16" t="str">
        <f aca="false">IF(OR(D490="",E490=""),"edge hidden",IF(AND(H490&gt;=D490-0.02,H490&lt;=E490+0.02),"yes","no"))</f>
        <v>yes</v>
      </c>
    </row>
    <row r="491" customFormat="false" ht="15" hidden="false" customHeight="false" outlineLevel="0" collapsed="false">
      <c r="A491" s="9" t="n">
        <v>44489</v>
      </c>
      <c r="B491" s="10" t="n">
        <v>18266.6</v>
      </c>
      <c r="C491" s="11" t="n">
        <v>22.6935</v>
      </c>
      <c r="D491" s="11" t="n">
        <v>22.4317</v>
      </c>
      <c r="E491" s="11" t="n">
        <v>22.9553</v>
      </c>
      <c r="F491" s="12" t="n">
        <f aca="false">IF(C491="","",B491/C491)</f>
        <v>804.926520809923</v>
      </c>
      <c r="G491" s="12" t="n">
        <f aca="false">MEDIAN(F481:F501)</f>
        <v>805.040111299823</v>
      </c>
      <c r="H491" s="13" t="n">
        <f aca="false">B491/G491</f>
        <v>22.6902979660313</v>
      </c>
      <c r="I491" s="14" t="n">
        <f aca="false">B491/Summary!$C$8*100</f>
        <v>183.048571514465</v>
      </c>
      <c r="J491" s="14" t="n">
        <f aca="false">G491/Summary!$E$8*100</f>
        <v>136.821255229721</v>
      </c>
      <c r="K491" s="15" t="n">
        <f aca="false">Summary!$D$9</f>
        <v>16.9374488591431</v>
      </c>
      <c r="L491" s="16" t="str">
        <f aca="false">IF(OR(D491="",E491=""),"edge hidden",IF(AND(H491&gt;=D491-0.02,H491&lt;=E491+0.02),"yes","no"))</f>
        <v>yes</v>
      </c>
    </row>
    <row r="492" customFormat="false" ht="15" hidden="false" customHeight="false" outlineLevel="0" collapsed="false">
      <c r="A492" s="9" t="n">
        <v>44490</v>
      </c>
      <c r="B492" s="10" t="n">
        <v>18178.1</v>
      </c>
      <c r="C492" s="11" t="n">
        <v>22.6738</v>
      </c>
      <c r="D492" s="11" t="n">
        <v>22.408</v>
      </c>
      <c r="E492" s="11" t="n">
        <v>22.9395</v>
      </c>
      <c r="F492" s="12" t="n">
        <f aca="false">IF(C492="","",B492/C492)</f>
        <v>801.722693152449</v>
      </c>
      <c r="G492" s="12" t="n">
        <f aca="false">MEDIAN(F482:F502)</f>
        <v>806.906757642168</v>
      </c>
      <c r="H492" s="13" t="n">
        <f aca="false">B492/G492</f>
        <v>22.5281295860225</v>
      </c>
      <c r="I492" s="14" t="n">
        <f aca="false">B492/Summary!$C$8*100</f>
        <v>182.1617179906</v>
      </c>
      <c r="J492" s="14" t="n">
        <f aca="false">G492/Summary!$E$8*100</f>
        <v>137.138502646396</v>
      </c>
      <c r="K492" s="15" t="n">
        <f aca="false">Summary!$D$9</f>
        <v>16.9374488591431</v>
      </c>
      <c r="L492" s="16" t="str">
        <f aca="false">IF(OR(D492="",E492=""),"edge hidden",IF(AND(H492&gt;=D492-0.02,H492&lt;=E492+0.02),"yes","no"))</f>
        <v>yes</v>
      </c>
    </row>
    <row r="493" customFormat="false" ht="15" hidden="false" customHeight="false" outlineLevel="0" collapsed="false">
      <c r="A493" s="9" t="n">
        <v>44491</v>
      </c>
      <c r="B493" s="10" t="n">
        <v>18114.9</v>
      </c>
      <c r="C493" s="11" t="n">
        <v>22.5281</v>
      </c>
      <c r="D493" s="11" t="n">
        <v>22.3765</v>
      </c>
      <c r="E493" s="11" t="n">
        <v>22.6797</v>
      </c>
      <c r="F493" s="12" t="n">
        <f aca="false">IF(C493="","",B493/C493)</f>
        <v>804.102432073721</v>
      </c>
      <c r="G493" s="12" t="n">
        <f aca="false">MEDIAN(F483:F503)</f>
        <v>807.958180232097</v>
      </c>
      <c r="H493" s="13" t="n">
        <f aca="false">B493/G493</f>
        <v>22.420591118709</v>
      </c>
      <c r="I493" s="14" t="n">
        <f aca="false">B493/Summary!$C$8*100</f>
        <v>181.528394344179</v>
      </c>
      <c r="J493" s="14" t="n">
        <f aca="false">G493/Summary!$E$8*100</f>
        <v>137.317198038727</v>
      </c>
      <c r="K493" s="15" t="n">
        <f aca="false">Summary!$D$9</f>
        <v>16.9374488591431</v>
      </c>
      <c r="L493" s="16" t="str">
        <f aca="false">IF(OR(D493="",E493=""),"edge hidden",IF(AND(H493&gt;=D493-0.02,H493&lt;=E493+0.02),"yes","no"))</f>
        <v>yes</v>
      </c>
    </row>
    <row r="494" customFormat="false" ht="15" hidden="false" customHeight="false" outlineLevel="0" collapsed="false">
      <c r="A494" s="9" t="n">
        <v>44494</v>
      </c>
      <c r="B494" s="10" t="n">
        <v>18125.4</v>
      </c>
      <c r="C494" s="11" t="n">
        <v>22.1817</v>
      </c>
      <c r="D494" s="11" t="n">
        <v>21.8175</v>
      </c>
      <c r="E494" s="11" t="n">
        <v>22.5458</v>
      </c>
      <c r="F494" s="12" t="n">
        <f aca="false">IF(C494="","",B494/C494)</f>
        <v>817.133042102274</v>
      </c>
      <c r="G494" s="12" t="n">
        <f aca="false">MEDIAN(F484:F504)</f>
        <v>809.961657974596</v>
      </c>
      <c r="H494" s="13" t="n">
        <f aca="false">B494/G494</f>
        <v>22.3780963228861</v>
      </c>
      <c r="I494" s="14" t="n">
        <f aca="false">B494/Summary!$C$8*100</f>
        <v>181.63361425379</v>
      </c>
      <c r="J494" s="14" t="n">
        <f aca="false">G494/Summary!$E$8*100</f>
        <v>137.657700748724</v>
      </c>
      <c r="K494" s="15" t="n">
        <f aca="false">Summary!$D$9</f>
        <v>16.9374488591431</v>
      </c>
      <c r="L494" s="16" t="str">
        <f aca="false">IF(OR(D494="",E494=""),"edge hidden",IF(AND(H494&gt;=D494-0.02,H494&lt;=E494+0.02),"yes","no"))</f>
        <v>yes</v>
      </c>
    </row>
    <row r="495" customFormat="false" ht="15" hidden="false" customHeight="false" outlineLevel="0" collapsed="false">
      <c r="A495" s="9" t="n">
        <v>44495</v>
      </c>
      <c r="B495" s="10" t="n">
        <v>18268.4</v>
      </c>
      <c r="C495" s="11" t="n">
        <v>22.1502</v>
      </c>
      <c r="D495" s="11" t="n">
        <v>21.7624</v>
      </c>
      <c r="E495" s="11" t="n">
        <v>22.538</v>
      </c>
      <c r="F495" s="12" t="n">
        <f aca="false">IF(C495="","",B495/C495)</f>
        <v>824.751018049498</v>
      </c>
      <c r="G495" s="12" t="n">
        <f aca="false">MEDIAN(F485:F505)</f>
        <v>810.927126076467</v>
      </c>
      <c r="H495" s="13" t="n">
        <f aca="false">B495/G495</f>
        <v>22.5277949307092</v>
      </c>
      <c r="I495" s="14" t="n">
        <f aca="false">B495/Summary!$C$8*100</f>
        <v>183.066609213256</v>
      </c>
      <c r="J495" s="14" t="n">
        <f aca="false">G495/Summary!$E$8*100</f>
        <v>137.821787675236</v>
      </c>
      <c r="K495" s="15" t="n">
        <f aca="false">Summary!$D$9</f>
        <v>16.9374488591431</v>
      </c>
      <c r="L495" s="16" t="str">
        <f aca="false">IF(OR(D495="",E495=""),"edge hidden",IF(AND(H495&gt;=D495-0.02,H495&lt;=E495+0.02),"yes","no"))</f>
        <v>yes</v>
      </c>
    </row>
    <row r="496" customFormat="false" ht="15" hidden="false" customHeight="false" outlineLevel="0" collapsed="false">
      <c r="A496" s="9" t="n">
        <v>44496</v>
      </c>
      <c r="B496" s="10" t="n">
        <v>18210.95</v>
      </c>
      <c r="C496" s="11" t="n">
        <v>22.1344</v>
      </c>
      <c r="D496" s="11" t="n">
        <v>21.7466</v>
      </c>
      <c r="E496" s="11" t="n">
        <v>22.5222</v>
      </c>
      <c r="F496" s="12" t="n">
        <f aca="false">IF(C496="","",B496/C496)</f>
        <v>822.74423521758</v>
      </c>
      <c r="G496" s="12" t="n">
        <f aca="false">MEDIAN(F486:F506)</f>
        <v>810.927126076467</v>
      </c>
      <c r="H496" s="13" t="n">
        <f aca="false">B496/G496</f>
        <v>22.4569500937903</v>
      </c>
      <c r="I496" s="14" t="n">
        <f aca="false">B496/Summary!$C$8*100</f>
        <v>182.490905993526</v>
      </c>
      <c r="J496" s="14" t="n">
        <f aca="false">G496/Summary!$E$8*100</f>
        <v>137.821787675236</v>
      </c>
      <c r="K496" s="15" t="n">
        <f aca="false">Summary!$D$9</f>
        <v>16.9374488591431</v>
      </c>
      <c r="L496" s="16" t="str">
        <f aca="false">IF(OR(D496="",E496=""),"edge hidden",IF(AND(H496&gt;=D496-0.02,H496&lt;=E496+0.02),"yes","no"))</f>
        <v>yes</v>
      </c>
    </row>
    <row r="497" customFormat="false" ht="15" hidden="false" customHeight="false" outlineLevel="0" collapsed="false">
      <c r="A497" s="9" t="n">
        <v>44497</v>
      </c>
      <c r="B497" s="10" t="n">
        <v>17857.25</v>
      </c>
      <c r="C497" s="11" t="n">
        <v>22.1305</v>
      </c>
      <c r="D497" s="11" t="n">
        <v>21.7545</v>
      </c>
      <c r="E497" s="11" t="n">
        <v>22.5065</v>
      </c>
      <c r="F497" s="12" t="n">
        <f aca="false">IF(C497="","",B497/C497)</f>
        <v>806.906757642168</v>
      </c>
      <c r="G497" s="12" t="n">
        <f aca="false">MEDIAN(F487:F507)</f>
        <v>811.765452123563</v>
      </c>
      <c r="H497" s="13" t="n">
        <f aca="false">B497/G497</f>
        <v>21.9980413717851</v>
      </c>
      <c r="I497" s="14" t="n">
        <f aca="false">B497/Summary!$C$8*100</f>
        <v>178.946498181199</v>
      </c>
      <c r="J497" s="14" t="n">
        <f aca="false">G497/Summary!$E$8*100</f>
        <v>137.964266069101</v>
      </c>
      <c r="K497" s="15" t="n">
        <f aca="false">Summary!$D$9</f>
        <v>16.9374488591431</v>
      </c>
      <c r="L497" s="16" t="str">
        <f aca="false">IF(OR(D497="",E497=""),"edge hidden",IF(AND(H497&gt;=D497-0.02,H497&lt;=E497+0.02),"yes","no"))</f>
        <v>yes</v>
      </c>
    </row>
    <row r="498" customFormat="false" ht="15" hidden="false" customHeight="false" outlineLevel="0" collapsed="false">
      <c r="A498" s="9" t="n">
        <v>44498</v>
      </c>
      <c r="B498" s="10" t="n">
        <v>17671.65</v>
      </c>
      <c r="C498" s="11" t="n">
        <v>22.1147</v>
      </c>
      <c r="D498" s="11" t="n">
        <v>21.7388</v>
      </c>
      <c r="E498" s="11" t="n">
        <v>22.4907</v>
      </c>
      <c r="F498" s="12" t="n">
        <f aca="false">IF(C498="","",B498/C498)</f>
        <v>799.09065011056</v>
      </c>
      <c r="G498" s="12" t="n">
        <f aca="false">MEDIAN(F488:F508)</f>
        <v>812.367276772171</v>
      </c>
      <c r="H498" s="13" t="n">
        <f aca="false">B498/G498</f>
        <v>21.7532765108608</v>
      </c>
      <c r="I498" s="14" t="n">
        <f aca="false">B498/Summary!$C$8*100</f>
        <v>177.086611017026</v>
      </c>
      <c r="J498" s="14" t="n">
        <f aca="false">G498/Summary!$E$8*100</f>
        <v>138.06654967298</v>
      </c>
      <c r="K498" s="15" t="n">
        <f aca="false">Summary!$D$9</f>
        <v>16.9374488591431</v>
      </c>
      <c r="L498" s="16" t="str">
        <f aca="false">IF(OR(D498="",E498=""),"edge hidden",IF(AND(H498&gt;=D498-0.02,H498&lt;=E498+0.02),"yes","no"))</f>
        <v>yes</v>
      </c>
    </row>
    <row r="499" customFormat="false" ht="15" hidden="false" customHeight="false" outlineLevel="0" collapsed="false">
      <c r="A499" s="9" t="n">
        <v>44501</v>
      </c>
      <c r="B499" s="10" t="n">
        <v>17929.65</v>
      </c>
      <c r="C499" s="11" t="n">
        <v>21.9297</v>
      </c>
      <c r="D499" s="11" t="n">
        <v>21.7388</v>
      </c>
      <c r="E499" s="11" t="n">
        <v>22.1206</v>
      </c>
      <c r="F499" s="12" t="n">
        <f aca="false">IF(C499="","",B499/C499)</f>
        <v>817.596683949165</v>
      </c>
      <c r="G499" s="12" t="n">
        <f aca="false">MEDIAN(F489:F509)</f>
        <v>814.715379395463</v>
      </c>
      <c r="H499" s="13" t="n">
        <f aca="false">B499/G499</f>
        <v>22.0072560963612</v>
      </c>
      <c r="I499" s="14" t="n">
        <f aca="false">B499/Summary!$C$8*100</f>
        <v>179.672014510327</v>
      </c>
      <c r="J499" s="14" t="n">
        <f aca="false">G499/Summary!$E$8*100</f>
        <v>138.46562338846</v>
      </c>
      <c r="K499" s="15" t="n">
        <f aca="false">Summary!$D$9</f>
        <v>16.9374488591431</v>
      </c>
      <c r="L499" s="16" t="str">
        <f aca="false">IF(OR(D499="",E499=""),"edge hidden",IF(AND(H499&gt;=D499-0.02,H499&lt;=E499+0.02),"yes","no"))</f>
        <v>yes</v>
      </c>
    </row>
    <row r="500" customFormat="false" ht="15" hidden="false" customHeight="false" outlineLevel="0" collapsed="false">
      <c r="A500" s="9" t="n">
        <v>44502</v>
      </c>
      <c r="B500" s="10" t="n">
        <v>17888.95</v>
      </c>
      <c r="C500" s="11" t="n">
        <v>21.9573</v>
      </c>
      <c r="D500" s="11" t="n">
        <v>21.8017</v>
      </c>
      <c r="E500" s="11" t="n">
        <v>22.1128</v>
      </c>
      <c r="F500" s="12" t="n">
        <f aca="false">IF(C500="","",B500/C500)</f>
        <v>814.715379395463</v>
      </c>
      <c r="G500" s="12" t="n">
        <f aca="false">MEDIAN(F490:F510)</f>
        <v>817.133042102274</v>
      </c>
      <c r="H500" s="13" t="n">
        <f aca="false">B500/G500</f>
        <v>21.8923346362011</v>
      </c>
      <c r="I500" s="14" t="n">
        <f aca="false">B500/Summary!$C$8*100</f>
        <v>179.264162098786</v>
      </c>
      <c r="J500" s="14" t="n">
        <f aca="false">G500/Summary!$E$8*100</f>
        <v>138.876519245232</v>
      </c>
      <c r="K500" s="15" t="n">
        <f aca="false">Summary!$D$9</f>
        <v>16.9374488591431</v>
      </c>
      <c r="L500" s="16" t="str">
        <f aca="false">IF(OR(D500="",E500=""),"edge hidden",IF(AND(H500&gt;=D500-0.02,H500&lt;=E500+0.02),"yes","no"))</f>
        <v>yes</v>
      </c>
    </row>
    <row r="501" customFormat="false" ht="15" hidden="false" customHeight="false" outlineLevel="0" collapsed="false">
      <c r="A501" s="9" t="n">
        <v>44503</v>
      </c>
      <c r="B501" s="10" t="n">
        <v>17829.2</v>
      </c>
      <c r="C501" s="11" t="n">
        <v>22.0124</v>
      </c>
      <c r="D501" s="11" t="n">
        <v>21.9041</v>
      </c>
      <c r="E501" s="11" t="n">
        <v>22.1206</v>
      </c>
      <c r="F501" s="12" t="n">
        <f aca="false">IF(C501="","",B501/C501)</f>
        <v>809.961657974596</v>
      </c>
      <c r="G501" s="12" t="n">
        <f aca="false">MEDIAN(F491:F511)</f>
        <v>817.33268613993</v>
      </c>
      <c r="H501" s="13" t="n">
        <f aca="false">B501/G501</f>
        <v>21.8138835046511</v>
      </c>
      <c r="I501" s="14" t="n">
        <f aca="false">B501/Summary!$C$8*100</f>
        <v>178.665410708381</v>
      </c>
      <c r="J501" s="14" t="n">
        <f aca="false">G501/Summary!$E$8*100</f>
        <v>138.910449912099</v>
      </c>
      <c r="K501" s="15" t="n">
        <f aca="false">Summary!$D$9</f>
        <v>16.9374488591431</v>
      </c>
      <c r="L501" s="16" t="str">
        <f aca="false">IF(OR(D501="",E501=""),"edge hidden",IF(AND(H501&gt;=D501-0.02,H501&lt;=E501+0.02),"yes","no"))</f>
        <v>no</v>
      </c>
    </row>
    <row r="502" customFormat="false" ht="15" hidden="false" customHeight="false" outlineLevel="0" collapsed="false">
      <c r="A502" s="9" t="n">
        <v>44504</v>
      </c>
      <c r="B502" s="10" t="n">
        <v>17916.8</v>
      </c>
      <c r="C502" s="11" t="n">
        <v>22.0714</v>
      </c>
      <c r="D502" s="11" t="n">
        <v>22.0143</v>
      </c>
      <c r="E502" s="11" t="n">
        <v>22.1285</v>
      </c>
      <c r="F502" s="12" t="n">
        <f aca="false">IF(C502="","",B502/C502)</f>
        <v>811.765452123563</v>
      </c>
      <c r="G502" s="12" t="n">
        <f aca="false">MEDIAN(F492:F512)</f>
        <v>817.596683949165</v>
      </c>
      <c r="H502" s="13" t="n">
        <f aca="false">B502/G502</f>
        <v>21.913983204357</v>
      </c>
      <c r="I502" s="14" t="n">
        <f aca="false">B502/Summary!$C$8*100</f>
        <v>179.54324538285</v>
      </c>
      <c r="J502" s="14" t="n">
        <f aca="false">G502/Summary!$E$8*100</f>
        <v>138.955317877223</v>
      </c>
      <c r="K502" s="15" t="n">
        <f aca="false">Summary!$D$9</f>
        <v>16.9374488591431</v>
      </c>
      <c r="L502" s="16" t="str">
        <f aca="false">IF(OR(D502="",E502=""),"edge hidden",IF(AND(H502&gt;=D502-0.02,H502&lt;=E502+0.02),"yes","no"))</f>
        <v>no</v>
      </c>
    </row>
    <row r="503" customFormat="false" ht="15" hidden="false" customHeight="false" outlineLevel="0" collapsed="false">
      <c r="A503" s="9" t="n">
        <v>44508</v>
      </c>
      <c r="B503" s="10" t="n">
        <v>18068.55</v>
      </c>
      <c r="C503" s="11" t="n">
        <v>22.0478</v>
      </c>
      <c r="D503" s="11" t="n">
        <v>21.9199</v>
      </c>
      <c r="E503" s="11" t="n">
        <v>22.1758</v>
      </c>
      <c r="F503" s="12" t="n">
        <f aca="false">IF(C503="","",B503/C503)</f>
        <v>819.517140032112</v>
      </c>
      <c r="G503" s="12" t="n">
        <f aca="false">MEDIAN(F493:F513)</f>
        <v>818.388613023877</v>
      </c>
      <c r="H503" s="13" t="n">
        <f aca="false">B503/G503</f>
        <v>22.0782030840315</v>
      </c>
      <c r="I503" s="14" t="n">
        <f aca="false">B503/Summary!$C$8*100</f>
        <v>181.063923600325</v>
      </c>
      <c r="J503" s="14" t="n">
        <f aca="false">G503/Summary!$E$8*100</f>
        <v>139.08991083543</v>
      </c>
      <c r="K503" s="15" t="n">
        <f aca="false">Summary!$D$9</f>
        <v>16.9374488591431</v>
      </c>
      <c r="L503" s="16" t="str">
        <f aca="false">IF(OR(D503="",E503=""),"edge hidden",IF(AND(H503&gt;=D503-0.02,H503&lt;=E503+0.02),"yes","no"))</f>
        <v>yes</v>
      </c>
    </row>
    <row r="504" customFormat="false" ht="15" hidden="false" customHeight="false" outlineLevel="0" collapsed="false">
      <c r="A504" s="9" t="n">
        <v>44509</v>
      </c>
      <c r="B504" s="10" t="n">
        <v>18044.25</v>
      </c>
      <c r="C504" s="11" t="n">
        <v>22.0478</v>
      </c>
      <c r="D504" s="11" t="n">
        <v>21.9199</v>
      </c>
      <c r="E504" s="11" t="n">
        <v>22.1758</v>
      </c>
      <c r="F504" s="12" t="n">
        <f aca="false">IF(C504="","",B504/C504)</f>
        <v>818.414989250628</v>
      </c>
      <c r="G504" s="12" t="n">
        <f aca="false">MEDIAN(F494:F514)</f>
        <v>818.414989250628</v>
      </c>
      <c r="H504" s="13" t="n">
        <f aca="false">B504/G504</f>
        <v>22.0478</v>
      </c>
      <c r="I504" s="14" t="n">
        <f aca="false">B504/Summary!$C$8*100</f>
        <v>180.820414666653</v>
      </c>
      <c r="J504" s="14" t="n">
        <f aca="false">G504/Summary!$E$8*100</f>
        <v>139.094393628774</v>
      </c>
      <c r="K504" s="15" t="n">
        <f aca="false">Summary!$D$9</f>
        <v>16.9374488591431</v>
      </c>
      <c r="L504" s="16" t="str">
        <f aca="false">IF(OR(D504="",E504=""),"edge hidden",IF(AND(H504&gt;=D504-0.02,H504&lt;=E504+0.02),"yes","no"))</f>
        <v>yes</v>
      </c>
    </row>
    <row r="505" customFormat="false" ht="15" hidden="false" customHeight="false" outlineLevel="0" collapsed="false">
      <c r="A505" s="9" t="n">
        <v>44510</v>
      </c>
      <c r="B505" s="10" t="n">
        <v>18017.2</v>
      </c>
      <c r="C505" s="11" t="n">
        <v>22.0439</v>
      </c>
      <c r="D505" s="11" t="n">
        <v>21.912</v>
      </c>
      <c r="E505" s="11" t="n">
        <v>22.1758</v>
      </c>
      <c r="F505" s="12" t="n">
        <f aca="false">IF(C505="","",B505/C505)</f>
        <v>817.33268613993</v>
      </c>
      <c r="G505" s="12" t="n">
        <f aca="false">MEDIAN(F495:F515)</f>
        <v>819.517140032112</v>
      </c>
      <c r="H505" s="13" t="n">
        <f aca="false">B505/G505</f>
        <v>21.985141151891</v>
      </c>
      <c r="I505" s="14" t="n">
        <f aca="false">B505/Summary!$C$8*100</f>
        <v>180.549348137608</v>
      </c>
      <c r="J505" s="14" t="n">
        <f aca="false">G505/Summary!$E$8*100</f>
        <v>139.281710572686</v>
      </c>
      <c r="K505" s="15" t="n">
        <f aca="false">Summary!$D$9</f>
        <v>16.9374488591431</v>
      </c>
      <c r="L505" s="16" t="str">
        <f aca="false">IF(OR(D505="",E505=""),"edge hidden",IF(AND(H505&gt;=D505-0.02,H505&lt;=E505+0.02),"yes","no"))</f>
        <v>yes</v>
      </c>
    </row>
    <row r="506" customFormat="false" ht="15" hidden="false" customHeight="false" outlineLevel="0" collapsed="false">
      <c r="A506" s="9" t="n">
        <v>44511</v>
      </c>
      <c r="B506" s="10" t="n">
        <v>17873.6</v>
      </c>
      <c r="C506" s="11" t="n">
        <v>22.0439</v>
      </c>
      <c r="D506" s="11" t="n">
        <v>21.912</v>
      </c>
      <c r="E506" s="11" t="n">
        <v>22.1758</v>
      </c>
      <c r="F506" s="12" t="n">
        <f aca="false">IF(C506="","",B506/C506)</f>
        <v>810.818412349902</v>
      </c>
      <c r="G506" s="12" t="n">
        <f aca="false">MEDIAN(F496:F516)</f>
        <v>818.414989250628</v>
      </c>
      <c r="H506" s="13" t="n">
        <f aca="false">B506/G506</f>
        <v>21.839287201186</v>
      </c>
      <c r="I506" s="14" t="n">
        <f aca="false">B506/Summary!$C$8*100</f>
        <v>179.110340611879</v>
      </c>
      <c r="J506" s="14" t="n">
        <f aca="false">G506/Summary!$E$8*100</f>
        <v>139.094393628774</v>
      </c>
      <c r="K506" s="15" t="n">
        <f aca="false">Summary!$D$9</f>
        <v>16.9374488591431</v>
      </c>
      <c r="L506" s="16" t="str">
        <f aca="false">IF(OR(D506="",E506=""),"edge hidden",IF(AND(H506&gt;=D506-0.02,H506&lt;=E506+0.02),"yes","no"))</f>
        <v>no</v>
      </c>
    </row>
    <row r="507" customFormat="false" ht="15" hidden="false" customHeight="false" outlineLevel="0" collapsed="false">
      <c r="A507" s="9" t="n">
        <v>44512</v>
      </c>
      <c r="B507" s="10" t="n">
        <v>18102.75</v>
      </c>
      <c r="C507" s="11" t="n">
        <v>22.036</v>
      </c>
      <c r="D507" s="11" t="n">
        <v>21.9041</v>
      </c>
      <c r="E507" s="11" t="n">
        <v>22.1679</v>
      </c>
      <c r="F507" s="12" t="n">
        <f aca="false">IF(C507="","",B507/C507)</f>
        <v>821.507986930477</v>
      </c>
      <c r="G507" s="12" t="n">
        <f aca="false">MEDIAN(F497:F517)</f>
        <v>818.414989250628</v>
      </c>
      <c r="H507" s="13" t="n">
        <f aca="false">B507/G507</f>
        <v>22.1192796292448</v>
      </c>
      <c r="I507" s="14" t="n">
        <f aca="false">B507/Summary!$C$8*100</f>
        <v>181.406639877344</v>
      </c>
      <c r="J507" s="14" t="n">
        <f aca="false">G507/Summary!$E$8*100</f>
        <v>139.094393628774</v>
      </c>
      <c r="K507" s="15" t="n">
        <f aca="false">Summary!$D$9</f>
        <v>16.9374488591431</v>
      </c>
      <c r="L507" s="16" t="str">
        <f aca="false">IF(OR(D507="",E507=""),"edge hidden",IF(AND(H507&gt;=D507-0.02,H507&lt;=E507+0.02),"yes","no"))</f>
        <v>yes</v>
      </c>
    </row>
    <row r="508" customFormat="false" ht="15" hidden="false" customHeight="false" outlineLevel="0" collapsed="false">
      <c r="A508" s="9" t="n">
        <v>44515</v>
      </c>
      <c r="B508" s="10" t="n">
        <v>18109.45</v>
      </c>
      <c r="C508" s="11" t="n">
        <v>21.9139</v>
      </c>
      <c r="D508" s="11" t="n">
        <v>21.6836</v>
      </c>
      <c r="E508" s="11" t="n">
        <v>22.1443</v>
      </c>
      <c r="F508" s="12" t="n">
        <f aca="false">IF(C508="","",B508/C508)</f>
        <v>826.391012097345</v>
      </c>
      <c r="G508" s="12" t="n">
        <f aca="false">MEDIAN(F498:F518)</f>
        <v>818.414989250628</v>
      </c>
      <c r="H508" s="13" t="n">
        <f aca="false">B508/G508</f>
        <v>22.1274661850728</v>
      </c>
      <c r="I508" s="14" t="n">
        <f aca="false">B508/Summary!$C$8*100</f>
        <v>181.473780200619</v>
      </c>
      <c r="J508" s="14" t="n">
        <f aca="false">G508/Summary!$E$8*100</f>
        <v>139.094393628774</v>
      </c>
      <c r="K508" s="15" t="n">
        <f aca="false">Summary!$D$9</f>
        <v>16.9374488591431</v>
      </c>
      <c r="L508" s="16" t="str">
        <f aca="false">IF(OR(D508="",E508=""),"edge hidden",IF(AND(H508&gt;=D508-0.02,H508&lt;=E508+0.02),"yes","no"))</f>
        <v>yes</v>
      </c>
    </row>
    <row r="509" customFormat="false" ht="15" hidden="false" customHeight="false" outlineLevel="0" collapsed="false">
      <c r="A509" s="9" t="n">
        <v>44516</v>
      </c>
      <c r="B509" s="10" t="n">
        <v>17999.2</v>
      </c>
      <c r="C509" s="11" t="n">
        <v>21.8864</v>
      </c>
      <c r="D509" s="11" t="n">
        <v>21.66</v>
      </c>
      <c r="E509" s="11" t="n">
        <v>22.1128</v>
      </c>
      <c r="F509" s="12" t="n">
        <f aca="false">IF(C509="","",B509/C509)</f>
        <v>822.391987718401</v>
      </c>
      <c r="G509" s="12" t="n">
        <f aca="false">MEDIAN(F499:F519)</f>
        <v>819.444444444445</v>
      </c>
      <c r="H509" s="13" t="n">
        <f aca="false">B509/G509</f>
        <v>21.9651254237288</v>
      </c>
      <c r="I509" s="14" t="n">
        <f aca="false">B509/Summary!$C$8*100</f>
        <v>180.368971149703</v>
      </c>
      <c r="J509" s="14" t="n">
        <f aca="false">G509/Summary!$E$8*100</f>
        <v>139.269355534204</v>
      </c>
      <c r="K509" s="15" t="n">
        <f aca="false">Summary!$D$9</f>
        <v>16.9374488591431</v>
      </c>
      <c r="L509" s="16" t="str">
        <f aca="false">IF(OR(D509="",E509=""),"edge hidden",IF(AND(H509&gt;=D509-0.02,H509&lt;=E509+0.02),"yes","no"))</f>
        <v>yes</v>
      </c>
    </row>
    <row r="510" customFormat="false" ht="15" hidden="false" customHeight="false" outlineLevel="0" collapsed="false">
      <c r="A510" s="9" t="n">
        <v>44517</v>
      </c>
      <c r="B510" s="10" t="n">
        <v>17898.65</v>
      </c>
      <c r="C510" s="11" t="n">
        <v>21.8706</v>
      </c>
      <c r="D510" s="11" t="n">
        <v>21.6521</v>
      </c>
      <c r="E510" s="11" t="n">
        <v>22.0891</v>
      </c>
      <c r="F510" s="12" t="n">
        <f aca="false">IF(C510="","",B510/C510)</f>
        <v>818.388613023877</v>
      </c>
      <c r="G510" s="12" t="n">
        <f aca="false">MEDIAN(F500:F520)</f>
        <v>819.517140032112</v>
      </c>
      <c r="H510" s="13" t="n">
        <f aca="false">B510/G510</f>
        <v>21.8404827985644</v>
      </c>
      <c r="I510" s="14" t="n">
        <f aca="false">B510/Summary!$C$8*100</f>
        <v>179.36136525338</v>
      </c>
      <c r="J510" s="14" t="n">
        <f aca="false">G510/Summary!$E$8*100</f>
        <v>139.281710572686</v>
      </c>
      <c r="K510" s="15" t="n">
        <f aca="false">Summary!$D$9</f>
        <v>16.9374488591431</v>
      </c>
      <c r="L510" s="16" t="str">
        <f aca="false">IF(OR(D510="",E510=""),"edge hidden",IF(AND(H510&gt;=D510-0.02,H510&lt;=E510+0.02),"yes","no"))</f>
        <v>yes</v>
      </c>
    </row>
    <row r="511" customFormat="false" ht="15" hidden="false" customHeight="false" outlineLevel="0" collapsed="false">
      <c r="A511" s="9" t="n">
        <v>44518</v>
      </c>
      <c r="B511" s="10" t="n">
        <v>17764.8</v>
      </c>
      <c r="C511" s="11" t="n">
        <v>21.5793</v>
      </c>
      <c r="D511" s="11" t="n">
        <v>21.2269</v>
      </c>
      <c r="E511" s="11" t="n">
        <v>21.9317</v>
      </c>
      <c r="F511" s="12" t="n">
        <f aca="false">IF(C511="","",B511/C511)</f>
        <v>823.23337643019</v>
      </c>
      <c r="G511" s="12" t="n">
        <f aca="false">MEDIAN(F501:F521)</f>
        <v>821.507986930477</v>
      </c>
      <c r="H511" s="13" t="n">
        <f aca="false">B511/G511</f>
        <v>21.6246223805775</v>
      </c>
      <c r="I511" s="14" t="n">
        <f aca="false">B511/Summary!$C$8*100</f>
        <v>178.020061929433</v>
      </c>
      <c r="J511" s="14" t="n">
        <f aca="false">G511/Summary!$E$8*100</f>
        <v>139.620066597163</v>
      </c>
      <c r="K511" s="15" t="n">
        <f aca="false">Summary!$D$9</f>
        <v>16.9374488591431</v>
      </c>
      <c r="L511" s="16" t="str">
        <f aca="false">IF(OR(D511="",E511=""),"edge hidden",IF(AND(H511&gt;=D511-0.02,H511&lt;=E511+0.02),"yes","no"))</f>
        <v>yes</v>
      </c>
    </row>
    <row r="512" customFormat="false" ht="15" hidden="false" customHeight="false" outlineLevel="0" collapsed="false">
      <c r="A512" s="9" t="n">
        <v>44522</v>
      </c>
      <c r="B512" s="10" t="n">
        <v>17416.55</v>
      </c>
      <c r="C512" s="11" t="n">
        <v>21.1738</v>
      </c>
      <c r="D512" s="11" t="n">
        <v>20.723</v>
      </c>
      <c r="E512" s="11" t="n">
        <v>21.6246</v>
      </c>
      <c r="F512" s="12" t="n">
        <f aca="false">IF(C512="","",B512/C512)</f>
        <v>822.551927381953</v>
      </c>
      <c r="G512" s="12" t="n">
        <f aca="false">MEDIAN(F502:F522)</f>
        <v>821.507986930477</v>
      </c>
      <c r="H512" s="13" t="n">
        <f aca="false">B512/G512</f>
        <v>21.200706842883</v>
      </c>
      <c r="I512" s="14" t="n">
        <f aca="false">B512/Summary!$C$8*100</f>
        <v>174.530268260665</v>
      </c>
      <c r="J512" s="14" t="n">
        <f aca="false">G512/Summary!$E$8*100</f>
        <v>139.620066597163</v>
      </c>
      <c r="K512" s="15" t="n">
        <f aca="false">Summary!$D$9</f>
        <v>16.9374488591431</v>
      </c>
      <c r="L512" s="16" t="str">
        <f aca="false">IF(OR(D512="",E512=""),"edge hidden",IF(AND(H512&gt;=D512-0.02,H512&lt;=E512+0.02),"yes","no"))</f>
        <v>yes</v>
      </c>
    </row>
    <row r="513" customFormat="false" ht="15" hidden="false" customHeight="false" outlineLevel="0" collapsed="false">
      <c r="A513" s="9" t="n">
        <v>44523</v>
      </c>
      <c r="B513" s="10" t="n">
        <v>17503.35</v>
      </c>
      <c r="C513" s="11" t="n">
        <v>21.1541</v>
      </c>
      <c r="D513" s="11" t="n">
        <v>20.6994</v>
      </c>
      <c r="E513" s="11" t="n">
        <v>21.6088</v>
      </c>
      <c r="F513" s="12" t="n">
        <f aca="false">IF(C513="","",B513/C513)</f>
        <v>827.421161855149</v>
      </c>
      <c r="G513" s="12" t="n">
        <f aca="false">MEDIAN(F503:F523)</f>
        <v>822.391987718401</v>
      </c>
      <c r="H513" s="13" t="n">
        <f aca="false">B513/G513</f>
        <v>21.2834636783857</v>
      </c>
      <c r="I513" s="14" t="n">
        <f aca="false">B513/Summary!$C$8*100</f>
        <v>175.400086180116</v>
      </c>
      <c r="J513" s="14" t="n">
        <f aca="false">G513/Summary!$E$8*100</f>
        <v>139.770307679229</v>
      </c>
      <c r="K513" s="15" t="n">
        <f aca="false">Summary!$D$9</f>
        <v>16.9374488591431</v>
      </c>
      <c r="L513" s="16" t="str">
        <f aca="false">IF(OR(D513="",E513=""),"edge hidden",IF(AND(H513&gt;=D513-0.02,H513&lt;=E513+0.02),"yes","no"))</f>
        <v>yes</v>
      </c>
    </row>
    <row r="514" customFormat="false" ht="15" hidden="false" customHeight="false" outlineLevel="0" collapsed="false">
      <c r="A514" s="9" t="n">
        <v>44524</v>
      </c>
      <c r="B514" s="10" t="n">
        <v>17415.05</v>
      </c>
      <c r="C514" s="11" t="n">
        <v>21.0006</v>
      </c>
      <c r="D514" s="11" t="n">
        <v>20.6836</v>
      </c>
      <c r="E514" s="11" t="n">
        <v>21.3175</v>
      </c>
      <c r="F514" s="12" t="n">
        <f aca="false">IF(C514="","",B514/C514)</f>
        <v>829.264401969468</v>
      </c>
      <c r="G514" s="12" t="n">
        <f aca="false">MEDIAN(F504:F524)</f>
        <v>822.551927381953</v>
      </c>
      <c r="H514" s="13" t="n">
        <f aca="false">B514/G514</f>
        <v>21.1719764069233</v>
      </c>
      <c r="I514" s="14" t="n">
        <f aca="false">B514/Summary!$C$8*100</f>
        <v>174.515236845006</v>
      </c>
      <c r="J514" s="14" t="n">
        <f aca="false">G514/Summary!$E$8*100</f>
        <v>139.797490356491</v>
      </c>
      <c r="K514" s="15" t="n">
        <f aca="false">Summary!$D$9</f>
        <v>16.9374488591431</v>
      </c>
      <c r="L514" s="16" t="str">
        <f aca="false">IF(OR(D514="",E514=""),"edge hidden",IF(AND(H514&gt;=D514-0.02,H514&lt;=E514+0.02),"yes","no"))</f>
        <v>yes</v>
      </c>
    </row>
    <row r="515" customFormat="false" ht="15" hidden="false" customHeight="false" outlineLevel="0" collapsed="false">
      <c r="A515" s="9" t="n">
        <v>44525</v>
      </c>
      <c r="B515" s="10" t="n">
        <v>17536.25</v>
      </c>
      <c r="C515" s="11" t="n">
        <v>20.9848</v>
      </c>
      <c r="D515" s="11" t="n">
        <v>20.6679</v>
      </c>
      <c r="E515" s="11" t="n">
        <v>21.3017</v>
      </c>
      <c r="F515" s="12" t="n">
        <f aca="false">IF(C515="","",B515/C515)</f>
        <v>835.664385650566</v>
      </c>
      <c r="G515" s="12" t="n">
        <f aca="false">MEDIAN(F505:F525)</f>
        <v>823.23337643019</v>
      </c>
      <c r="H515" s="13" t="n">
        <f aca="false">B515/G515</f>
        <v>21.3016752018036</v>
      </c>
      <c r="I515" s="14" t="n">
        <f aca="false">B515/Summary!$C$8*100</f>
        <v>175.729775230231</v>
      </c>
      <c r="J515" s="14" t="n">
        <f aca="false">G515/Summary!$E$8*100</f>
        <v>139.913306590795</v>
      </c>
      <c r="K515" s="15" t="n">
        <f aca="false">Summary!$D$9</f>
        <v>16.9374488591431</v>
      </c>
      <c r="L515" s="16" t="str">
        <f aca="false">IF(OR(D515="",E515=""),"edge hidden",IF(AND(H515&gt;=D515-0.02,H515&lt;=E515+0.02),"yes","no"))</f>
        <v>yes</v>
      </c>
    </row>
    <row r="516" customFormat="false" ht="15" hidden="false" customHeight="false" outlineLevel="0" collapsed="false">
      <c r="A516" s="9" t="n">
        <v>44526</v>
      </c>
      <c r="B516" s="10" t="n">
        <v>17026.45</v>
      </c>
      <c r="C516" s="11" t="n">
        <v>20.9533</v>
      </c>
      <c r="D516" s="11" t="n">
        <v>20.6128</v>
      </c>
      <c r="E516" s="11" t="n">
        <v>21.2939</v>
      </c>
      <c r="F516" s="12" t="n">
        <f aca="false">IF(C516="","",B516/C516)</f>
        <v>812.590379558351</v>
      </c>
      <c r="G516" s="12" t="n">
        <f aca="false">MEDIAN(F506:F526)</f>
        <v>825.030277398643</v>
      </c>
      <c r="H516" s="13" t="n">
        <f aca="false">B516/G516</f>
        <v>20.6373638234043</v>
      </c>
      <c r="I516" s="14" t="n">
        <f aca="false">B516/Summary!$C$8*100</f>
        <v>170.621098095019</v>
      </c>
      <c r="J516" s="14" t="n">
        <f aca="false">G516/Summary!$E$8*100</f>
        <v>140.218700375001</v>
      </c>
      <c r="K516" s="15" t="n">
        <f aca="false">Summary!$D$9</f>
        <v>16.9374488591431</v>
      </c>
      <c r="L516" s="16" t="str">
        <f aca="false">IF(OR(D516="",E516=""),"edge hidden",IF(AND(H516&gt;=D516-0.02,H516&lt;=E516+0.02),"yes","no"))</f>
        <v>yes</v>
      </c>
    </row>
    <row r="517" customFormat="false" ht="15" hidden="false" customHeight="false" outlineLevel="0" collapsed="false">
      <c r="A517" s="9" t="n">
        <v>44529</v>
      </c>
      <c r="B517" s="10" t="n">
        <v>17053.95</v>
      </c>
      <c r="C517" s="11" t="n">
        <v>20.8116</v>
      </c>
      <c r="D517" s="11" t="n">
        <v>20.5734</v>
      </c>
      <c r="E517" s="11" t="n">
        <v>21.0498</v>
      </c>
      <c r="F517" s="12" t="n">
        <f aca="false">IF(C517="","",B517/C517)</f>
        <v>819.444444444445</v>
      </c>
      <c r="G517" s="12" t="n">
        <f aca="false">MEDIAN(F507:F527)</f>
        <v>825.656013113052</v>
      </c>
      <c r="H517" s="13" t="n">
        <f aca="false">B517/G517</f>
        <v>20.6550303384818</v>
      </c>
      <c r="I517" s="14" t="n">
        <f aca="false">B517/Summary!$C$8*100</f>
        <v>170.896674048762</v>
      </c>
      <c r="J517" s="14" t="n">
        <f aca="false">G517/Summary!$E$8*100</f>
        <v>140.325047803763</v>
      </c>
      <c r="K517" s="15" t="n">
        <f aca="false">Summary!$D$9</f>
        <v>16.9374488591431</v>
      </c>
      <c r="L517" s="16" t="str">
        <f aca="false">IF(OR(D517="",E517=""),"edge hidden",IF(AND(H517&gt;=D517-0.02,H517&lt;=E517+0.02),"yes","no"))</f>
        <v>yes</v>
      </c>
    </row>
    <row r="518" customFormat="false" ht="15" hidden="false" customHeight="false" outlineLevel="0" collapsed="false">
      <c r="A518" s="9" t="n">
        <v>44530</v>
      </c>
      <c r="B518" s="10" t="n">
        <v>16983.2</v>
      </c>
      <c r="C518" s="11" t="n">
        <v>20.8116</v>
      </c>
      <c r="D518" s="11" t="n">
        <v>20.5734</v>
      </c>
      <c r="E518" s="11" t="n">
        <v>21.0498</v>
      </c>
      <c r="F518" s="12" t="n">
        <f aca="false">IF(C518="","",B518/C518)</f>
        <v>816.044898037633</v>
      </c>
      <c r="G518" s="12" t="n">
        <f aca="false">MEDIAN(F508:F528)</f>
        <v>826.391012097345</v>
      </c>
      <c r="H518" s="13" t="n">
        <f aca="false">B518/G518</f>
        <v>20.5510463586691</v>
      </c>
      <c r="I518" s="14" t="n">
        <f aca="false">B518/Summary!$C$8*100</f>
        <v>170.187692276859</v>
      </c>
      <c r="J518" s="14" t="n">
        <f aca="false">G518/Summary!$E$8*100</f>
        <v>140.44996516156</v>
      </c>
      <c r="K518" s="15" t="n">
        <f aca="false">Summary!$D$9</f>
        <v>16.9374488591431</v>
      </c>
      <c r="L518" s="16" t="str">
        <f aca="false">IF(OR(D518="",E518=""),"edge hidden",IF(AND(H518&gt;=D518-0.02,H518&lt;=E518+0.02),"yes","no"))</f>
        <v>no</v>
      </c>
    </row>
    <row r="519" customFormat="false" ht="15" hidden="false" customHeight="false" outlineLevel="0" collapsed="false">
      <c r="A519" s="9" t="n">
        <v>44531</v>
      </c>
      <c r="B519" s="10" t="n">
        <v>17166.9</v>
      </c>
      <c r="C519" s="11" t="n">
        <v>20.8076</v>
      </c>
      <c r="D519" s="11" t="n">
        <v>20.5655</v>
      </c>
      <c r="E519" s="11" t="n">
        <v>21.0498</v>
      </c>
      <c r="F519" s="12" t="n">
        <f aca="false">IF(C519="","",B519/C519)</f>
        <v>825.030277398643</v>
      </c>
      <c r="G519" s="12" t="n">
        <f aca="false">MEDIAN(F509:F529)</f>
        <v>827.421161855149</v>
      </c>
      <c r="H519" s="13" t="n">
        <f aca="false">B519/G519</f>
        <v>20.7474751570414</v>
      </c>
      <c r="I519" s="14" t="n">
        <f aca="false">B519/Summary!$C$8*100</f>
        <v>172.028539647864</v>
      </c>
      <c r="J519" s="14" t="n">
        <f aca="false">G519/Summary!$E$8*100</f>
        <v>140.625045112184</v>
      </c>
      <c r="K519" s="15" t="n">
        <f aca="false">Summary!$D$9</f>
        <v>16.9374488591431</v>
      </c>
      <c r="L519" s="16" t="str">
        <f aca="false">IF(OR(D519="",E519=""),"edge hidden",IF(AND(H519&gt;=D519-0.02,H519&lt;=E519+0.02),"yes","no"))</f>
        <v>yes</v>
      </c>
    </row>
    <row r="520" customFormat="false" ht="15" hidden="false" customHeight="false" outlineLevel="0" collapsed="false">
      <c r="A520" s="9" t="n">
        <v>44532</v>
      </c>
      <c r="B520" s="10" t="n">
        <v>17401.65</v>
      </c>
      <c r="C520" s="11" t="n">
        <v>20.7604</v>
      </c>
      <c r="D520" s="11" t="n">
        <v>20.4632</v>
      </c>
      <c r="E520" s="11" t="n">
        <v>21.0576</v>
      </c>
      <c r="F520" s="12" t="n">
        <f aca="false">IF(C520="","",B520/C520)</f>
        <v>838.213618234716</v>
      </c>
      <c r="G520" s="12" t="n">
        <f aca="false">MEDIAN(F510:F530)</f>
        <v>828.656788338754</v>
      </c>
      <c r="H520" s="13" t="n">
        <f aca="false">B520/G520</f>
        <v>20.9998279684474</v>
      </c>
      <c r="I520" s="14" t="n">
        <f aca="false">B520/Summary!$C$8*100</f>
        <v>174.380956198455</v>
      </c>
      <c r="J520" s="14" t="n">
        <f aca="false">G520/Summary!$E$8*100</f>
        <v>140.835047028995</v>
      </c>
      <c r="K520" s="15" t="n">
        <f aca="false">Summary!$D$9</f>
        <v>16.9374488591431</v>
      </c>
      <c r="L520" s="16" t="str">
        <f aca="false">IF(OR(D520="",E520=""),"edge hidden",IF(AND(H520&gt;=D520-0.02,H520&lt;=E520+0.02),"yes","no"))</f>
        <v>yes</v>
      </c>
    </row>
    <row r="521" customFormat="false" ht="15" hidden="false" customHeight="false" outlineLevel="0" collapsed="false">
      <c r="A521" s="9" t="n">
        <v>44533</v>
      </c>
      <c r="B521" s="10" t="n">
        <v>17196.7</v>
      </c>
      <c r="C521" s="11" t="n">
        <v>20.7525</v>
      </c>
      <c r="D521" s="11" t="n">
        <v>20.4474</v>
      </c>
      <c r="E521" s="11" t="n">
        <v>21.0576</v>
      </c>
      <c r="F521" s="12" t="n">
        <f aca="false">IF(C521="","",B521/C521)</f>
        <v>828.656788338754</v>
      </c>
      <c r="G521" s="12" t="n">
        <f aca="false">MEDIAN(F511:F531)</f>
        <v>829.264401969468</v>
      </c>
      <c r="H521" s="13" t="n">
        <f aca="false">B521/G521</f>
        <v>20.7372943528729</v>
      </c>
      <c r="I521" s="14" t="n">
        <f aca="false">B521/Summary!$C$8*100</f>
        <v>172.327163772284</v>
      </c>
      <c r="J521" s="14" t="n">
        <f aca="false">G521/Summary!$E$8*100</f>
        <v>140.938314504095</v>
      </c>
      <c r="K521" s="15" t="n">
        <f aca="false">Summary!$D$9</f>
        <v>16.9374488591431</v>
      </c>
      <c r="L521" s="16" t="str">
        <f aca="false">IF(OR(D521="",E521=""),"edge hidden",IF(AND(H521&gt;=D521-0.02,H521&lt;=E521+0.02),"yes","no"))</f>
        <v>yes</v>
      </c>
    </row>
    <row r="522" customFormat="false" ht="15" hidden="false" customHeight="false" outlineLevel="0" collapsed="false">
      <c r="A522" s="9" t="n">
        <v>44536</v>
      </c>
      <c r="B522" s="10" t="n">
        <v>16912.25</v>
      </c>
      <c r="C522" s="11" t="n">
        <v>20.7998</v>
      </c>
      <c r="D522" s="11" t="n">
        <v>20.4395</v>
      </c>
      <c r="E522" s="11" t="n">
        <v>21.16</v>
      </c>
      <c r="F522" s="12" t="n">
        <f aca="false">IF(C522="","",B522/C522)</f>
        <v>813.096760545775</v>
      </c>
      <c r="G522" s="12" t="n">
        <f aca="false">MEDIAN(F512:F532)</f>
        <v>829.264401969468</v>
      </c>
      <c r="H522" s="13" t="n">
        <f aca="false">B522/G522</f>
        <v>20.3942795082414</v>
      </c>
      <c r="I522" s="14" t="n">
        <f aca="false">B522/Summary!$C$8*100</f>
        <v>169.476706316201</v>
      </c>
      <c r="J522" s="14" t="n">
        <f aca="false">G522/Summary!$E$8*100</f>
        <v>140.938314504095</v>
      </c>
      <c r="K522" s="15" t="n">
        <f aca="false">Summary!$D$9</f>
        <v>16.9374488591431</v>
      </c>
      <c r="L522" s="16" t="str">
        <f aca="false">IF(OR(D522="",E522=""),"edge hidden",IF(AND(H522&gt;=D522-0.02,H522&lt;=E522+0.02),"yes","no"))</f>
        <v>no</v>
      </c>
    </row>
    <row r="523" customFormat="false" ht="15" hidden="false" customHeight="false" outlineLevel="0" collapsed="false">
      <c r="A523" s="9" t="n">
        <v>44537</v>
      </c>
      <c r="B523" s="10" t="n">
        <v>17176.7</v>
      </c>
      <c r="C523" s="11" t="n">
        <v>20.8037</v>
      </c>
      <c r="D523" s="11" t="n">
        <v>20.4395</v>
      </c>
      <c r="E523" s="11" t="n">
        <v>21.1679</v>
      </c>
      <c r="F523" s="12" t="n">
        <f aca="false">IF(C523="","",B523/C523)</f>
        <v>825.656013113052</v>
      </c>
      <c r="G523" s="12" t="n">
        <f aca="false">MEDIAN(F513:F533)</f>
        <v>829.264401969468</v>
      </c>
      <c r="H523" s="13" t="n">
        <f aca="false">B523/G523</f>
        <v>20.7131765926598</v>
      </c>
      <c r="I523" s="14" t="n">
        <f aca="false">B523/Summary!$C$8*100</f>
        <v>172.126744896834</v>
      </c>
      <c r="J523" s="14" t="n">
        <f aca="false">G523/Summary!$E$8*100</f>
        <v>140.938314504095</v>
      </c>
      <c r="K523" s="15" t="n">
        <f aca="false">Summary!$D$9</f>
        <v>16.9374488591431</v>
      </c>
      <c r="L523" s="16" t="str">
        <f aca="false">IF(OR(D523="",E523=""),"edge hidden",IF(AND(H523&gt;=D523-0.02,H523&lt;=E523+0.02),"yes","no"))</f>
        <v>yes</v>
      </c>
    </row>
    <row r="524" customFormat="false" ht="15" hidden="false" customHeight="false" outlineLevel="0" collapsed="false">
      <c r="A524" s="9" t="n">
        <v>44538</v>
      </c>
      <c r="B524" s="10" t="n">
        <v>17469.75</v>
      </c>
      <c r="C524" s="11" t="n">
        <v>20.8195</v>
      </c>
      <c r="D524" s="11" t="n">
        <v>20.4632</v>
      </c>
      <c r="E524" s="11" t="n">
        <v>21.1758</v>
      </c>
      <c r="F524" s="12" t="n">
        <f aca="false">IF(C524="","",B524/C524)</f>
        <v>839.105165830111</v>
      </c>
      <c r="G524" s="12" t="n">
        <f aca="false">MEDIAN(F514:F534)</f>
        <v>830.002988153418</v>
      </c>
      <c r="H524" s="13" t="n">
        <f aca="false">B524/G524</f>
        <v>21.0478157902377</v>
      </c>
      <c r="I524" s="14" t="n">
        <f aca="false">B524/Summary!$C$8*100</f>
        <v>175.063382469361</v>
      </c>
      <c r="J524" s="14" t="n">
        <f aca="false">G524/Summary!$E$8*100</f>
        <v>141.063841527364</v>
      </c>
      <c r="K524" s="15" t="n">
        <f aca="false">Summary!$D$9</f>
        <v>16.9374488591431</v>
      </c>
      <c r="L524" s="16" t="str">
        <f aca="false">IF(OR(D524="",E524=""),"edge hidden",IF(AND(H524&gt;=D524-0.02,H524&lt;=E524+0.02),"yes","no"))</f>
        <v>yes</v>
      </c>
    </row>
    <row r="525" customFormat="false" ht="15" hidden="false" customHeight="false" outlineLevel="0" collapsed="false">
      <c r="A525" s="9" t="n">
        <v>44539</v>
      </c>
      <c r="B525" s="10" t="n">
        <v>17516.85</v>
      </c>
      <c r="C525" s="11" t="n">
        <v>20.9258</v>
      </c>
      <c r="D525" s="11" t="n">
        <v>20.6758</v>
      </c>
      <c r="E525" s="11" t="n">
        <v>21.1758</v>
      </c>
      <c r="F525" s="12" t="n">
        <f aca="false">IF(C525="","",B525/C525)</f>
        <v>837.093444456126</v>
      </c>
      <c r="G525" s="12" t="n">
        <f aca="false">MEDIAN(F515:F535)</f>
        <v>832.522142328486</v>
      </c>
      <c r="H525" s="13" t="n">
        <f aca="false">B525/G525</f>
        <v>21.0407016334809</v>
      </c>
      <c r="I525" s="14" t="n">
        <f aca="false">B525/Summary!$C$8*100</f>
        <v>175.535368921045</v>
      </c>
      <c r="J525" s="14" t="n">
        <f aca="false">G525/Summary!$E$8*100</f>
        <v>141.491986450222</v>
      </c>
      <c r="K525" s="15" t="n">
        <f aca="false">Summary!$D$9</f>
        <v>16.9374488591431</v>
      </c>
      <c r="L525" s="16" t="str">
        <f aca="false">IF(OR(D525="",E525=""),"edge hidden",IF(AND(H525&gt;=D525-0.02,H525&lt;=E525+0.02),"yes","no"))</f>
        <v>yes</v>
      </c>
    </row>
    <row r="526" customFormat="false" ht="15" hidden="false" customHeight="false" outlineLevel="0" collapsed="false">
      <c r="A526" s="9" t="n">
        <v>44540</v>
      </c>
      <c r="B526" s="10" t="n">
        <v>17511.3</v>
      </c>
      <c r="C526" s="11" t="n">
        <v>20.9573</v>
      </c>
      <c r="D526" s="11" t="n">
        <v>20.7545</v>
      </c>
      <c r="E526" s="11" t="n">
        <v>21.16</v>
      </c>
      <c r="F526" s="12" t="n">
        <f aca="false">IF(C526="","",B526/C526)</f>
        <v>835.570421762345</v>
      </c>
      <c r="G526" s="12" t="n">
        <f aca="false">MEDIAN(F516:F536)</f>
        <v>830.002988153418</v>
      </c>
      <c r="H526" s="13" t="n">
        <f aca="false">B526/G526</f>
        <v>21.0978758509761</v>
      </c>
      <c r="I526" s="14" t="n">
        <f aca="false">B526/Summary!$C$8*100</f>
        <v>175.479752683108</v>
      </c>
      <c r="J526" s="14" t="n">
        <f aca="false">G526/Summary!$E$8*100</f>
        <v>141.063841527364</v>
      </c>
      <c r="K526" s="15" t="n">
        <f aca="false">Summary!$D$9</f>
        <v>16.9374488591431</v>
      </c>
      <c r="L526" s="16" t="str">
        <f aca="false">IF(OR(D526="",E526=""),"edge hidden",IF(AND(H526&gt;=D526-0.02,H526&lt;=E526+0.02),"yes","no"))</f>
        <v>yes</v>
      </c>
    </row>
    <row r="527" customFormat="false" ht="15" hidden="false" customHeight="false" outlineLevel="0" collapsed="false">
      <c r="A527" s="9" t="n">
        <v>44543</v>
      </c>
      <c r="B527" s="10" t="n">
        <v>17368.25</v>
      </c>
      <c r="C527" s="11" t="n">
        <v>20.8076</v>
      </c>
      <c r="D527" s="11" t="n">
        <v>20.5025</v>
      </c>
      <c r="E527" s="11" t="n">
        <v>21.1128</v>
      </c>
      <c r="F527" s="12" t="n">
        <f aca="false">IF(C527="","",B527/C527)</f>
        <v>834.707030123609</v>
      </c>
      <c r="G527" s="12" t="n">
        <f aca="false">MEDIAN(F517:F537)</f>
        <v>830.002988153418</v>
      </c>
      <c r="H527" s="13" t="n">
        <f aca="false">B527/G527</f>
        <v>20.9255270738732</v>
      </c>
      <c r="I527" s="14" t="n">
        <f aca="false">B527/Summary!$C$8*100</f>
        <v>174.046256676454</v>
      </c>
      <c r="J527" s="14" t="n">
        <f aca="false">G527/Summary!$E$8*100</f>
        <v>141.063841527364</v>
      </c>
      <c r="K527" s="15" t="n">
        <f aca="false">Summary!$D$9</f>
        <v>16.9374488591431</v>
      </c>
      <c r="L527" s="16" t="str">
        <f aca="false">IF(OR(D527="",E527=""),"edge hidden",IF(AND(H527&gt;=D527-0.02,H527&lt;=E527+0.02),"yes","no"))</f>
        <v>yes</v>
      </c>
    </row>
    <row r="528" customFormat="false" ht="15" hidden="false" customHeight="false" outlineLevel="0" collapsed="false">
      <c r="A528" s="9" t="n">
        <v>44544</v>
      </c>
      <c r="B528" s="10" t="n">
        <v>17324.9</v>
      </c>
      <c r="C528" s="11" t="n">
        <v>20.788</v>
      </c>
      <c r="D528" s="11" t="n">
        <v>20.4789</v>
      </c>
      <c r="E528" s="11" t="n">
        <v>21.097</v>
      </c>
      <c r="F528" s="12" t="n">
        <f aca="false">IF(C528="","",B528/C528)</f>
        <v>833.40869732538</v>
      </c>
      <c r="G528" s="12" t="n">
        <f aca="false">MEDIAN(F518:F538)</f>
        <v>832.522142328486</v>
      </c>
      <c r="H528" s="13" t="n">
        <f aca="false">B528/G528</f>
        <v>20.810137195323</v>
      </c>
      <c r="I528" s="14" t="n">
        <f aca="false">B528/Summary!$C$8*100</f>
        <v>173.611848763917</v>
      </c>
      <c r="J528" s="14" t="n">
        <f aca="false">G528/Summary!$E$8*100</f>
        <v>141.491986450222</v>
      </c>
      <c r="K528" s="15" t="n">
        <f aca="false">Summary!$D$9</f>
        <v>16.9374488591431</v>
      </c>
      <c r="L528" s="16" t="str">
        <f aca="false">IF(OR(D528="",E528=""),"edge hidden",IF(AND(H528&gt;=D528-0.02,H528&lt;=E528+0.02),"yes","no"))</f>
        <v>yes</v>
      </c>
    </row>
    <row r="529" customFormat="false" ht="15" hidden="false" customHeight="false" outlineLevel="0" collapsed="false">
      <c r="A529" s="9" t="n">
        <v>44545</v>
      </c>
      <c r="B529" s="10" t="n">
        <v>17221.4</v>
      </c>
      <c r="C529" s="11" t="n">
        <v>20.7486</v>
      </c>
      <c r="D529" s="11" t="n">
        <v>20.4553</v>
      </c>
      <c r="E529" s="11" t="n">
        <v>21.0419</v>
      </c>
      <c r="F529" s="12" t="n">
        <f aca="false">IF(C529="","",B529/C529)</f>
        <v>830.002988153418</v>
      </c>
      <c r="G529" s="12" t="n">
        <f aca="false">MEDIAN(F519:F539)</f>
        <v>833.40869732538</v>
      </c>
      <c r="H529" s="13" t="n">
        <f aca="false">B529/G529</f>
        <v>20.6638112312337</v>
      </c>
      <c r="I529" s="14" t="n">
        <f aca="false">B529/Summary!$C$8*100</f>
        <v>172.574681083464</v>
      </c>
      <c r="J529" s="14" t="n">
        <f aca="false">G529/Summary!$E$8*100</f>
        <v>141.642661634977</v>
      </c>
      <c r="K529" s="15" t="n">
        <f aca="false">Summary!$D$9</f>
        <v>16.9374488591431</v>
      </c>
      <c r="L529" s="16" t="str">
        <f aca="false">IF(OR(D529="",E529=""),"edge hidden",IF(AND(H529&gt;=D529-0.02,H529&lt;=E529+0.02),"yes","no"))</f>
        <v>yes</v>
      </c>
    </row>
    <row r="530" customFormat="false" ht="15" hidden="false" customHeight="false" outlineLevel="0" collapsed="false">
      <c r="A530" s="9" t="n">
        <v>44546</v>
      </c>
      <c r="B530" s="10" t="n">
        <v>17248.4</v>
      </c>
      <c r="C530" s="11" t="n">
        <v>20.4454</v>
      </c>
      <c r="D530" s="11" t="n">
        <v>20.0301</v>
      </c>
      <c r="E530" s="11" t="n">
        <v>20.8608</v>
      </c>
      <c r="F530" s="12" t="n">
        <f aca="false">IF(C530="","",B530/C530)</f>
        <v>843.632308489929</v>
      </c>
      <c r="G530" s="12" t="n">
        <f aca="false">MEDIAN(F520:F540)</f>
        <v>833.40869732538</v>
      </c>
      <c r="H530" s="13" t="n">
        <f aca="false">B530/G530</f>
        <v>20.6962083013466</v>
      </c>
      <c r="I530" s="14" t="n">
        <f aca="false">B530/Summary!$C$8*100</f>
        <v>172.845246565322</v>
      </c>
      <c r="J530" s="14" t="n">
        <f aca="false">G530/Summary!$E$8*100</f>
        <v>141.642661634977</v>
      </c>
      <c r="K530" s="15" t="n">
        <f aca="false">Summary!$D$9</f>
        <v>16.9374488591431</v>
      </c>
      <c r="L530" s="16" t="str">
        <f aca="false">IF(OR(D530="",E530=""),"edge hidden",IF(AND(H530&gt;=D530-0.02,H530&lt;=E530+0.02),"yes","no"))</f>
        <v>yes</v>
      </c>
    </row>
    <row r="531" customFormat="false" ht="15" hidden="false" customHeight="false" outlineLevel="0" collapsed="false">
      <c r="A531" s="9" t="n">
        <v>44547</v>
      </c>
      <c r="B531" s="10" t="n">
        <v>16985.2</v>
      </c>
      <c r="C531" s="11" t="n">
        <v>20.4021</v>
      </c>
      <c r="D531" s="11" t="n">
        <v>20.0143</v>
      </c>
      <c r="E531" s="11" t="n">
        <v>20.7899</v>
      </c>
      <c r="F531" s="12" t="n">
        <f aca="false">IF(C531="","",B531/C531)</f>
        <v>832.522142328486</v>
      </c>
      <c r="G531" s="12" t="n">
        <f aca="false">MEDIAN(F521:F541)</f>
        <v>832.522142328486</v>
      </c>
      <c r="H531" s="13" t="n">
        <f aca="false">B531/G531</f>
        <v>20.4021</v>
      </c>
      <c r="I531" s="14" t="n">
        <f aca="false">B531/Summary!$C$8*100</f>
        <v>170.207734164404</v>
      </c>
      <c r="J531" s="14" t="n">
        <f aca="false">G531/Summary!$E$8*100</f>
        <v>141.491986450222</v>
      </c>
      <c r="K531" s="15" t="n">
        <f aca="false">Summary!$D$9</f>
        <v>16.9374488591431</v>
      </c>
      <c r="L531" s="16" t="str">
        <f aca="false">IF(OR(D531="",E531=""),"edge hidden",IF(AND(H531&gt;=D531-0.02,H531&lt;=E531+0.02),"yes","no"))</f>
        <v>yes</v>
      </c>
    </row>
    <row r="532" customFormat="false" ht="15" hidden="false" customHeight="false" outlineLevel="0" collapsed="false">
      <c r="A532" s="9" t="n">
        <v>44550</v>
      </c>
      <c r="B532" s="10" t="n">
        <v>16614.2</v>
      </c>
      <c r="C532" s="11" t="n">
        <v>20.2604</v>
      </c>
      <c r="D532" s="11" t="n">
        <v>19.9986</v>
      </c>
      <c r="E532" s="11" t="n">
        <v>20.5222</v>
      </c>
      <c r="F532" s="12" t="n">
        <f aca="false">IF(C532="","",B532/C532)</f>
        <v>820.033168150678</v>
      </c>
      <c r="G532" s="12" t="n">
        <f aca="false">MEDIAN(F522:F542)</f>
        <v>833.40869732538</v>
      </c>
      <c r="H532" s="13" t="n">
        <f aca="false">B532/G532</f>
        <v>19.9352371211378</v>
      </c>
      <c r="I532" s="14" t="n">
        <f aca="false">B532/Summary!$C$8*100</f>
        <v>166.489964024812</v>
      </c>
      <c r="J532" s="14" t="n">
        <f aca="false">G532/Summary!$E$8*100</f>
        <v>141.642661634977</v>
      </c>
      <c r="K532" s="15" t="n">
        <f aca="false">Summary!$D$9</f>
        <v>16.9374488591431</v>
      </c>
      <c r="L532" s="16" t="str">
        <f aca="false">IF(OR(D532="",E532=""),"edge hidden",IF(AND(H532&gt;=D532-0.02,H532&lt;=E532+0.02),"yes","no"))</f>
        <v>no</v>
      </c>
    </row>
    <row r="533" customFormat="false" ht="15" hidden="false" customHeight="false" outlineLevel="0" collapsed="false">
      <c r="A533" s="9" t="n">
        <v>44551</v>
      </c>
      <c r="B533" s="10" t="n">
        <v>16770.85</v>
      </c>
      <c r="C533" s="11" t="n">
        <v>20.2604</v>
      </c>
      <c r="D533" s="11" t="n">
        <v>20.0065</v>
      </c>
      <c r="E533" s="11" t="n">
        <v>20.5143</v>
      </c>
      <c r="F533" s="12" t="n">
        <f aca="false">IF(C533="","",B533/C533)</f>
        <v>827.764999703856</v>
      </c>
      <c r="G533" s="12" t="n">
        <f aca="false">MEDIAN(F523:F543)</f>
        <v>833.516187305521</v>
      </c>
      <c r="H533" s="13" t="n">
        <f aca="false">B533/G533</f>
        <v>20.1206050409345</v>
      </c>
      <c r="I533" s="14" t="n">
        <f aca="false">B533/Summary!$C$8*100</f>
        <v>168.059744866772</v>
      </c>
      <c r="J533" s="14" t="n">
        <f aca="false">G533/Summary!$E$8*100</f>
        <v>141.660930183092</v>
      </c>
      <c r="K533" s="15" t="n">
        <f aca="false">Summary!$D$9</f>
        <v>16.9374488591431</v>
      </c>
      <c r="L533" s="16" t="str">
        <f aca="false">IF(OR(D533="",E533=""),"edge hidden",IF(AND(H533&gt;=D533-0.02,H533&lt;=E533+0.02),"yes","no"))</f>
        <v>yes</v>
      </c>
    </row>
    <row r="534" customFormat="false" ht="15" hidden="false" customHeight="false" outlineLevel="0" collapsed="false">
      <c r="A534" s="9" t="n">
        <v>44552</v>
      </c>
      <c r="B534" s="10" t="n">
        <v>16955.45</v>
      </c>
      <c r="C534" s="11" t="n">
        <v>20.2722</v>
      </c>
      <c r="D534" s="11" t="n">
        <v>20.0222</v>
      </c>
      <c r="E534" s="11" t="n">
        <v>20.5222</v>
      </c>
      <c r="F534" s="12" t="n">
        <f aca="false">IF(C534="","",B534/C534)</f>
        <v>836.389242410789</v>
      </c>
      <c r="G534" s="12" t="n">
        <f aca="false">MEDIAN(F524:F544)</f>
        <v>833.58030430698</v>
      </c>
      <c r="H534" s="13" t="n">
        <f aca="false">B534/G534</f>
        <v>20.3405117808012</v>
      </c>
      <c r="I534" s="14" t="n">
        <f aca="false">B534/Summary!$C$8*100</f>
        <v>169.909611087172</v>
      </c>
      <c r="J534" s="14" t="n">
        <f aca="false">G534/Summary!$E$8*100</f>
        <v>141.671827240888</v>
      </c>
      <c r="K534" s="15" t="n">
        <f aca="false">Summary!$D$9</f>
        <v>16.9374488591431</v>
      </c>
      <c r="L534" s="16" t="str">
        <f aca="false">IF(OR(D534="",E534=""),"edge hidden",IF(AND(H534&gt;=D534-0.02,H534&lt;=E534+0.02),"yes","no"))</f>
        <v>yes</v>
      </c>
    </row>
    <row r="535" customFormat="false" ht="15" hidden="false" customHeight="false" outlineLevel="0" collapsed="false">
      <c r="A535" s="9" t="n">
        <v>44553</v>
      </c>
      <c r="B535" s="10" t="n">
        <v>17072.6</v>
      </c>
      <c r="C535" s="11" t="n">
        <v>20.3234</v>
      </c>
      <c r="D535" s="11" t="n">
        <v>20.1167</v>
      </c>
      <c r="E535" s="11" t="n">
        <v>20.5301</v>
      </c>
      <c r="F535" s="12" t="n">
        <f aca="false">IF(C535="","",B535/C535)</f>
        <v>840.046448920948</v>
      </c>
      <c r="G535" s="12" t="n">
        <f aca="false">MEDIAN(F525:F545)</f>
        <v>833.516187305521</v>
      </c>
      <c r="H535" s="13" t="n">
        <f aca="false">B535/G535</f>
        <v>20.4826256046568</v>
      </c>
      <c r="I535" s="14" t="n">
        <f aca="false">B535/Summary!$C$8*100</f>
        <v>171.083564650119</v>
      </c>
      <c r="J535" s="14" t="n">
        <f aca="false">G535/Summary!$E$8*100</f>
        <v>141.660930183092</v>
      </c>
      <c r="K535" s="15" t="n">
        <f aca="false">Summary!$D$9</f>
        <v>16.9374488591431</v>
      </c>
      <c r="L535" s="16" t="str">
        <f aca="false">IF(OR(D535="",E535=""),"edge hidden",IF(AND(H535&gt;=D535-0.02,H535&lt;=E535+0.02),"yes","no"))</f>
        <v>yes</v>
      </c>
    </row>
    <row r="536" customFormat="false" ht="15" hidden="false" customHeight="false" outlineLevel="0" collapsed="false">
      <c r="A536" s="9" t="n">
        <v>44554</v>
      </c>
      <c r="B536" s="10" t="n">
        <v>17003.75</v>
      </c>
      <c r="C536" s="11" t="n">
        <v>20.5045</v>
      </c>
      <c r="D536" s="11" t="n">
        <v>20.3844</v>
      </c>
      <c r="E536" s="11" t="n">
        <v>20.6246</v>
      </c>
      <c r="F536" s="12" t="n">
        <f aca="false">IF(C536="","",B536/C536)</f>
        <v>829.26918481309</v>
      </c>
      <c r="G536" s="12" t="n">
        <f aca="false">MEDIAN(F526:F546)</f>
        <v>833.40869732538</v>
      </c>
      <c r="H536" s="13" t="n">
        <f aca="false">B536/G536</f>
        <v>20.4026548493786</v>
      </c>
      <c r="I536" s="14" t="n">
        <f aca="false">B536/Summary!$C$8*100</f>
        <v>170.393622671383</v>
      </c>
      <c r="J536" s="14" t="n">
        <f aca="false">G536/Summary!$E$8*100</f>
        <v>141.642661634977</v>
      </c>
      <c r="K536" s="15" t="n">
        <f aca="false">Summary!$D$9</f>
        <v>16.9374488591431</v>
      </c>
      <c r="L536" s="16" t="str">
        <f aca="false">IF(OR(D536="",E536=""),"edge hidden",IF(AND(H536&gt;=D536-0.02,H536&lt;=E536+0.02),"yes","no"))</f>
        <v>yes</v>
      </c>
    </row>
    <row r="537" customFormat="false" ht="15" hidden="false" customHeight="false" outlineLevel="0" collapsed="false">
      <c r="A537" s="9" t="n">
        <v>44557</v>
      </c>
      <c r="B537" s="10" t="n">
        <v>17086.25</v>
      </c>
      <c r="C537" s="11" t="n">
        <v>20.6187</v>
      </c>
      <c r="D537" s="11" t="n">
        <v>20.4317</v>
      </c>
      <c r="E537" s="11" t="n">
        <v>20.8057</v>
      </c>
      <c r="F537" s="12" t="n">
        <f aca="false">IF(C537="","",B537/C537)</f>
        <v>828.677365692308</v>
      </c>
      <c r="G537" s="12" t="n">
        <f aca="false">MEDIAN(F527:F547)</f>
        <v>833.40869732538</v>
      </c>
      <c r="H537" s="13" t="n">
        <f aca="false">B537/G537</f>
        <v>20.501645896946</v>
      </c>
      <c r="I537" s="14" t="n">
        <f aca="false">B537/Summary!$C$8*100</f>
        <v>171.220350532613</v>
      </c>
      <c r="J537" s="14" t="n">
        <f aca="false">G537/Summary!$E$8*100</f>
        <v>141.642661634977</v>
      </c>
      <c r="K537" s="15" t="n">
        <f aca="false">Summary!$D$9</f>
        <v>16.9374488591431</v>
      </c>
      <c r="L537" s="16" t="str">
        <f aca="false">IF(OR(D537="",E537=""),"edge hidden",IF(AND(H537&gt;=D537-0.02,H537&lt;=E537+0.02),"yes","no"))</f>
        <v>yes</v>
      </c>
    </row>
    <row r="538" customFormat="false" ht="15" hidden="false" customHeight="false" outlineLevel="0" collapsed="false">
      <c r="A538" s="9" t="n">
        <v>44558</v>
      </c>
      <c r="B538" s="10" t="n">
        <v>17233.25</v>
      </c>
      <c r="C538" s="11" t="n">
        <v>20.6305</v>
      </c>
      <c r="D538" s="11" t="n">
        <v>20.4395</v>
      </c>
      <c r="E538" s="11" t="n">
        <v>20.8214</v>
      </c>
      <c r="F538" s="12" t="n">
        <f aca="false">IF(C538="","",B538/C538)</f>
        <v>835.328760815298</v>
      </c>
      <c r="G538" s="12" t="n">
        <f aca="false">MEDIAN(F528:F548)</f>
        <v>833.40869732538</v>
      </c>
      <c r="H538" s="13" t="n">
        <f aca="false">B538/G538</f>
        <v>20.6780299453388</v>
      </c>
      <c r="I538" s="14" t="n">
        <f aca="false">B538/Summary!$C$8*100</f>
        <v>172.693429267168</v>
      </c>
      <c r="J538" s="14" t="n">
        <f aca="false">G538/Summary!$E$8*100</f>
        <v>141.642661634977</v>
      </c>
      <c r="K538" s="15" t="n">
        <f aca="false">Summary!$D$9</f>
        <v>16.9374488591431</v>
      </c>
      <c r="L538" s="16" t="str">
        <f aca="false">IF(OR(D538="",E538=""),"edge hidden",IF(AND(H538&gt;=D538-0.02,H538&lt;=E538+0.02),"yes","no"))</f>
        <v>yes</v>
      </c>
    </row>
    <row r="539" customFormat="false" ht="15" hidden="false" customHeight="false" outlineLevel="0" collapsed="false">
      <c r="A539" s="9" t="n">
        <v>44559</v>
      </c>
      <c r="B539" s="10" t="n">
        <v>17213.6</v>
      </c>
      <c r="C539" s="11" t="n">
        <v>20.6502</v>
      </c>
      <c r="D539" s="11" t="n">
        <v>20.4632</v>
      </c>
      <c r="E539" s="11" t="n">
        <v>20.8372</v>
      </c>
      <c r="F539" s="12" t="n">
        <f aca="false">IF(C539="","",B539/C539)</f>
        <v>833.58030430698</v>
      </c>
      <c r="G539" s="12" t="n">
        <f aca="false">MEDIAN(F529:F549)</f>
        <v>833.516187305521</v>
      </c>
      <c r="H539" s="13" t="n">
        <f aca="false">B539/G539</f>
        <v>20.651788486131</v>
      </c>
      <c r="I539" s="14" t="n">
        <f aca="false">B539/Summary!$C$8*100</f>
        <v>172.496517722039</v>
      </c>
      <c r="J539" s="14" t="n">
        <f aca="false">G539/Summary!$E$8*100</f>
        <v>141.660930183092</v>
      </c>
      <c r="K539" s="15" t="n">
        <f aca="false">Summary!$D$9</f>
        <v>16.9374488591431</v>
      </c>
      <c r="L539" s="16" t="str">
        <f aca="false">IF(OR(D539="",E539=""),"edge hidden",IF(AND(H539&gt;=D539-0.02,H539&lt;=E539+0.02),"yes","no"))</f>
        <v>yes</v>
      </c>
    </row>
    <row r="540" customFormat="false" ht="15" hidden="false" customHeight="false" outlineLevel="0" collapsed="false">
      <c r="A540" s="9" t="n">
        <v>44560</v>
      </c>
      <c r="B540" s="10" t="n">
        <v>17203.95</v>
      </c>
      <c r="C540" s="11" t="n">
        <v>20.8391</v>
      </c>
      <c r="D540" s="11" t="n">
        <v>20.6128</v>
      </c>
      <c r="E540" s="11" t="n">
        <v>21.0655</v>
      </c>
      <c r="F540" s="12" t="n">
        <f aca="false">IF(C540="","",B540/C540)</f>
        <v>825.561084691757</v>
      </c>
      <c r="G540" s="12" t="n">
        <f aca="false">MEDIAN(F530:F550)</f>
        <v>833.58030430698</v>
      </c>
      <c r="H540" s="13" t="n">
        <f aca="false">B540/G540</f>
        <v>20.6386234308919</v>
      </c>
      <c r="I540" s="14" t="n">
        <f aca="false">B540/Summary!$C$8*100</f>
        <v>172.399815614635</v>
      </c>
      <c r="J540" s="14" t="n">
        <f aca="false">G540/Summary!$E$8*100</f>
        <v>141.671827240888</v>
      </c>
      <c r="K540" s="15" t="n">
        <f aca="false">Summary!$D$9</f>
        <v>16.9374488591431</v>
      </c>
      <c r="L540" s="16" t="str">
        <f aca="false">IF(OR(D540="",E540=""),"edge hidden",IF(AND(H540&gt;=D540-0.02,H540&lt;=E540+0.02),"yes","no"))</f>
        <v>yes</v>
      </c>
    </row>
    <row r="541" customFormat="false" ht="15" hidden="false" customHeight="false" outlineLevel="0" collapsed="false">
      <c r="A541" s="9" t="n">
        <v>44561</v>
      </c>
      <c r="B541" s="10" t="n">
        <v>17354.05</v>
      </c>
      <c r="C541" s="11" t="n">
        <v>20.9376</v>
      </c>
      <c r="D541" s="11" t="n">
        <v>20.6206</v>
      </c>
      <c r="E541" s="11" t="n">
        <v>21.2545</v>
      </c>
      <c r="F541" s="12" t="n">
        <f aca="false">IF(C541="","",B541/C541)</f>
        <v>828.846190585358</v>
      </c>
      <c r="G541" s="12" t="n">
        <f aca="false">MEDIAN(F531:F551)</f>
        <v>833.58030430698</v>
      </c>
      <c r="H541" s="13" t="n">
        <f aca="false">B541/G541</f>
        <v>20.8186900654134</v>
      </c>
      <c r="I541" s="14" t="n">
        <f aca="false">B541/Summary!$C$8*100</f>
        <v>173.903959274885</v>
      </c>
      <c r="J541" s="14" t="n">
        <f aca="false">G541/Summary!$E$8*100</f>
        <v>141.671827240888</v>
      </c>
      <c r="K541" s="15" t="n">
        <f aca="false">Summary!$D$9</f>
        <v>16.9374488591431</v>
      </c>
      <c r="L541" s="16" t="str">
        <f aca="false">IF(OR(D541="",E541=""),"edge hidden",IF(AND(H541&gt;=D541-0.02,H541&lt;=E541+0.02),"yes","no"))</f>
        <v>yes</v>
      </c>
    </row>
    <row r="542" customFormat="false" ht="15" hidden="false" customHeight="false" outlineLevel="0" collapsed="false">
      <c r="A542" s="9" t="n">
        <v>44564</v>
      </c>
      <c r="B542" s="10" t="n">
        <v>17625.7</v>
      </c>
      <c r="C542" s="11" t="n">
        <v>21.1462</v>
      </c>
      <c r="D542" s="11" t="n">
        <v>20.8254</v>
      </c>
      <c r="E542" s="11" t="n">
        <v>21.4671</v>
      </c>
      <c r="F542" s="12" t="n">
        <f aca="false">IF(C542="","",B542/C542)</f>
        <v>833.516187305521</v>
      </c>
      <c r="G542" s="12" t="n">
        <f aca="false">MEDIAN(F532:F552)</f>
        <v>833.829679821778</v>
      </c>
      <c r="H542" s="13" t="n">
        <f aca="false">B542/G542</f>
        <v>21.1382497247727</v>
      </c>
      <c r="I542" s="14" t="n">
        <f aca="false">B542/Summary!$C$8*100</f>
        <v>176.62614865068</v>
      </c>
      <c r="J542" s="14" t="n">
        <f aca="false">G542/Summary!$E$8*100</f>
        <v>141.714210061917</v>
      </c>
      <c r="K542" s="15" t="n">
        <f aca="false">Summary!$D$9</f>
        <v>16.9374488591431</v>
      </c>
      <c r="L542" s="16" t="str">
        <f aca="false">IF(OR(D542="",E542=""),"edge hidden",IF(AND(H542&gt;=D542-0.02,H542&lt;=E542+0.02),"yes","no"))</f>
        <v>yes</v>
      </c>
    </row>
    <row r="543" customFormat="false" ht="15" hidden="false" customHeight="false" outlineLevel="0" collapsed="false">
      <c r="A543" s="9" t="n">
        <v>44565</v>
      </c>
      <c r="B543" s="10" t="n">
        <v>17805.25</v>
      </c>
      <c r="C543" s="11" t="n">
        <v>21.1699</v>
      </c>
      <c r="D543" s="11" t="n">
        <v>20.8647</v>
      </c>
      <c r="E543" s="11" t="n">
        <v>21.475</v>
      </c>
      <c r="F543" s="12" t="n">
        <f aca="false">IF(C543="","",B543/C543)</f>
        <v>841.064435826338</v>
      </c>
      <c r="G543" s="12" t="n">
        <f aca="false">MEDIAN(F533:F553)</f>
        <v>835.328760815298</v>
      </c>
      <c r="H543" s="13" t="n">
        <f aca="false">B543/G543</f>
        <v>21.3152603324968</v>
      </c>
      <c r="I543" s="14" t="n">
        <f aca="false">B543/Summary!$C$8*100</f>
        <v>178.42540910503</v>
      </c>
      <c r="J543" s="14" t="n">
        <f aca="false">G543/Summary!$E$8*100</f>
        <v>141.968987606968</v>
      </c>
      <c r="K543" s="15" t="n">
        <f aca="false">Summary!$D$9</f>
        <v>16.9374488591431</v>
      </c>
      <c r="L543" s="16" t="str">
        <f aca="false">IF(OR(D543="",E543=""),"edge hidden",IF(AND(H543&gt;=D543-0.02,H543&lt;=E543+0.02),"yes","no"))</f>
        <v>yes</v>
      </c>
    </row>
    <row r="544" customFormat="false" ht="15" hidden="false" customHeight="false" outlineLevel="0" collapsed="false">
      <c r="A544" s="9" t="n">
        <v>44566</v>
      </c>
      <c r="B544" s="10" t="n">
        <v>17925.25</v>
      </c>
      <c r="C544" s="11" t="n">
        <v>21.288</v>
      </c>
      <c r="D544" s="11" t="n">
        <v>21.0931</v>
      </c>
      <c r="E544" s="11" t="n">
        <v>21.4828</v>
      </c>
      <c r="F544" s="12" t="n">
        <f aca="false">IF(C544="","",B544/C544)</f>
        <v>842.035419015408</v>
      </c>
      <c r="G544" s="12" t="n">
        <f aca="false">MEDIAN(F534:F554)</f>
        <v>836.104023597946</v>
      </c>
      <c r="H544" s="13" t="n">
        <f aca="false">B544/G544</f>
        <v>21.4390189427191</v>
      </c>
      <c r="I544" s="14" t="n">
        <f aca="false">B544/Summary!$C$8*100</f>
        <v>179.627922357728</v>
      </c>
      <c r="J544" s="14" t="n">
        <f aca="false">G544/Summary!$E$8*100</f>
        <v>142.100748031779</v>
      </c>
      <c r="K544" s="15" t="n">
        <f aca="false">Summary!$D$9</f>
        <v>16.9374488591431</v>
      </c>
      <c r="L544" s="16" t="str">
        <f aca="false">IF(OR(D544="",E544=""),"edge hidden",IF(AND(H544&gt;=D544-0.02,H544&lt;=E544+0.02),"yes","no"))</f>
        <v>yes</v>
      </c>
    </row>
    <row r="545" customFormat="false" ht="15" hidden="false" customHeight="false" outlineLevel="0" collapsed="false">
      <c r="A545" s="9" t="n">
        <v>44567</v>
      </c>
      <c r="B545" s="10" t="n">
        <v>17745.9</v>
      </c>
      <c r="C545" s="11" t="n">
        <v>21.3628</v>
      </c>
      <c r="D545" s="11" t="n">
        <v>21.2348</v>
      </c>
      <c r="E545" s="11" t="n">
        <v>21.4907</v>
      </c>
      <c r="F545" s="12" t="n">
        <f aca="false">IF(C545="","",B545/C545)</f>
        <v>830.691669631322</v>
      </c>
      <c r="G545" s="12" t="n">
        <f aca="false">MEDIAN(F535:F555)</f>
        <v>835.328760815298</v>
      </c>
      <c r="H545" s="13" t="n">
        <f aca="false">B545/G545</f>
        <v>21.244210462333</v>
      </c>
      <c r="I545" s="14" t="n">
        <f aca="false">B545/Summary!$C$8*100</f>
        <v>177.830666092133</v>
      </c>
      <c r="J545" s="14" t="n">
        <f aca="false">G545/Summary!$E$8*100</f>
        <v>141.968987606968</v>
      </c>
      <c r="K545" s="15" t="n">
        <f aca="false">Summary!$D$9</f>
        <v>16.9374488591431</v>
      </c>
      <c r="L545" s="16" t="str">
        <f aca="false">IF(OR(D545="",E545=""),"edge hidden",IF(AND(H545&gt;=D545-0.02,H545&lt;=E545+0.02),"yes","no"))</f>
        <v>yes</v>
      </c>
    </row>
    <row r="546" customFormat="false" ht="15" hidden="false" customHeight="false" outlineLevel="0" collapsed="false">
      <c r="A546" s="9" t="n">
        <v>44568</v>
      </c>
      <c r="B546" s="10" t="n">
        <v>17812.7</v>
      </c>
      <c r="C546" s="11" t="n">
        <v>21.4415</v>
      </c>
      <c r="D546" s="11" t="n">
        <v>21.2742</v>
      </c>
      <c r="E546" s="11" t="n">
        <v>21.6088</v>
      </c>
      <c r="F546" s="12" t="n">
        <f aca="false">IF(C546="","",B546/C546)</f>
        <v>830.758109274071</v>
      </c>
      <c r="G546" s="12" t="n">
        <f aca="false">MEDIAN(F536:F556)</f>
        <v>835.328760815298</v>
      </c>
      <c r="H546" s="13" t="n">
        <f aca="false">B546/G546</f>
        <v>21.3241789766875</v>
      </c>
      <c r="I546" s="14" t="n">
        <f aca="false">B546/Summary!$C$8*100</f>
        <v>178.500065136135</v>
      </c>
      <c r="J546" s="14" t="n">
        <f aca="false">G546/Summary!$E$8*100</f>
        <v>141.968987606968</v>
      </c>
      <c r="K546" s="15" t="n">
        <f aca="false">Summary!$D$9</f>
        <v>16.9374488591431</v>
      </c>
      <c r="L546" s="16" t="str">
        <f aca="false">IF(OR(D546="",E546=""),"edge hidden",IF(AND(H546&gt;=D546-0.02,H546&lt;=E546+0.02),"yes","no"))</f>
        <v>yes</v>
      </c>
    </row>
    <row r="547" customFormat="false" ht="15" hidden="false" customHeight="false" outlineLevel="0" collapsed="false">
      <c r="A547" s="9" t="n">
        <v>44571</v>
      </c>
      <c r="B547" s="10" t="n">
        <v>18003.3</v>
      </c>
      <c r="C547" s="11" t="n">
        <v>21.5911</v>
      </c>
      <c r="D547" s="11" t="n">
        <v>21.3372</v>
      </c>
      <c r="E547" s="11" t="n">
        <v>21.8451</v>
      </c>
      <c r="F547" s="12" t="n">
        <f aca="false">IF(C547="","",B547/C547)</f>
        <v>833.829679821778</v>
      </c>
      <c r="G547" s="12" t="n">
        <f aca="false">MEDIAN(F537:F557)</f>
        <v>835.328760815298</v>
      </c>
      <c r="H547" s="13" t="n">
        <f aca="false">B547/G547</f>
        <v>21.5523526119565</v>
      </c>
      <c r="I547" s="14" t="n">
        <f aca="false">B547/Summary!$C$8*100</f>
        <v>180.41005701917</v>
      </c>
      <c r="J547" s="14" t="n">
        <f aca="false">G547/Summary!$E$8*100</f>
        <v>141.968987606968</v>
      </c>
      <c r="K547" s="15" t="n">
        <f aca="false">Summary!$D$9</f>
        <v>16.9374488591431</v>
      </c>
      <c r="L547" s="16" t="str">
        <f aca="false">IF(OR(D547="",E547=""),"edge hidden",IF(AND(H547&gt;=D547-0.02,H547&lt;=E547+0.02),"yes","no"))</f>
        <v>yes</v>
      </c>
    </row>
    <row r="548" customFormat="false" ht="15" hidden="false" customHeight="false" outlineLevel="0" collapsed="false">
      <c r="A548" s="9" t="n">
        <v>44572</v>
      </c>
      <c r="B548" s="10" t="n">
        <v>18055.75</v>
      </c>
      <c r="C548" s="11" t="n">
        <v>21.5951</v>
      </c>
      <c r="D548" s="11" t="n">
        <v>21.3451</v>
      </c>
      <c r="E548" s="11" t="n">
        <v>21.8451</v>
      </c>
      <c r="F548" s="12" t="n">
        <f aca="false">IF(C548="","",B548/C548)</f>
        <v>836.104023597946</v>
      </c>
      <c r="G548" s="12" t="n">
        <f aca="false">MEDIAN(F538:F558)</f>
        <v>835.328760815298</v>
      </c>
      <c r="H548" s="13" t="n">
        <f aca="false">B548/G548</f>
        <v>21.6151422613262</v>
      </c>
      <c r="I548" s="14" t="n">
        <f aca="false">B548/Summary!$C$8*100</f>
        <v>180.935655520037</v>
      </c>
      <c r="J548" s="14" t="n">
        <f aca="false">G548/Summary!$E$8*100</f>
        <v>141.968987606968</v>
      </c>
      <c r="K548" s="15" t="n">
        <f aca="false">Summary!$D$9</f>
        <v>16.9374488591431</v>
      </c>
      <c r="L548" s="16" t="str">
        <f aca="false">IF(OR(D548="",E548=""),"edge hidden",IF(AND(H548&gt;=D548-0.02,H548&lt;=E548+0.02),"yes","no"))</f>
        <v>yes</v>
      </c>
    </row>
    <row r="549" customFormat="false" ht="15" hidden="false" customHeight="false" outlineLevel="0" collapsed="false">
      <c r="A549" s="9" t="n">
        <v>44573</v>
      </c>
      <c r="B549" s="10" t="n">
        <v>18212.35</v>
      </c>
      <c r="C549" s="11" t="n">
        <v>21.6738</v>
      </c>
      <c r="D549" s="11" t="n">
        <v>21.4868</v>
      </c>
      <c r="E549" s="11" t="n">
        <v>21.8608</v>
      </c>
      <c r="F549" s="12" t="n">
        <f aca="false">IF(C549="","",B549/C549)</f>
        <v>840.29334957414</v>
      </c>
      <c r="G549" s="12" t="n">
        <f aca="false">MEDIAN(F539:F559)</f>
        <v>834.788427531961</v>
      </c>
      <c r="H549" s="13" t="n">
        <f aca="false">B549/G549</f>
        <v>21.816725531096</v>
      </c>
      <c r="I549" s="14" t="n">
        <f aca="false">B549/Summary!$C$8*100</f>
        <v>182.504935314808</v>
      </c>
      <c r="J549" s="14" t="n">
        <f aca="false">G549/Summary!$E$8*100</f>
        <v>141.877154818724</v>
      </c>
      <c r="K549" s="15" t="n">
        <f aca="false">Summary!$D$9</f>
        <v>16.9374488591431</v>
      </c>
      <c r="L549" s="16" t="str">
        <f aca="false">IF(OR(D549="",E549=""),"edge hidden",IF(AND(H549&gt;=D549-0.02,H549&lt;=E549+0.02),"yes","no"))</f>
        <v>yes</v>
      </c>
    </row>
    <row r="550" customFormat="false" ht="15" hidden="false" customHeight="false" outlineLevel="0" collapsed="false">
      <c r="A550" s="9" t="n">
        <v>44574</v>
      </c>
      <c r="B550" s="10" t="n">
        <v>18257.8</v>
      </c>
      <c r="C550" s="11" t="n">
        <v>21.7053</v>
      </c>
      <c r="D550" s="11" t="n">
        <v>21.5419</v>
      </c>
      <c r="E550" s="11" t="n">
        <v>21.8687</v>
      </c>
      <c r="F550" s="12" t="n">
        <f aca="false">IF(C550="","",B550/C550)</f>
        <v>841.16782536984</v>
      </c>
      <c r="G550" s="12" t="n">
        <f aca="false">MEDIAN(F540:F560)</f>
        <v>834.788427531961</v>
      </c>
      <c r="H550" s="13" t="n">
        <f aca="false">B550/G550</f>
        <v>21.8711704640886</v>
      </c>
      <c r="I550" s="14" t="n">
        <f aca="false">B550/Summary!$C$8*100</f>
        <v>182.960387209267</v>
      </c>
      <c r="J550" s="14" t="n">
        <f aca="false">G550/Summary!$E$8*100</f>
        <v>141.877154818724</v>
      </c>
      <c r="K550" s="15" t="n">
        <f aca="false">Summary!$D$9</f>
        <v>16.9374488591431</v>
      </c>
      <c r="L550" s="16" t="str">
        <f aca="false">IF(OR(D550="",E550=""),"edge hidden",IF(AND(H550&gt;=D550-0.02,H550&lt;=E550+0.02),"yes","no"))</f>
        <v>yes</v>
      </c>
    </row>
    <row r="551" customFormat="false" ht="15" hidden="false" customHeight="false" outlineLevel="0" collapsed="false">
      <c r="A551" s="9" t="n">
        <v>44575</v>
      </c>
      <c r="B551" s="10" t="n">
        <v>18255.75</v>
      </c>
      <c r="C551" s="11" t="n">
        <v>21.7368</v>
      </c>
      <c r="D551" s="11" t="n">
        <v>21.5813</v>
      </c>
      <c r="E551" s="11" t="n">
        <v>21.8923</v>
      </c>
      <c r="F551" s="12" t="n">
        <f aca="false">IF(C551="","",B551/C551)</f>
        <v>839.854532405874</v>
      </c>
      <c r="G551" s="12" t="n">
        <f aca="false">MEDIAN(F541:F561)</f>
        <v>834.788427531961</v>
      </c>
      <c r="H551" s="13" t="n">
        <f aca="false">B551/G551</f>
        <v>21.8687147520394</v>
      </c>
      <c r="I551" s="14" t="n">
        <f aca="false">B551/Summary!$C$8*100</f>
        <v>182.939844274534</v>
      </c>
      <c r="J551" s="14" t="n">
        <f aca="false">G551/Summary!$E$8*100</f>
        <v>141.877154818724</v>
      </c>
      <c r="K551" s="15" t="n">
        <f aca="false">Summary!$D$9</f>
        <v>16.9374488591431</v>
      </c>
      <c r="L551" s="16" t="str">
        <f aca="false">IF(OR(D551="",E551=""),"edge hidden",IF(AND(H551&gt;=D551-0.02,H551&lt;=E551+0.02),"yes","no"))</f>
        <v>yes</v>
      </c>
    </row>
    <row r="552" customFormat="false" ht="15" hidden="false" customHeight="false" outlineLevel="0" collapsed="false">
      <c r="A552" s="9" t="n">
        <v>44578</v>
      </c>
      <c r="B552" s="10" t="n">
        <v>18308.1</v>
      </c>
      <c r="C552" s="11" t="n">
        <v>21.5163</v>
      </c>
      <c r="D552" s="11" t="n">
        <v>21.1325</v>
      </c>
      <c r="E552" s="11" t="n">
        <v>21.9002</v>
      </c>
      <c r="F552" s="12" t="n">
        <f aca="false">IF(C552="","",B552/C552)</f>
        <v>850.894438170131</v>
      </c>
      <c r="G552" s="12" t="n">
        <f aca="false">MEDIAN(F542:F562)</f>
        <v>834.788427531961</v>
      </c>
      <c r="H552" s="13" t="n">
        <f aca="false">B552/G552</f>
        <v>21.9314252524171</v>
      </c>
      <c r="I552" s="14" t="n">
        <f aca="false">B552/Summary!$C$8*100</f>
        <v>183.464440681023</v>
      </c>
      <c r="J552" s="14" t="n">
        <f aca="false">G552/Summary!$E$8*100</f>
        <v>141.877154818724</v>
      </c>
      <c r="K552" s="15" t="n">
        <f aca="false">Summary!$D$9</f>
        <v>16.9374488591431</v>
      </c>
      <c r="L552" s="16" t="str">
        <f aca="false">IF(OR(D552="",E552=""),"edge hidden",IF(AND(H552&gt;=D552-0.02,H552&lt;=E552+0.02),"yes","no"))</f>
        <v>no</v>
      </c>
    </row>
    <row r="553" customFormat="false" ht="15" hidden="false" customHeight="false" outlineLevel="0" collapsed="false">
      <c r="A553" s="9" t="n">
        <v>44579</v>
      </c>
      <c r="B553" s="10" t="n">
        <v>18113.05</v>
      </c>
      <c r="C553" s="11" t="n">
        <v>21.4533</v>
      </c>
      <c r="D553" s="11" t="n">
        <v>21.0143</v>
      </c>
      <c r="E553" s="11" t="n">
        <v>21.8923</v>
      </c>
      <c r="F553" s="12" t="n">
        <f aca="false">IF(C553="","",B553/C553)</f>
        <v>844.301342916941</v>
      </c>
      <c r="G553" s="12" t="n">
        <f aca="false">MEDIAN(F543:F563)</f>
        <v>836.104023597946</v>
      </c>
      <c r="H553" s="13" t="n">
        <f aca="false">B553/G553</f>
        <v>21.6636321423923</v>
      </c>
      <c r="I553" s="14" t="n">
        <f aca="false">B553/Summary!$C$8*100</f>
        <v>181.5098555982</v>
      </c>
      <c r="J553" s="14" t="n">
        <f aca="false">G553/Summary!$E$8*100</f>
        <v>142.100748031779</v>
      </c>
      <c r="K553" s="15" t="n">
        <f aca="false">Summary!$D$9</f>
        <v>16.9374488591431</v>
      </c>
      <c r="L553" s="16" t="str">
        <f aca="false">IF(OR(D553="",E553=""),"edge hidden",IF(AND(H553&gt;=D553-0.02,H553&lt;=E553+0.02),"yes","no"))</f>
        <v>yes</v>
      </c>
    </row>
    <row r="554" customFormat="false" ht="15" hidden="false" customHeight="false" outlineLevel="0" collapsed="false">
      <c r="A554" s="9" t="n">
        <v>44580</v>
      </c>
      <c r="B554" s="10" t="n">
        <v>17938.4</v>
      </c>
      <c r="C554" s="11" t="n">
        <v>21.4336</v>
      </c>
      <c r="D554" s="11" t="n">
        <v>20.9828</v>
      </c>
      <c r="E554" s="11" t="n">
        <v>21.8844</v>
      </c>
      <c r="F554" s="12" t="n">
        <f aca="false">IF(C554="","",B554/C554)</f>
        <v>836.928934010152</v>
      </c>
      <c r="G554" s="12" t="n">
        <f aca="false">MEDIAN(F544:F564)</f>
        <v>834.788427531961</v>
      </c>
      <c r="H554" s="13" t="n">
        <f aca="false">B554/G554</f>
        <v>21.4885585477444</v>
      </c>
      <c r="I554" s="14" t="n">
        <f aca="false">B554/Summary!$C$8*100</f>
        <v>179.759697768336</v>
      </c>
      <c r="J554" s="14" t="n">
        <f aca="false">G554/Summary!$E$8*100</f>
        <v>141.877154818724</v>
      </c>
      <c r="K554" s="15" t="n">
        <f aca="false">Summary!$D$9</f>
        <v>16.9374488591431</v>
      </c>
      <c r="L554" s="16" t="str">
        <f aca="false">IF(OR(D554="",E554=""),"edge hidden",IF(AND(H554&gt;=D554-0.02,H554&lt;=E554+0.02),"yes","no"))</f>
        <v>yes</v>
      </c>
    </row>
    <row r="555" customFormat="false" ht="15" hidden="false" customHeight="false" outlineLevel="0" collapsed="false">
      <c r="A555" s="9" t="n">
        <v>44581</v>
      </c>
      <c r="B555" s="10" t="n">
        <v>17757</v>
      </c>
      <c r="C555" s="11" t="n">
        <v>21.347</v>
      </c>
      <c r="D555" s="11" t="n">
        <v>20.8332</v>
      </c>
      <c r="E555" s="11" t="n">
        <v>21.8608</v>
      </c>
      <c r="F555" s="12" t="n">
        <f aca="false">IF(C555="","",B555/C555)</f>
        <v>831.826486157306</v>
      </c>
      <c r="G555" s="12" t="n">
        <f aca="false">MEDIAN(F545:F565)</f>
        <v>833.829679821778</v>
      </c>
      <c r="H555" s="13" t="n">
        <f aca="false">B555/G555</f>
        <v>21.2957159354118</v>
      </c>
      <c r="I555" s="14" t="n">
        <f aca="false">B555/Summary!$C$8*100</f>
        <v>177.941898568007</v>
      </c>
      <c r="J555" s="14" t="n">
        <f aca="false">G555/Summary!$E$8*100</f>
        <v>141.714210061917</v>
      </c>
      <c r="K555" s="15" t="n">
        <f aca="false">Summary!$D$9</f>
        <v>16.9374488591431</v>
      </c>
      <c r="L555" s="16" t="str">
        <f aca="false">IF(OR(D555="",E555=""),"edge hidden",IF(AND(H555&gt;=D555-0.02,H555&lt;=E555+0.02),"yes","no"))</f>
        <v>yes</v>
      </c>
    </row>
    <row r="556" customFormat="false" ht="15" hidden="false" customHeight="false" outlineLevel="0" collapsed="false">
      <c r="A556" s="9" t="n">
        <v>44582</v>
      </c>
      <c r="B556" s="10" t="n">
        <v>17617.15</v>
      </c>
      <c r="C556" s="11" t="n">
        <v>20.9218</v>
      </c>
      <c r="D556" s="11" t="n">
        <v>20.4474</v>
      </c>
      <c r="E556" s="11" t="n">
        <v>21.3962</v>
      </c>
      <c r="F556" s="12" t="n">
        <f aca="false">IF(C556="","",B556/C556)</f>
        <v>842.047529371278</v>
      </c>
      <c r="G556" s="12" t="n">
        <f aca="false">MEDIAN(F546:F566)</f>
        <v>833.829679821778</v>
      </c>
      <c r="H556" s="13" t="n">
        <f aca="false">B556/G556</f>
        <v>21.127995832153</v>
      </c>
      <c r="I556" s="14" t="n">
        <f aca="false">B556/Summary!$C$8*100</f>
        <v>176.540469581425</v>
      </c>
      <c r="J556" s="14" t="n">
        <f aca="false">G556/Summary!$E$8*100</f>
        <v>141.714210061917</v>
      </c>
      <c r="K556" s="15" t="n">
        <f aca="false">Summary!$D$9</f>
        <v>16.9374488591431</v>
      </c>
      <c r="L556" s="16" t="str">
        <f aca="false">IF(OR(D556="",E556=""),"edge hidden",IF(AND(H556&gt;=D556-0.02,H556&lt;=E556+0.02),"yes","no"))</f>
        <v>yes</v>
      </c>
    </row>
    <row r="557" customFormat="false" ht="15" hidden="false" customHeight="false" outlineLevel="0" collapsed="false">
      <c r="A557" s="9" t="n">
        <v>44585</v>
      </c>
      <c r="B557" s="10" t="n">
        <v>17149.1</v>
      </c>
      <c r="C557" s="11" t="n">
        <v>20.7014</v>
      </c>
      <c r="D557" s="11" t="n">
        <v>20.4395</v>
      </c>
      <c r="E557" s="11" t="n">
        <v>20.9632</v>
      </c>
      <c r="F557" s="12" t="n">
        <f aca="false">IF(C557="","",B557/C557)</f>
        <v>828.402909948119</v>
      </c>
      <c r="G557" s="12" t="n">
        <f aca="false">MEDIAN(F547:F567)</f>
        <v>833.829679821778</v>
      </c>
      <c r="H557" s="13" t="n">
        <f aca="false">B557/G557</f>
        <v>20.5666701665806</v>
      </c>
      <c r="I557" s="14" t="n">
        <f aca="false">B557/Summary!$C$8*100</f>
        <v>171.850166848714</v>
      </c>
      <c r="J557" s="14" t="n">
        <f aca="false">G557/Summary!$E$8*100</f>
        <v>141.714210061917</v>
      </c>
      <c r="K557" s="15" t="n">
        <f aca="false">Summary!$D$9</f>
        <v>16.9374488591431</v>
      </c>
      <c r="L557" s="16" t="str">
        <f aca="false">IF(OR(D557="",E557=""),"edge hidden",IF(AND(H557&gt;=D557-0.02,H557&lt;=E557+0.02),"yes","no"))</f>
        <v>yes</v>
      </c>
    </row>
    <row r="558" customFormat="false" ht="15" hidden="false" customHeight="false" outlineLevel="0" collapsed="false">
      <c r="A558" s="9" t="n">
        <v>44586</v>
      </c>
      <c r="B558" s="10" t="n">
        <v>17277.95</v>
      </c>
      <c r="C558" s="11" t="n">
        <v>20.6974</v>
      </c>
      <c r="D558" s="11" t="n">
        <v>20.4395</v>
      </c>
      <c r="E558" s="11" t="n">
        <v>20.9553</v>
      </c>
      <c r="F558" s="12" t="n">
        <f aca="false">IF(C558="","",B558/C558)</f>
        <v>834.788427531961</v>
      </c>
      <c r="G558" s="12" t="n">
        <f aca="false">MEDIAN(F548:F568)</f>
        <v>833.303908423318</v>
      </c>
      <c r="H558" s="13" t="n">
        <f aca="false">B558/G558</f>
        <v>20.7342721249098</v>
      </c>
      <c r="I558" s="14" t="n">
        <f aca="false">B558/Summary!$C$8*100</f>
        <v>173.141365453798</v>
      </c>
      <c r="J558" s="14" t="n">
        <f aca="false">G558/Summary!$E$8*100</f>
        <v>141.624852150812</v>
      </c>
      <c r="K558" s="15" t="n">
        <f aca="false">Summary!$D$9</f>
        <v>16.9374488591431</v>
      </c>
      <c r="L558" s="16" t="str">
        <f aca="false">IF(OR(D558="",E558=""),"edge hidden",IF(AND(H558&gt;=D558-0.02,H558&lt;=E558+0.02),"yes","no"))</f>
        <v>yes</v>
      </c>
    </row>
    <row r="559" customFormat="false" ht="15" hidden="false" customHeight="false" outlineLevel="0" collapsed="false">
      <c r="A559" s="9" t="n">
        <v>44588</v>
      </c>
      <c r="B559" s="10" t="n">
        <v>17110.15</v>
      </c>
      <c r="C559" s="11" t="n">
        <v>20.7998</v>
      </c>
      <c r="D559" s="11" t="n">
        <v>20.6364</v>
      </c>
      <c r="E559" s="11" t="n">
        <v>20.9632</v>
      </c>
      <c r="F559" s="12" t="n">
        <f aca="false">IF(C559="","",B559/C559)</f>
        <v>822.611275108415</v>
      </c>
      <c r="G559" s="12" t="n">
        <f aca="false">MEDIAN(F549:F569)</f>
        <v>833.303908423318</v>
      </c>
      <c r="H559" s="13" t="n">
        <f aca="false">B559/G559</f>
        <v>20.5329050146589</v>
      </c>
      <c r="I559" s="14" t="n">
        <f aca="false">B559/Summary!$C$8*100</f>
        <v>171.459851088776</v>
      </c>
      <c r="J559" s="14" t="n">
        <f aca="false">G559/Summary!$E$8*100</f>
        <v>141.624852150812</v>
      </c>
      <c r="K559" s="15" t="n">
        <f aca="false">Summary!$D$9</f>
        <v>16.9374488591431</v>
      </c>
      <c r="L559" s="16" t="str">
        <f aca="false">IF(OR(D559="",E559=""),"edge hidden",IF(AND(H559&gt;=D559-0.02,H559&lt;=E559+0.02),"yes","no"))</f>
        <v>no</v>
      </c>
    </row>
    <row r="560" customFormat="false" ht="15" hidden="false" customHeight="false" outlineLevel="0" collapsed="false">
      <c r="A560" s="9" t="n">
        <v>44589</v>
      </c>
      <c r="B560" s="10" t="n">
        <v>17101.95</v>
      </c>
      <c r="C560" s="11" t="n">
        <v>20.8825</v>
      </c>
      <c r="D560" s="11" t="n">
        <v>20.66</v>
      </c>
      <c r="E560" s="11" t="n">
        <v>21.1049</v>
      </c>
      <c r="F560" s="12" t="n">
        <f aca="false">IF(C560="","",B560/C560)</f>
        <v>818.960852388364</v>
      </c>
      <c r="G560" s="12" t="n">
        <f aca="false">MEDIAN(F550:F570)</f>
        <v>833.303908423318</v>
      </c>
      <c r="H560" s="13" t="n">
        <f aca="false">B560/G560</f>
        <v>20.5230646671973</v>
      </c>
      <c r="I560" s="14" t="n">
        <f aca="false">B560/Summary!$C$8*100</f>
        <v>171.377679349841</v>
      </c>
      <c r="J560" s="14" t="n">
        <f aca="false">G560/Summary!$E$8*100</f>
        <v>141.624852150812</v>
      </c>
      <c r="K560" s="15" t="n">
        <f aca="false">Summary!$D$9</f>
        <v>16.9374488591431</v>
      </c>
      <c r="L560" s="16" t="str">
        <f aca="false">IF(OR(D560="",E560=""),"edge hidden",IF(AND(H560&gt;=D560-0.02,H560&lt;=E560+0.02),"yes","no"))</f>
        <v>no</v>
      </c>
    </row>
    <row r="561" customFormat="false" ht="15" hidden="false" customHeight="false" outlineLevel="0" collapsed="false">
      <c r="A561" s="9" t="n">
        <v>44592</v>
      </c>
      <c r="B561" s="10" t="n">
        <v>17339.85</v>
      </c>
      <c r="C561" s="11" t="n">
        <v>21.0754</v>
      </c>
      <c r="D561" s="11" t="n">
        <v>20.6994</v>
      </c>
      <c r="E561" s="11" t="n">
        <v>21.4513</v>
      </c>
      <c r="F561" s="12" t="n">
        <f aca="false">IF(C561="","",B561/C561)</f>
        <v>822.753067557437</v>
      </c>
      <c r="G561" s="12" t="n">
        <f aca="false">MEDIAN(F551:F571)</f>
        <v>833.065548130243</v>
      </c>
      <c r="H561" s="13" t="n">
        <f aca="false">B561/G561</f>
        <v>20.8145085808891</v>
      </c>
      <c r="I561" s="14" t="n">
        <f aca="false">B561/Summary!$C$8*100</f>
        <v>173.761661873315</v>
      </c>
      <c r="J561" s="14" t="n">
        <f aca="false">G561/Summary!$E$8*100</f>
        <v>141.584341430865</v>
      </c>
      <c r="K561" s="15" t="n">
        <f aca="false">Summary!$D$9</f>
        <v>16.9374488591431</v>
      </c>
      <c r="L561" s="16" t="str">
        <f aca="false">IF(OR(D561="",E561=""),"edge hidden",IF(AND(H561&gt;=D561-0.02,H561&lt;=E561+0.02),"yes","no"))</f>
        <v>yes</v>
      </c>
    </row>
    <row r="562" customFormat="false" ht="15" hidden="false" customHeight="false" outlineLevel="0" collapsed="false">
      <c r="A562" s="9" t="n">
        <v>44593</v>
      </c>
      <c r="B562" s="10" t="n">
        <v>17576.85</v>
      </c>
      <c r="C562" s="11" t="n">
        <v>21.099</v>
      </c>
      <c r="D562" s="11" t="n">
        <v>20.7388</v>
      </c>
      <c r="E562" s="11" t="n">
        <v>21.4592</v>
      </c>
      <c r="F562" s="12" t="n">
        <f aca="false">IF(C562="","",B562/C562)</f>
        <v>833.065548130243</v>
      </c>
      <c r="G562" s="12" t="n">
        <f aca="false">MEDIAN(F552:F572)</f>
        <v>833.065548130243</v>
      </c>
      <c r="H562" s="13" t="n">
        <f aca="false">B562/G562</f>
        <v>21.099</v>
      </c>
      <c r="I562" s="14" t="n">
        <f aca="false">B562/Summary!$C$8*100</f>
        <v>176.136625547394</v>
      </c>
      <c r="J562" s="14" t="n">
        <f aca="false">G562/Summary!$E$8*100</f>
        <v>141.584341430865</v>
      </c>
      <c r="K562" s="15" t="n">
        <f aca="false">Summary!$D$9</f>
        <v>16.9374488591431</v>
      </c>
      <c r="L562" s="16" t="str">
        <f aca="false">IF(OR(D562="",E562=""),"edge hidden",IF(AND(H562&gt;=D562-0.02,H562&lt;=E562+0.02),"yes","no"))</f>
        <v>yes</v>
      </c>
    </row>
    <row r="563" customFormat="false" ht="15" hidden="false" customHeight="false" outlineLevel="0" collapsed="false">
      <c r="A563" s="9" t="n">
        <v>44594</v>
      </c>
      <c r="B563" s="10" t="n">
        <v>17780</v>
      </c>
      <c r="C563" s="11" t="n">
        <v>21.1069</v>
      </c>
      <c r="D563" s="11" t="n">
        <v>20.7624</v>
      </c>
      <c r="E563" s="11" t="n">
        <v>21.4513</v>
      </c>
      <c r="F563" s="12" t="n">
        <f aca="false">IF(C563="","",B563/C563)</f>
        <v>842.378558670387</v>
      </c>
      <c r="G563" s="12" t="n">
        <f aca="false">MEDIAN(F553:F573)</f>
        <v>833.065548130243</v>
      </c>
      <c r="H563" s="13" t="n">
        <f aca="false">B563/G563</f>
        <v>21.3428583619932</v>
      </c>
      <c r="I563" s="14" t="n">
        <f aca="false">B563/Summary!$C$8*100</f>
        <v>178.172380274774</v>
      </c>
      <c r="J563" s="14" t="n">
        <f aca="false">G563/Summary!$E$8*100</f>
        <v>141.584341430865</v>
      </c>
      <c r="K563" s="15" t="n">
        <f aca="false">Summary!$D$9</f>
        <v>16.9374488591431</v>
      </c>
      <c r="L563" s="16" t="str">
        <f aca="false">IF(OR(D563="",E563=""),"edge hidden",IF(AND(H563&gt;=D563-0.02,H563&lt;=E563+0.02),"yes","no"))</f>
        <v>yes</v>
      </c>
    </row>
    <row r="564" customFormat="false" ht="15" hidden="false" customHeight="false" outlineLevel="0" collapsed="false">
      <c r="A564" s="9" t="n">
        <v>44595</v>
      </c>
      <c r="B564" s="10" t="n">
        <v>17560.2</v>
      </c>
      <c r="C564" s="11" t="n">
        <v>21.1069</v>
      </c>
      <c r="D564" s="11" t="n">
        <v>20.7702</v>
      </c>
      <c r="E564" s="11" t="n">
        <v>21.4435</v>
      </c>
      <c r="F564" s="12" t="n">
        <f aca="false">IF(C564="","",B564/C564)</f>
        <v>831.964902472651</v>
      </c>
      <c r="G564" s="12" t="n">
        <f aca="false">MEDIAN(F554:F574)</f>
        <v>833.065548130243</v>
      </c>
      <c r="H564" s="13" t="n">
        <f aca="false">B564/G564</f>
        <v>21.0790135775182</v>
      </c>
      <c r="I564" s="14" t="n">
        <f aca="false">B564/Summary!$C$8*100</f>
        <v>175.969776833582</v>
      </c>
      <c r="J564" s="14" t="n">
        <f aca="false">G564/Summary!$E$8*100</f>
        <v>141.584341430865</v>
      </c>
      <c r="K564" s="15" t="n">
        <f aca="false">Summary!$D$9</f>
        <v>16.9374488591431</v>
      </c>
      <c r="L564" s="16" t="str">
        <f aca="false">IF(OR(D564="",E564=""),"edge hidden",IF(AND(H564&gt;=D564-0.02,H564&lt;=E564+0.02),"yes","no"))</f>
        <v>yes</v>
      </c>
    </row>
    <row r="565" customFormat="false" ht="15" hidden="false" customHeight="false" outlineLevel="0" collapsed="false">
      <c r="A565" s="9" t="n">
        <v>44596</v>
      </c>
      <c r="B565" s="10" t="n">
        <v>17516.3</v>
      </c>
      <c r="C565" s="11" t="n">
        <v>21.099</v>
      </c>
      <c r="D565" s="11" t="n">
        <v>20.7702</v>
      </c>
      <c r="E565" s="11" t="n">
        <v>21.4277</v>
      </c>
      <c r="F565" s="12" t="n">
        <f aca="false">IF(C565="","",B565/C565)</f>
        <v>830.195743874117</v>
      </c>
      <c r="G565" s="12" t="n">
        <f aca="false">MEDIAN(F555:F575)</f>
        <v>833.065548130243</v>
      </c>
      <c r="H565" s="13" t="n">
        <f aca="false">B565/G565</f>
        <v>21.0263166437672</v>
      </c>
      <c r="I565" s="14" t="n">
        <f aca="false">B565/Summary!$C$8*100</f>
        <v>175.52985740197</v>
      </c>
      <c r="J565" s="14" t="n">
        <f aca="false">G565/Summary!$E$8*100</f>
        <v>141.584341430865</v>
      </c>
      <c r="K565" s="15" t="n">
        <f aca="false">Summary!$D$9</f>
        <v>16.9374488591431</v>
      </c>
      <c r="L565" s="16" t="str">
        <f aca="false">IF(OR(D565="",E565=""),"edge hidden",IF(AND(H565&gt;=D565-0.02,H565&lt;=E565+0.02),"yes","no"))</f>
        <v>yes</v>
      </c>
    </row>
    <row r="566" customFormat="false" ht="15" hidden="false" customHeight="false" outlineLevel="0" collapsed="false">
      <c r="A566" s="9" t="n">
        <v>44599</v>
      </c>
      <c r="B566" s="10" t="n">
        <v>17213.6</v>
      </c>
      <c r="C566" s="11" t="n">
        <v>20.9651</v>
      </c>
      <c r="D566" s="11" t="n">
        <v>20.7624</v>
      </c>
      <c r="E566" s="11" t="n">
        <v>21.1679</v>
      </c>
      <c r="F566" s="12" t="n">
        <f aca="false">IF(C566="","",B566/C566)</f>
        <v>821.059761222222</v>
      </c>
      <c r="G566" s="12" t="n">
        <f aca="false">MEDIAN(F556:F576)</f>
        <v>833.303908423318</v>
      </c>
      <c r="H566" s="13" t="n">
        <f aca="false">B566/G566</f>
        <v>20.6570493981837</v>
      </c>
      <c r="I566" s="14" t="n">
        <f aca="false">B566/Summary!$C$8*100</f>
        <v>172.496517722039</v>
      </c>
      <c r="J566" s="14" t="n">
        <f aca="false">G566/Summary!$E$8*100</f>
        <v>141.624852150812</v>
      </c>
      <c r="K566" s="15" t="n">
        <f aca="false">Summary!$D$9</f>
        <v>16.9374488591431</v>
      </c>
      <c r="L566" s="16" t="str">
        <f aca="false">IF(OR(D566="",E566=""),"edge hidden",IF(AND(H566&gt;=D566-0.02,H566&lt;=E566+0.02),"yes","no"))</f>
        <v>no</v>
      </c>
    </row>
    <row r="567" customFormat="false" ht="15" hidden="false" customHeight="false" outlineLevel="0" collapsed="false">
      <c r="A567" s="9" t="n">
        <v>44600</v>
      </c>
      <c r="B567" s="10" t="n">
        <v>17266.75</v>
      </c>
      <c r="C567" s="11" t="n">
        <v>20.9651</v>
      </c>
      <c r="D567" s="11" t="n">
        <v>20.7624</v>
      </c>
      <c r="E567" s="11" t="n">
        <v>21.1679</v>
      </c>
      <c r="F567" s="12" t="n">
        <f aca="false">IF(C567="","",B567/C567)</f>
        <v>823.594926806932</v>
      </c>
      <c r="G567" s="12" t="n">
        <f aca="false">MEDIAN(F557:F577)</f>
        <v>833.303908423318</v>
      </c>
      <c r="H567" s="13" t="n">
        <f aca="false">B567/G567</f>
        <v>20.7208316503281</v>
      </c>
      <c r="I567" s="14" t="n">
        <f aca="false">B567/Summary!$C$8*100</f>
        <v>173.029130883547</v>
      </c>
      <c r="J567" s="14" t="n">
        <f aca="false">G567/Summary!$E$8*100</f>
        <v>141.624852150812</v>
      </c>
      <c r="K567" s="15" t="n">
        <f aca="false">Summary!$D$9</f>
        <v>16.9374488591431</v>
      </c>
      <c r="L567" s="16" t="str">
        <f aca="false">IF(OR(D567="",E567=""),"edge hidden",IF(AND(H567&gt;=D567-0.02,H567&lt;=E567+0.02),"yes","no"))</f>
        <v>no</v>
      </c>
    </row>
    <row r="568" customFormat="false" ht="15" hidden="false" customHeight="false" outlineLevel="0" collapsed="false">
      <c r="A568" s="9" t="n">
        <v>44601</v>
      </c>
      <c r="B568" s="10" t="n">
        <v>17463.8</v>
      </c>
      <c r="C568" s="11" t="n">
        <v>20.9573</v>
      </c>
      <c r="D568" s="11" t="n">
        <v>20.7466</v>
      </c>
      <c r="E568" s="11" t="n">
        <v>21.1679</v>
      </c>
      <c r="F568" s="12" t="n">
        <f aca="false">IF(C568="","",B568/C568)</f>
        <v>833.303908423318</v>
      </c>
      <c r="G568" s="12" t="n">
        <f aca="false">MEDIAN(F558:F578)</f>
        <v>834.788427531961</v>
      </c>
      <c r="H568" s="13" t="n">
        <f aca="false">B568/G568</f>
        <v>20.920031260653</v>
      </c>
      <c r="I568" s="14" t="n">
        <f aca="false">B568/Summary!$C$8*100</f>
        <v>175.003757853915</v>
      </c>
      <c r="J568" s="14" t="n">
        <f aca="false">G568/Summary!$E$8*100</f>
        <v>141.877154818724</v>
      </c>
      <c r="K568" s="15" t="n">
        <f aca="false">Summary!$D$9</f>
        <v>16.9374488591431</v>
      </c>
      <c r="L568" s="16" t="str">
        <f aca="false">IF(OR(D568="",E568=""),"edge hidden",IF(AND(H568&gt;=D568-0.02,H568&lt;=E568+0.02),"yes","no"))</f>
        <v>yes</v>
      </c>
    </row>
    <row r="569" customFormat="false" ht="15" hidden="false" customHeight="false" outlineLevel="0" collapsed="false">
      <c r="A569" s="9" t="n">
        <v>44602</v>
      </c>
      <c r="B569" s="10" t="n">
        <v>17605.85</v>
      </c>
      <c r="C569" s="11" t="n">
        <v>20.7447</v>
      </c>
      <c r="D569" s="11" t="n">
        <v>20.3214</v>
      </c>
      <c r="E569" s="11" t="n">
        <v>21.1679</v>
      </c>
      <c r="F569" s="12" t="n">
        <f aca="false">IF(C569="","",B569/C569)</f>
        <v>848.691473002743</v>
      </c>
      <c r="G569" s="12" t="n">
        <f aca="false">MEDIAN(F559:F579)</f>
        <v>833.303908423318</v>
      </c>
      <c r="H569" s="13" t="n">
        <f aca="false">B569/G569</f>
        <v>21.1277660191367</v>
      </c>
      <c r="I569" s="14" t="n">
        <f aca="false">B569/Summary!$C$8*100</f>
        <v>176.427232916796</v>
      </c>
      <c r="J569" s="14" t="n">
        <f aca="false">G569/Summary!$E$8*100</f>
        <v>141.624852150812</v>
      </c>
      <c r="K569" s="15" t="n">
        <f aca="false">Summary!$D$9</f>
        <v>16.9374488591431</v>
      </c>
      <c r="L569" s="16" t="str">
        <f aca="false">IF(OR(D569="",E569=""),"edge hidden",IF(AND(H569&gt;=D569-0.02,H569&lt;=E569+0.02),"yes","no"))</f>
        <v>yes</v>
      </c>
    </row>
    <row r="570" customFormat="false" ht="15" hidden="false" customHeight="false" outlineLevel="0" collapsed="false">
      <c r="A570" s="9" t="n">
        <v>44603</v>
      </c>
      <c r="B570" s="10" t="n">
        <v>17374.75</v>
      </c>
      <c r="C570" s="11" t="n">
        <v>20.6777</v>
      </c>
      <c r="D570" s="11" t="n">
        <v>20.1876</v>
      </c>
      <c r="E570" s="11" t="n">
        <v>21.1679</v>
      </c>
      <c r="F570" s="12" t="n">
        <f aca="false">IF(C570="","",B570/C570)</f>
        <v>840.2651165265</v>
      </c>
      <c r="G570" s="12" t="n">
        <f aca="false">MEDIAN(F560:F580)</f>
        <v>840.2651165265</v>
      </c>
      <c r="H570" s="13" t="n">
        <f aca="false">B570/G570</f>
        <v>20.6777</v>
      </c>
      <c r="I570" s="14" t="n">
        <f aca="false">B570/Summary!$C$8*100</f>
        <v>174.111392810975</v>
      </c>
      <c r="J570" s="14" t="n">
        <f aca="false">G570/Summary!$E$8*100</f>
        <v>142.807950007955</v>
      </c>
      <c r="K570" s="15" t="n">
        <f aca="false">Summary!$D$9</f>
        <v>16.9374488591431</v>
      </c>
      <c r="L570" s="16" t="str">
        <f aca="false">IF(OR(D570="",E570=""),"edge hidden",IF(AND(H570&gt;=D570-0.02,H570&lt;=E570+0.02),"yes","no"))</f>
        <v>yes</v>
      </c>
    </row>
    <row r="571" customFormat="false" ht="15" hidden="false" customHeight="false" outlineLevel="0" collapsed="false">
      <c r="A571" s="9" t="n">
        <v>44606</v>
      </c>
      <c r="B571" s="10" t="n">
        <v>16842.8</v>
      </c>
      <c r="C571" s="11" t="n">
        <v>20.4966</v>
      </c>
      <c r="D571" s="11" t="n">
        <v>20.1718</v>
      </c>
      <c r="E571" s="11" t="n">
        <v>20.8214</v>
      </c>
      <c r="F571" s="12" t="n">
        <f aca="false">IF(C571="","",B571/C571)</f>
        <v>821.736287969712</v>
      </c>
      <c r="G571" s="12" t="n">
        <f aca="false">MEDIAN(F561:F581)</f>
        <v>842.378558670387</v>
      </c>
      <c r="H571" s="13" t="n">
        <f aca="false">B571/G571</f>
        <v>19.9943360697413</v>
      </c>
      <c r="I571" s="14" t="n">
        <f aca="false">B571/Summary!$C$8*100</f>
        <v>168.780751771202</v>
      </c>
      <c r="J571" s="14" t="n">
        <f aca="false">G571/Summary!$E$8*100</f>
        <v>143.167141808367</v>
      </c>
      <c r="K571" s="15" t="n">
        <f aca="false">Summary!$D$9</f>
        <v>16.9374488591431</v>
      </c>
      <c r="L571" s="16" t="str">
        <f aca="false">IF(OR(D571="",E571=""),"edge hidden",IF(AND(H571&gt;=D571-0.02,H571&lt;=E571+0.02),"yes","no"))</f>
        <v>no</v>
      </c>
    </row>
    <row r="572" customFormat="false" ht="15" hidden="false" customHeight="false" outlineLevel="0" collapsed="false">
      <c r="A572" s="9" t="n">
        <v>44607</v>
      </c>
      <c r="B572" s="10" t="n">
        <v>17352.45</v>
      </c>
      <c r="C572" s="11" t="n">
        <v>20.4888</v>
      </c>
      <c r="D572" s="11" t="n">
        <v>20.1797</v>
      </c>
      <c r="E572" s="11" t="n">
        <v>20.7978</v>
      </c>
      <c r="F572" s="12" t="n">
        <f aca="false">IF(C572="","",B572/C572)</f>
        <v>846.923685135294</v>
      </c>
      <c r="G572" s="12" t="n">
        <f aca="false">MEDIAN(F562:F582)</f>
        <v>843.532266648438</v>
      </c>
      <c r="H572" s="13" t="n">
        <f aca="false">B572/G572</f>
        <v>20.5711751477458</v>
      </c>
      <c r="I572" s="14" t="n">
        <f aca="false">B572/Summary!$C$8*100</f>
        <v>173.887925764849</v>
      </c>
      <c r="J572" s="14" t="n">
        <f aca="false">G572/Summary!$E$8*100</f>
        <v>143.363221198089</v>
      </c>
      <c r="K572" s="15" t="n">
        <f aca="false">Summary!$D$9</f>
        <v>16.9374488591431</v>
      </c>
      <c r="L572" s="16" t="str">
        <f aca="false">IF(OR(D572="",E572=""),"edge hidden",IF(AND(H572&gt;=D572-0.02,H572&lt;=E572+0.02),"yes","no"))</f>
        <v>yes</v>
      </c>
    </row>
    <row r="573" customFormat="false" ht="15" hidden="false" customHeight="false" outlineLevel="0" collapsed="false">
      <c r="A573" s="9" t="n">
        <v>44608</v>
      </c>
      <c r="B573" s="10" t="n">
        <v>17322.2</v>
      </c>
      <c r="C573" s="11" t="n">
        <v>20.4376</v>
      </c>
      <c r="D573" s="11" t="n">
        <v>20.1797</v>
      </c>
      <c r="E573" s="11" t="n">
        <v>20.6954</v>
      </c>
      <c r="F573" s="12" t="n">
        <f aca="false">IF(C573="","",B573/C573)</f>
        <v>847.565271851881</v>
      </c>
      <c r="G573" s="12" t="n">
        <f aca="false">MEDIAN(F563:F583)</f>
        <v>844.914041863395</v>
      </c>
      <c r="H573" s="13" t="n">
        <f aca="false">B573/G573</f>
        <v>20.5017305213643</v>
      </c>
      <c r="I573" s="14" t="n">
        <f aca="false">B573/Summary!$C$8*100</f>
        <v>173.584792215731</v>
      </c>
      <c r="J573" s="14" t="n">
        <f aca="false">G573/Summary!$E$8*100</f>
        <v>143.598061942919</v>
      </c>
      <c r="K573" s="15" t="n">
        <f aca="false">Summary!$D$9</f>
        <v>16.9374488591431</v>
      </c>
      <c r="L573" s="16" t="str">
        <f aca="false">IF(OR(D573="",E573=""),"edge hidden",IF(AND(H573&gt;=D573-0.02,H573&lt;=E573+0.02),"yes","no"))</f>
        <v>yes</v>
      </c>
    </row>
    <row r="574" customFormat="false" ht="15" hidden="false" customHeight="false" outlineLevel="0" collapsed="false">
      <c r="A574" s="9" t="n">
        <v>44609</v>
      </c>
      <c r="B574" s="10" t="n">
        <v>17304.6</v>
      </c>
      <c r="C574" s="11" t="n">
        <v>20.4809</v>
      </c>
      <c r="D574" s="11" t="n">
        <v>20.2899</v>
      </c>
      <c r="E574" s="11" t="n">
        <v>20.6718</v>
      </c>
      <c r="F574" s="12" t="n">
        <f aca="false">IF(C574="","",B574/C574)</f>
        <v>844.914041863395</v>
      </c>
      <c r="G574" s="12" t="n">
        <f aca="false">MEDIAN(F564:F584)</f>
        <v>845.037842663799</v>
      </c>
      <c r="H574" s="13" t="n">
        <f aca="false">B574/G574</f>
        <v>20.4778994813427</v>
      </c>
      <c r="I574" s="14" t="n">
        <f aca="false">B574/Summary!$C$8*100</f>
        <v>173.408423605335</v>
      </c>
      <c r="J574" s="14" t="n">
        <f aca="false">G574/Summary!$E$8*100</f>
        <v>143.619102609927</v>
      </c>
      <c r="K574" s="15" t="n">
        <f aca="false">Summary!$D$9</f>
        <v>16.9374488591431</v>
      </c>
      <c r="L574" s="16" t="str">
        <f aca="false">IF(OR(D574="",E574=""),"edge hidden",IF(AND(H574&gt;=D574-0.02,H574&lt;=E574+0.02),"yes","no"))</f>
        <v>yes</v>
      </c>
    </row>
    <row r="575" customFormat="false" ht="15" hidden="false" customHeight="false" outlineLevel="0" collapsed="false">
      <c r="A575" s="9" t="n">
        <v>44610</v>
      </c>
      <c r="B575" s="10" t="n">
        <v>17276.3</v>
      </c>
      <c r="C575" s="11" t="n">
        <v>20.4809</v>
      </c>
      <c r="D575" s="11" t="n">
        <v>20.3057</v>
      </c>
      <c r="E575" s="11" t="n">
        <v>20.6561</v>
      </c>
      <c r="F575" s="12" t="n">
        <f aca="false">IF(C575="","",B575/C575)</f>
        <v>843.532266648438</v>
      </c>
      <c r="G575" s="12" t="n">
        <f aca="false">MEDIAN(F565:F585)</f>
        <v>845.037842663799</v>
      </c>
      <c r="H575" s="13" t="n">
        <f aca="false">B575/G575</f>
        <v>20.444409856889</v>
      </c>
      <c r="I575" s="14" t="n">
        <f aca="false">B575/Summary!$C$8*100</f>
        <v>173.124830896574</v>
      </c>
      <c r="J575" s="14" t="n">
        <f aca="false">G575/Summary!$E$8*100</f>
        <v>143.619102609927</v>
      </c>
      <c r="K575" s="15" t="n">
        <f aca="false">Summary!$D$9</f>
        <v>16.9374488591431</v>
      </c>
      <c r="L575" s="16" t="str">
        <f aca="false">IF(OR(D575="",E575=""),"edge hidden",IF(AND(H575&gt;=D575-0.02,H575&lt;=E575+0.02),"yes","no"))</f>
        <v>yes</v>
      </c>
    </row>
    <row r="576" customFormat="false" ht="15" hidden="false" customHeight="false" outlineLevel="0" collapsed="false">
      <c r="A576" s="9" t="n">
        <v>44613</v>
      </c>
      <c r="B576" s="10" t="n">
        <v>17206.65</v>
      </c>
      <c r="C576" s="11" t="n">
        <v>19.9376</v>
      </c>
      <c r="D576" s="11" t="n">
        <v>19.3214</v>
      </c>
      <c r="E576" s="11" t="n">
        <v>20.5537</v>
      </c>
      <c r="F576" s="12" t="n">
        <f aca="false">IF(C576="","",B576/C576)</f>
        <v>863.025138431908</v>
      </c>
      <c r="G576" s="12" t="n">
        <f aca="false">MEDIAN(F566:F586)</f>
        <v>845.037842663799</v>
      </c>
      <c r="H576" s="13" t="n">
        <f aca="false">B576/G576</f>
        <v>20.3619875126063</v>
      </c>
      <c r="I576" s="14" t="n">
        <f aca="false">B576/Summary!$C$8*100</f>
        <v>172.42687216282</v>
      </c>
      <c r="J576" s="14" t="n">
        <f aca="false">G576/Summary!$E$8*100</f>
        <v>143.619102609927</v>
      </c>
      <c r="K576" s="15" t="n">
        <f aca="false">Summary!$D$9</f>
        <v>16.9374488591431</v>
      </c>
      <c r="L576" s="16" t="str">
        <f aca="false">IF(OR(D576="",E576=""),"edge hidden",IF(AND(H576&gt;=D576-0.02,H576&lt;=E576+0.02),"yes","no"))</f>
        <v>yes</v>
      </c>
    </row>
    <row r="577" customFormat="false" ht="15" hidden="false" customHeight="false" outlineLevel="0" collapsed="false">
      <c r="A577" s="9" t="n">
        <v>44614</v>
      </c>
      <c r="B577" s="10" t="n">
        <v>17092.2</v>
      </c>
      <c r="C577" s="11" t="n">
        <v>19.9179</v>
      </c>
      <c r="D577" s="11" t="n">
        <v>19.3057</v>
      </c>
      <c r="E577" s="11" t="n">
        <v>20.5301</v>
      </c>
      <c r="F577" s="12" t="n">
        <f aca="false">IF(C577="","",B577/C577)</f>
        <v>858.132634464477</v>
      </c>
      <c r="G577" s="12" t="n">
        <f aca="false">MEDIAN(F567:F587)</f>
        <v>846.050287999833</v>
      </c>
      <c r="H577" s="13" t="n">
        <f aca="false">B577/G577</f>
        <v>20.2023452298658</v>
      </c>
      <c r="I577" s="14" t="n">
        <f aca="false">B577/Summary!$C$8*100</f>
        <v>171.279975148059</v>
      </c>
      <c r="J577" s="14" t="n">
        <f aca="false">G577/Summary!$E$8*100</f>
        <v>143.791173590967</v>
      </c>
      <c r="K577" s="15" t="n">
        <f aca="false">Summary!$D$9</f>
        <v>16.9374488591431</v>
      </c>
      <c r="L577" s="16" t="str">
        <f aca="false">IF(OR(D577="",E577=""),"edge hidden",IF(AND(H577&gt;=D577-0.02,H577&lt;=E577+0.02),"yes","no"))</f>
        <v>yes</v>
      </c>
    </row>
    <row r="578" customFormat="false" ht="15" hidden="false" customHeight="false" outlineLevel="0" collapsed="false">
      <c r="A578" s="9" t="n">
        <v>44615</v>
      </c>
      <c r="B578" s="10" t="n">
        <v>17063.25</v>
      </c>
      <c r="C578" s="11" t="n">
        <v>19.8746</v>
      </c>
      <c r="D578" s="11" t="n">
        <v>19.3057</v>
      </c>
      <c r="E578" s="11" t="n">
        <v>20.4435</v>
      </c>
      <c r="F578" s="12" t="n">
        <f aca="false">IF(C578="","",B578/C578)</f>
        <v>858.545580791563</v>
      </c>
      <c r="G578" s="12" t="n">
        <f aca="false">MEDIAN(F568:F588)</f>
        <v>846.923685135294</v>
      </c>
      <c r="H578" s="13" t="n">
        <f aca="false">B578/G578</f>
        <v>20.1473288555795</v>
      </c>
      <c r="I578" s="14" t="n">
        <f aca="false">B578/Summary!$C$8*100</f>
        <v>170.989868825846</v>
      </c>
      <c r="J578" s="14" t="n">
        <f aca="false">G578/Summary!$E$8*100</f>
        <v>143.939612520544</v>
      </c>
      <c r="K578" s="15" t="n">
        <f aca="false">Summary!$D$9</f>
        <v>16.9374488591431</v>
      </c>
      <c r="L578" s="16" t="str">
        <f aca="false">IF(OR(D578="",E578=""),"edge hidden",IF(AND(H578&gt;=D578-0.02,H578&lt;=E578+0.02),"yes","no"))</f>
        <v>yes</v>
      </c>
    </row>
    <row r="579" customFormat="false" ht="15" hidden="false" customHeight="false" outlineLevel="0" collapsed="false">
      <c r="A579" s="9" t="n">
        <v>44616</v>
      </c>
      <c r="B579" s="10" t="n">
        <v>16247.95</v>
      </c>
      <c r="C579" s="11" t="n">
        <v>19.8273</v>
      </c>
      <c r="D579" s="11" t="n">
        <v>19.3057</v>
      </c>
      <c r="E579" s="11" t="n">
        <v>20.349</v>
      </c>
      <c r="F579" s="12" t="n">
        <f aca="false">IF(C579="","",B579/C579)</f>
        <v>819.47365501102</v>
      </c>
      <c r="G579" s="12" t="n">
        <f aca="false">MEDIAN(F569:F589)</f>
        <v>847.565271851881</v>
      </c>
      <c r="H579" s="13" t="n">
        <f aca="false">B579/G579</f>
        <v>19.1701459930032</v>
      </c>
      <c r="I579" s="14" t="n">
        <f aca="false">B579/Summary!$C$8*100</f>
        <v>162.819793368139</v>
      </c>
      <c r="J579" s="14" t="n">
        <f aca="false">G579/Summary!$E$8*100</f>
        <v>144.048653919438</v>
      </c>
      <c r="K579" s="15" t="n">
        <f aca="false">Summary!$D$9</f>
        <v>16.9374488591431</v>
      </c>
      <c r="L579" s="16" t="str">
        <f aca="false">IF(OR(D579="",E579=""),"edge hidden",IF(AND(H579&gt;=D579-0.02,H579&lt;=E579+0.02),"yes","no"))</f>
        <v>no</v>
      </c>
    </row>
    <row r="580" customFormat="false" ht="15" hidden="false" customHeight="false" outlineLevel="0" collapsed="false">
      <c r="A580" s="9" t="n">
        <v>44617</v>
      </c>
      <c r="B580" s="10" t="n">
        <v>16658.4</v>
      </c>
      <c r="C580" s="11" t="n">
        <v>19.7132</v>
      </c>
      <c r="D580" s="11" t="n">
        <v>19.3057</v>
      </c>
      <c r="E580" s="11" t="n">
        <v>20.1206</v>
      </c>
      <c r="F580" s="12" t="n">
        <f aca="false">IF(C580="","",B580/C580)</f>
        <v>845.037842663799</v>
      </c>
      <c r="G580" s="12" t="n">
        <f aca="false">MEDIAN(F570:F590)</f>
        <v>847.212248730786</v>
      </c>
      <c r="H580" s="13" t="n">
        <f aca="false">B580/G580</f>
        <v>19.6626052384819</v>
      </c>
      <c r="I580" s="14" t="n">
        <f aca="false">B580/Summary!$C$8*100</f>
        <v>166.932889739556</v>
      </c>
      <c r="J580" s="14" t="n">
        <f aca="false">G580/Summary!$E$8*100</f>
        <v>143.988655584106</v>
      </c>
      <c r="K580" s="15" t="n">
        <f aca="false">Summary!$D$9</f>
        <v>16.9374488591431</v>
      </c>
      <c r="L580" s="16" t="str">
        <f aca="false">IF(OR(D580="",E580=""),"edge hidden",IF(AND(H580&gt;=D580-0.02,H580&lt;=E580+0.02),"yes","no"))</f>
        <v>yes</v>
      </c>
    </row>
    <row r="581" customFormat="false" ht="15" hidden="false" customHeight="false" outlineLevel="0" collapsed="false">
      <c r="A581" s="9" t="n">
        <v>44620</v>
      </c>
      <c r="B581" s="10" t="n">
        <v>16793.9</v>
      </c>
      <c r="C581" s="11" t="n">
        <v>19.5596</v>
      </c>
      <c r="D581" s="11" t="n">
        <v>19.2269</v>
      </c>
      <c r="E581" s="11" t="n">
        <v>19.8923</v>
      </c>
      <c r="F581" s="12" t="n">
        <f aca="false">IF(C581="","",B581/C581)</f>
        <v>858.601402891675</v>
      </c>
      <c r="G581" s="12" t="n">
        <f aca="false">MEDIAN(F571:F591)</f>
        <v>847.212248730786</v>
      </c>
      <c r="H581" s="13" t="n">
        <f aca="false">B581/G581</f>
        <v>19.82254154748</v>
      </c>
      <c r="I581" s="14" t="n">
        <f aca="false">B581/Summary!$C$8*100</f>
        <v>168.290727620727</v>
      </c>
      <c r="J581" s="14" t="n">
        <f aca="false">G581/Summary!$E$8*100</f>
        <v>143.988655584106</v>
      </c>
      <c r="K581" s="15" t="n">
        <f aca="false">Summary!$D$9</f>
        <v>16.9374488591431</v>
      </c>
      <c r="L581" s="16" t="str">
        <f aca="false">IF(OR(D581="",E581=""),"edge hidden",IF(AND(H581&gt;=D581-0.02,H581&lt;=E581+0.02),"yes","no"))</f>
        <v>yes</v>
      </c>
    </row>
    <row r="582" customFormat="false" ht="15" hidden="false" customHeight="false" outlineLevel="0" collapsed="false">
      <c r="A582" s="9" t="n">
        <v>44622</v>
      </c>
      <c r="B582" s="10" t="n">
        <v>16605.95</v>
      </c>
      <c r="C582" s="11" t="n">
        <v>19.5321</v>
      </c>
      <c r="D582" s="11" t="n">
        <v>19.1797</v>
      </c>
      <c r="E582" s="11" t="n">
        <v>19.8844</v>
      </c>
      <c r="F582" s="12" t="n">
        <f aca="false">IF(C582="","",B582/C582)</f>
        <v>850.187639833914</v>
      </c>
      <c r="G582" s="12" t="n">
        <f aca="false">MEDIAN(F572:F592)</f>
        <v>847.565271851881</v>
      </c>
      <c r="H582" s="13" t="n">
        <f aca="false">B582/G582</f>
        <v>19.5925323411576</v>
      </c>
      <c r="I582" s="14" t="n">
        <f aca="false">B582/Summary!$C$8*100</f>
        <v>166.407291238689</v>
      </c>
      <c r="J582" s="14" t="n">
        <f aca="false">G582/Summary!$E$8*100</f>
        <v>144.048653919438</v>
      </c>
      <c r="K582" s="15" t="n">
        <f aca="false">Summary!$D$9</f>
        <v>16.9374488591431</v>
      </c>
      <c r="L582" s="16" t="str">
        <f aca="false">IF(OR(D582="",E582=""),"edge hidden",IF(AND(H582&gt;=D582-0.02,H582&lt;=E582+0.02),"yes","no"))</f>
        <v>yes</v>
      </c>
    </row>
    <row r="583" customFormat="false" ht="15" hidden="false" customHeight="false" outlineLevel="0" collapsed="false">
      <c r="A583" s="9" t="n">
        <v>44623</v>
      </c>
      <c r="B583" s="10" t="n">
        <v>16498.05</v>
      </c>
      <c r="C583" s="11" t="n">
        <v>19.288</v>
      </c>
      <c r="D583" s="11" t="n">
        <v>18.7466</v>
      </c>
      <c r="E583" s="11" t="n">
        <v>19.8293</v>
      </c>
      <c r="F583" s="12" t="n">
        <f aca="false">IF(C583="","",B583/C583)</f>
        <v>855.353069265865</v>
      </c>
      <c r="G583" s="12" t="n">
        <f aca="false">MEDIAN(F573:F593)</f>
        <v>849.558629708716</v>
      </c>
      <c r="H583" s="13" t="n">
        <f aca="false">B583/G583</f>
        <v>19.4195543698457</v>
      </c>
      <c r="I583" s="14" t="n">
        <f aca="false">B583/Summary!$C$8*100</f>
        <v>165.326031405638</v>
      </c>
      <c r="J583" s="14" t="n">
        <f aca="false">G583/Summary!$E$8*100</f>
        <v>144.387436695931</v>
      </c>
      <c r="K583" s="15" t="n">
        <f aca="false">Summary!$D$9</f>
        <v>16.9374488591431</v>
      </c>
      <c r="L583" s="16" t="str">
        <f aca="false">IF(OR(D583="",E583=""),"edge hidden",IF(AND(H583&gt;=D583-0.02,H583&lt;=E583+0.02),"yes","no"))</f>
        <v>yes</v>
      </c>
    </row>
    <row r="584" customFormat="false" ht="15" hidden="false" customHeight="false" outlineLevel="0" collapsed="false">
      <c r="A584" s="9" t="n">
        <v>44624</v>
      </c>
      <c r="B584" s="10" t="n">
        <v>16245.35</v>
      </c>
      <c r="C584" s="11" t="n">
        <v>19.2014</v>
      </c>
      <c r="D584" s="11" t="n">
        <v>18.723</v>
      </c>
      <c r="E584" s="11" t="n">
        <v>19.6797</v>
      </c>
      <c r="F584" s="12" t="n">
        <f aca="false">IF(C584="","",B584/C584)</f>
        <v>846.050287999833</v>
      </c>
      <c r="G584" s="12" t="n">
        <f aca="false">MEDIAN(F574:F594)</f>
        <v>849.558629708716</v>
      </c>
      <c r="H584" s="13" t="n">
        <f aca="false">B584/G584</f>
        <v>19.1221057993019</v>
      </c>
      <c r="I584" s="14" t="n">
        <f aca="false">B584/Summary!$C$8*100</f>
        <v>162.793738914331</v>
      </c>
      <c r="J584" s="14" t="n">
        <f aca="false">G584/Summary!$E$8*100</f>
        <v>144.387436695931</v>
      </c>
      <c r="K584" s="15" t="n">
        <f aca="false">Summary!$D$9</f>
        <v>16.9374488591431</v>
      </c>
      <c r="L584" s="16" t="str">
        <f aca="false">IF(OR(D584="",E584=""),"edge hidden",IF(AND(H584&gt;=D584-0.02,H584&lt;=E584+0.02),"yes","no"))</f>
        <v>yes</v>
      </c>
    </row>
    <row r="585" customFormat="false" ht="15" hidden="false" customHeight="false" outlineLevel="0" collapsed="false">
      <c r="A585" s="9" t="n">
        <v>44627</v>
      </c>
      <c r="B585" s="10" t="n">
        <v>15863.15</v>
      </c>
      <c r="C585" s="11" t="n">
        <v>19.1226</v>
      </c>
      <c r="D585" s="11" t="n">
        <v>18.7073</v>
      </c>
      <c r="E585" s="11" t="n">
        <v>19.538</v>
      </c>
      <c r="F585" s="12" t="n">
        <f aca="false">IF(C585="","",B585/C585)</f>
        <v>829.549852007572</v>
      </c>
      <c r="G585" s="12" t="n">
        <f aca="false">MEDIAN(F575:F595)</f>
        <v>850.187639833914</v>
      </c>
      <c r="H585" s="13" t="n">
        <f aca="false">B585/G585</f>
        <v>18.6584105164113</v>
      </c>
      <c r="I585" s="14" t="n">
        <f aca="false">B585/Summary!$C$8*100</f>
        <v>158.963734204487</v>
      </c>
      <c r="J585" s="14" t="n">
        <f aca="false">G585/Summary!$E$8*100</f>
        <v>144.494340629876</v>
      </c>
      <c r="K585" s="15" t="n">
        <f aca="false">Summary!$D$9</f>
        <v>16.9374488591431</v>
      </c>
      <c r="L585" s="16" t="str">
        <f aca="false">IF(OR(D585="",E585=""),"edge hidden",IF(AND(H585&gt;=D585-0.02,H585&lt;=E585+0.02),"yes","no"))</f>
        <v>no</v>
      </c>
    </row>
    <row r="586" customFormat="false" ht="15" hidden="false" customHeight="false" outlineLevel="0" collapsed="false">
      <c r="A586" s="9" t="n">
        <v>44628</v>
      </c>
      <c r="B586" s="10" t="n">
        <v>16013.45</v>
      </c>
      <c r="C586" s="11" t="n">
        <v>19.1384</v>
      </c>
      <c r="D586" s="11" t="n">
        <v>18.723</v>
      </c>
      <c r="E586" s="11" t="n">
        <v>19.5537</v>
      </c>
      <c r="F586" s="12" t="n">
        <f aca="false">IF(C586="","",B586/C586)</f>
        <v>836.718325460854</v>
      </c>
      <c r="G586" s="12" t="n">
        <f aca="false">MEDIAN(F576:F596)</f>
        <v>851.928153449297</v>
      </c>
      <c r="H586" s="13" t="n">
        <f aca="false">B586/G586</f>
        <v>18.7967141773218</v>
      </c>
      <c r="I586" s="14" t="n">
        <f aca="false">B586/Summary!$C$8*100</f>
        <v>160.469882053492</v>
      </c>
      <c r="J586" s="14" t="n">
        <f aca="false">G586/Summary!$E$8*100</f>
        <v>144.790151055044</v>
      </c>
      <c r="K586" s="15" t="n">
        <f aca="false">Summary!$D$9</f>
        <v>16.9374488591431</v>
      </c>
      <c r="L586" s="16" t="str">
        <f aca="false">IF(OR(D586="",E586=""),"edge hidden",IF(AND(H586&gt;=D586-0.02,H586&lt;=E586+0.02),"yes","no"))</f>
        <v>yes</v>
      </c>
    </row>
    <row r="587" customFormat="false" ht="15" hidden="false" customHeight="false" outlineLevel="0" collapsed="false">
      <c r="A587" s="9" t="n">
        <v>44629</v>
      </c>
      <c r="B587" s="10" t="n">
        <v>16345.35</v>
      </c>
      <c r="C587" s="11" t="n">
        <v>19.1541</v>
      </c>
      <c r="D587" s="11" t="n">
        <v>18.7309</v>
      </c>
      <c r="E587" s="11" t="n">
        <v>19.5773</v>
      </c>
      <c r="F587" s="12" t="n">
        <f aca="false">IF(C587="","",B587/C587)</f>
        <v>853.360377151628</v>
      </c>
      <c r="G587" s="12" t="n">
        <f aca="false">MEDIAN(F577:F597)</f>
        <v>851.928153449297</v>
      </c>
      <c r="H587" s="13" t="n">
        <f aca="false">B587/G587</f>
        <v>19.1863010205975</v>
      </c>
      <c r="I587" s="14" t="n">
        <f aca="false">B587/Summary!$C$8*100</f>
        <v>163.795833291579</v>
      </c>
      <c r="J587" s="14" t="n">
        <f aca="false">G587/Summary!$E$8*100</f>
        <v>144.790151055044</v>
      </c>
      <c r="K587" s="15" t="n">
        <f aca="false">Summary!$D$9</f>
        <v>16.9374488591431</v>
      </c>
      <c r="L587" s="16" t="str">
        <f aca="false">IF(OR(D587="",E587=""),"edge hidden",IF(AND(H587&gt;=D587-0.02,H587&lt;=E587+0.02),"yes","no"))</f>
        <v>yes</v>
      </c>
    </row>
    <row r="588" customFormat="false" ht="15" hidden="false" customHeight="false" outlineLevel="0" collapsed="false">
      <c r="A588" s="9" t="n">
        <v>44630</v>
      </c>
      <c r="B588" s="10" t="n">
        <v>16594.9</v>
      </c>
      <c r="C588" s="11" t="n">
        <v>19.3234</v>
      </c>
      <c r="D588" s="11" t="n">
        <v>18.8569</v>
      </c>
      <c r="E588" s="11" t="n">
        <v>19.7899</v>
      </c>
      <c r="F588" s="12" t="n">
        <f aca="false">IF(C588="","",B588/C588)</f>
        <v>858.798141113883</v>
      </c>
      <c r="G588" s="12" t="n">
        <f aca="false">MEDIAN(F578:F598)</f>
        <v>850.187639833914</v>
      </c>
      <c r="H588" s="13" t="n">
        <f aca="false">B588/G588</f>
        <v>19.5191028691523</v>
      </c>
      <c r="I588" s="14" t="n">
        <f aca="false">B588/Summary!$C$8*100</f>
        <v>166.296559810003</v>
      </c>
      <c r="J588" s="14" t="n">
        <f aca="false">G588/Summary!$E$8*100</f>
        <v>144.494340629876</v>
      </c>
      <c r="K588" s="15" t="n">
        <f aca="false">Summary!$D$9</f>
        <v>16.9374488591431</v>
      </c>
      <c r="L588" s="16" t="str">
        <f aca="false">IF(OR(D588="",E588=""),"edge hidden",IF(AND(H588&gt;=D588-0.02,H588&lt;=E588+0.02),"yes","no"))</f>
        <v>yes</v>
      </c>
    </row>
    <row r="589" customFormat="false" ht="15" hidden="false" customHeight="false" outlineLevel="0" collapsed="false">
      <c r="A589" s="9" t="n">
        <v>44631</v>
      </c>
      <c r="B589" s="10" t="n">
        <v>16630.45</v>
      </c>
      <c r="C589" s="11" t="n">
        <v>19.5754</v>
      </c>
      <c r="D589" s="11" t="n">
        <v>19.3214</v>
      </c>
      <c r="E589" s="11" t="n">
        <v>19.8293</v>
      </c>
      <c r="F589" s="12" t="n">
        <f aca="false">IF(C589="","",B589/C589)</f>
        <v>849.558629708716</v>
      </c>
      <c r="G589" s="12" t="n">
        <f aca="false">MEDIAN(F579:F599)</f>
        <v>850.096889139991</v>
      </c>
      <c r="H589" s="13" t="n">
        <f aca="false">B589/G589</f>
        <v>19.5630053614528</v>
      </c>
      <c r="I589" s="14" t="n">
        <f aca="false">B589/Summary!$C$8*100</f>
        <v>166.652804361115</v>
      </c>
      <c r="J589" s="14" t="n">
        <f aca="false">G589/Summary!$E$8*100</f>
        <v>144.478917020939</v>
      </c>
      <c r="K589" s="15" t="n">
        <f aca="false">Summary!$D$9</f>
        <v>16.9374488591431</v>
      </c>
      <c r="L589" s="16" t="str">
        <f aca="false">IF(OR(D589="",E589=""),"edge hidden",IF(AND(H589&gt;=D589-0.02,H589&lt;=E589+0.02),"yes","no"))</f>
        <v>yes</v>
      </c>
    </row>
    <row r="590" customFormat="false" ht="15" hidden="false" customHeight="false" outlineLevel="0" collapsed="false">
      <c r="A590" s="9" t="n">
        <v>44634</v>
      </c>
      <c r="B590" s="10" t="n">
        <v>16871.3</v>
      </c>
      <c r="C590" s="11" t="n">
        <v>19.9139</v>
      </c>
      <c r="D590" s="11" t="n">
        <v>19.5498</v>
      </c>
      <c r="E590" s="11" t="n">
        <v>20.2781</v>
      </c>
      <c r="F590" s="12" t="n">
        <f aca="false">IF(C590="","",B590/C590)</f>
        <v>847.212248730786</v>
      </c>
      <c r="G590" s="12" t="n">
        <f aca="false">MEDIAN(F580:F600)</f>
        <v>850.096889139991</v>
      </c>
      <c r="H590" s="13" t="n">
        <f aca="false">B590/G590</f>
        <v>19.8463260076954</v>
      </c>
      <c r="I590" s="14" t="n">
        <f aca="false">B590/Summary!$C$8*100</f>
        <v>169.066348668718</v>
      </c>
      <c r="J590" s="14" t="n">
        <f aca="false">G590/Summary!$E$8*100</f>
        <v>144.478917020939</v>
      </c>
      <c r="K590" s="15" t="n">
        <f aca="false">Summary!$D$9</f>
        <v>16.9374488591431</v>
      </c>
      <c r="L590" s="16" t="str">
        <f aca="false">IF(OR(D590="",E590=""),"edge hidden",IF(AND(H590&gt;=D590-0.02,H590&lt;=E590+0.02),"yes","no"))</f>
        <v>yes</v>
      </c>
    </row>
    <row r="591" customFormat="false" ht="15" hidden="false" customHeight="false" outlineLevel="0" collapsed="false">
      <c r="A591" s="9" t="n">
        <v>44635</v>
      </c>
      <c r="B591" s="10" t="n">
        <v>16663</v>
      </c>
      <c r="C591" s="11" t="n">
        <v>19.9179</v>
      </c>
      <c r="D591" s="11" t="n">
        <v>19.5576</v>
      </c>
      <c r="E591" s="11" t="n">
        <v>20.2781</v>
      </c>
      <c r="F591" s="12" t="n">
        <f aca="false">IF(C591="","",B591/C591)</f>
        <v>836.584178050899</v>
      </c>
      <c r="G591" s="12" t="n">
        <f aca="false">MEDIAN(F581:F601)</f>
        <v>850.187639833914</v>
      </c>
      <c r="H591" s="13" t="n">
        <f aca="false">B591/G591</f>
        <v>19.599202833924</v>
      </c>
      <c r="I591" s="14" t="n">
        <f aca="false">B591/Summary!$C$8*100</f>
        <v>166.978986080909</v>
      </c>
      <c r="J591" s="14" t="n">
        <f aca="false">G591/Summary!$E$8*100</f>
        <v>144.494340629876</v>
      </c>
      <c r="K591" s="15" t="n">
        <f aca="false">Summary!$D$9</f>
        <v>16.9374488591431</v>
      </c>
      <c r="L591" s="16" t="str">
        <f aca="false">IF(OR(D591="",E591=""),"edge hidden",IF(AND(H591&gt;=D591-0.02,H591&lt;=E591+0.02),"yes","no"))</f>
        <v>yes</v>
      </c>
    </row>
    <row r="592" customFormat="false" ht="15" hidden="false" customHeight="false" outlineLevel="0" collapsed="false">
      <c r="A592" s="9" t="n">
        <v>44636</v>
      </c>
      <c r="B592" s="10" t="n">
        <v>16975.35</v>
      </c>
      <c r="C592" s="11" t="n">
        <v>19.9258</v>
      </c>
      <c r="D592" s="11" t="n">
        <v>19.5734</v>
      </c>
      <c r="E592" s="11" t="n">
        <v>20.2781</v>
      </c>
      <c r="F592" s="12" t="n">
        <f aca="false">IF(C592="","",B592/C592)</f>
        <v>851.928153449297</v>
      </c>
      <c r="G592" s="12" t="n">
        <f aca="false">MEDIAN(F582:F602)</f>
        <v>850.096889139991</v>
      </c>
      <c r="H592" s="13" t="n">
        <f aca="false">B592/G592</f>
        <v>19.9687238206145</v>
      </c>
      <c r="I592" s="14" t="n">
        <f aca="false">B592/Summary!$C$8*100</f>
        <v>170.109027868245</v>
      </c>
      <c r="J592" s="14" t="n">
        <f aca="false">G592/Summary!$E$8*100</f>
        <v>144.478917020939</v>
      </c>
      <c r="K592" s="15" t="n">
        <f aca="false">Summary!$D$9</f>
        <v>16.9374488591431</v>
      </c>
      <c r="L592" s="16" t="str">
        <f aca="false">IF(OR(D592="",E592=""),"edge hidden",IF(AND(H592&gt;=D592-0.02,H592&lt;=E592+0.02),"yes","no"))</f>
        <v>yes</v>
      </c>
    </row>
    <row r="593" customFormat="false" ht="15" hidden="false" customHeight="false" outlineLevel="0" collapsed="false">
      <c r="A593" s="9" t="n">
        <v>44637</v>
      </c>
      <c r="B593" s="10" t="n">
        <v>17287.05</v>
      </c>
      <c r="C593" s="11" t="n">
        <v>19.9376</v>
      </c>
      <c r="D593" s="11" t="n">
        <v>19.597</v>
      </c>
      <c r="E593" s="11" t="n">
        <v>20.2781</v>
      </c>
      <c r="F593" s="12" t="n">
        <f aca="false">IF(C593="","",B593/C593)</f>
        <v>867.05772008667</v>
      </c>
      <c r="G593" s="12" t="n">
        <f aca="false">MEDIAN(F583:F603)</f>
        <v>849.558629708716</v>
      </c>
      <c r="H593" s="13" t="n">
        <f aca="false">B593/G593</f>
        <v>20.3482719090584</v>
      </c>
      <c r="I593" s="14" t="n">
        <f aca="false">B593/Summary!$C$8*100</f>
        <v>173.232556042128</v>
      </c>
      <c r="J593" s="14" t="n">
        <f aca="false">G593/Summary!$E$8*100</f>
        <v>144.387436695931</v>
      </c>
      <c r="K593" s="15" t="n">
        <f aca="false">Summary!$D$9</f>
        <v>16.9374488591431</v>
      </c>
      <c r="L593" s="16" t="str">
        <f aca="false">IF(OR(D593="",E593=""),"edge hidden",IF(AND(H593&gt;=D593-0.02,H593&lt;=E593+0.02),"yes","no"))</f>
        <v>no</v>
      </c>
    </row>
    <row r="594" customFormat="false" ht="15" hidden="false" customHeight="false" outlineLevel="0" collapsed="false">
      <c r="A594" s="9" t="n">
        <v>44641</v>
      </c>
      <c r="B594" s="10" t="n">
        <v>17117.6</v>
      </c>
      <c r="C594" s="11" t="n">
        <v>20.1699</v>
      </c>
      <c r="D594" s="11" t="n">
        <v>20.0616</v>
      </c>
      <c r="E594" s="11" t="n">
        <v>20.2781</v>
      </c>
      <c r="F594" s="12" t="n">
        <f aca="false">IF(C594="","",B594/C594)</f>
        <v>848.670543731005</v>
      </c>
      <c r="G594" s="12" t="n">
        <f aca="false">MEDIAN(F584:F604)</f>
        <v>849.558629708716</v>
      </c>
      <c r="H594" s="13" t="n">
        <f aca="false">B594/G594</f>
        <v>20.1488153982604</v>
      </c>
      <c r="I594" s="14" t="n">
        <f aca="false">B594/Summary!$C$8*100</f>
        <v>171.534507119881</v>
      </c>
      <c r="J594" s="14" t="n">
        <f aca="false">G594/Summary!$E$8*100</f>
        <v>144.387436695931</v>
      </c>
      <c r="K594" s="15" t="n">
        <f aca="false">Summary!$D$9</f>
        <v>16.9374488591431</v>
      </c>
      <c r="L594" s="16" t="str">
        <f aca="false">IF(OR(D594="",E594=""),"edge hidden",IF(AND(H594&gt;=D594-0.02,H594&lt;=E594+0.02),"yes","no"))</f>
        <v>yes</v>
      </c>
    </row>
    <row r="595" customFormat="false" ht="15" hidden="false" customHeight="false" outlineLevel="0" collapsed="false">
      <c r="A595" s="9" t="n">
        <v>44642</v>
      </c>
      <c r="B595" s="10" t="n">
        <v>17315.5</v>
      </c>
      <c r="C595" s="11" t="n">
        <v>20.1738</v>
      </c>
      <c r="D595" s="11" t="n">
        <v>20.0695</v>
      </c>
      <c r="E595" s="11" t="n">
        <v>20.2781</v>
      </c>
      <c r="F595" s="12" t="n">
        <f aca="false">IF(C595="","",B595/C595)</f>
        <v>858.316231944403</v>
      </c>
      <c r="G595" s="12" t="n">
        <f aca="false">MEDIAN(F585:F605)</f>
        <v>850.096889139991</v>
      </c>
      <c r="H595" s="13" t="n">
        <f aca="false">B595/G595</f>
        <v>20.3688546813968</v>
      </c>
      <c r="I595" s="14" t="n">
        <f aca="false">B595/Summary!$C$8*100</f>
        <v>173.517651892455</v>
      </c>
      <c r="J595" s="14" t="n">
        <f aca="false">G595/Summary!$E$8*100</f>
        <v>144.478917020939</v>
      </c>
      <c r="K595" s="15" t="n">
        <f aca="false">Summary!$D$9</f>
        <v>16.9374488591431</v>
      </c>
      <c r="L595" s="16" t="str">
        <f aca="false">IF(OR(D595="",E595=""),"edge hidden",IF(AND(H595&gt;=D595-0.02,H595&lt;=E595+0.02),"yes","no"))</f>
        <v>no</v>
      </c>
    </row>
    <row r="596" customFormat="false" ht="15" hidden="false" customHeight="false" outlineLevel="0" collapsed="false">
      <c r="A596" s="9" t="n">
        <v>44643</v>
      </c>
      <c r="B596" s="10" t="n">
        <v>17245.65</v>
      </c>
      <c r="C596" s="11" t="n">
        <v>20.1738</v>
      </c>
      <c r="D596" s="11" t="n">
        <v>20.0695</v>
      </c>
      <c r="E596" s="11" t="n">
        <v>20.2781</v>
      </c>
      <c r="F596" s="12" t="n">
        <f aca="false">IF(C596="","",B596/C596)</f>
        <v>854.853820301579</v>
      </c>
      <c r="G596" s="12" t="n">
        <f aca="false">MEDIAN(F586:F606)</f>
        <v>850.096889139991</v>
      </c>
      <c r="H596" s="13" t="n">
        <f aca="false">B596/G596</f>
        <v>20.2866875768087</v>
      </c>
      <c r="I596" s="14" t="n">
        <f aca="false">B596/Summary!$C$8*100</f>
        <v>172.817688969947</v>
      </c>
      <c r="J596" s="14" t="n">
        <f aca="false">G596/Summary!$E$8*100</f>
        <v>144.478917020939</v>
      </c>
      <c r="K596" s="15" t="n">
        <f aca="false">Summary!$D$9</f>
        <v>16.9374488591431</v>
      </c>
      <c r="L596" s="16" t="str">
        <f aca="false">IF(OR(D596="",E596=""),"edge hidden",IF(AND(H596&gt;=D596-0.02,H596&lt;=E596+0.02),"yes","no"))</f>
        <v>yes</v>
      </c>
    </row>
    <row r="597" customFormat="false" ht="15" hidden="false" customHeight="false" outlineLevel="0" collapsed="false">
      <c r="A597" s="9" t="n">
        <v>44644</v>
      </c>
      <c r="B597" s="10" t="n">
        <v>17222.75</v>
      </c>
      <c r="C597" s="11" t="n">
        <v>20.1738</v>
      </c>
      <c r="D597" s="11" t="n">
        <v>20.0695</v>
      </c>
      <c r="E597" s="11" t="n">
        <v>20.2781</v>
      </c>
      <c r="F597" s="12" t="n">
        <f aca="false">IF(C597="","",B597/C597)</f>
        <v>853.718684630561</v>
      </c>
      <c r="G597" s="12" t="n">
        <f aca="false">MEDIAN(F587:F607)</f>
        <v>850.096889139991</v>
      </c>
      <c r="H597" s="13" t="n">
        <f aca="false">B597/G597</f>
        <v>20.259749470938</v>
      </c>
      <c r="I597" s="14" t="n">
        <f aca="false">B597/Summary!$C$8*100</f>
        <v>172.588209357557</v>
      </c>
      <c r="J597" s="14" t="n">
        <f aca="false">G597/Summary!$E$8*100</f>
        <v>144.478917020939</v>
      </c>
      <c r="K597" s="15" t="n">
        <f aca="false">Summary!$D$9</f>
        <v>16.9374488591431</v>
      </c>
      <c r="L597" s="16" t="str">
        <f aca="false">IF(OR(D597="",E597=""),"edge hidden",IF(AND(H597&gt;=D597-0.02,H597&lt;=E597+0.02),"yes","no"))</f>
        <v>yes</v>
      </c>
    </row>
    <row r="598" customFormat="false" ht="15" hidden="false" customHeight="false" outlineLevel="0" collapsed="false">
      <c r="A598" s="9" t="n">
        <v>44645</v>
      </c>
      <c r="B598" s="10" t="n">
        <v>17153</v>
      </c>
      <c r="C598" s="11" t="n">
        <v>20.1777</v>
      </c>
      <c r="D598" s="11" t="n">
        <v>20.0616</v>
      </c>
      <c r="E598" s="11" t="n">
        <v>20.2939</v>
      </c>
      <c r="F598" s="12" t="n">
        <f aca="false">IF(C598="","",B598/C598)</f>
        <v>850.096889139991</v>
      </c>
      <c r="G598" s="12" t="n">
        <f aca="false">MEDIAN(F588:F608)</f>
        <v>850.096889139991</v>
      </c>
      <c r="H598" s="13" t="n">
        <f aca="false">B598/G598</f>
        <v>20.1777</v>
      </c>
      <c r="I598" s="14" t="n">
        <f aca="false">B598/Summary!$C$8*100</f>
        <v>171.889248529426</v>
      </c>
      <c r="J598" s="14" t="n">
        <f aca="false">G598/Summary!$E$8*100</f>
        <v>144.478917020939</v>
      </c>
      <c r="K598" s="15" t="n">
        <f aca="false">Summary!$D$9</f>
        <v>16.9374488591431</v>
      </c>
      <c r="L598" s="16" t="str">
        <f aca="false">IF(OR(D598="",E598=""),"edge hidden",IF(AND(H598&gt;=D598-0.02,H598&lt;=E598+0.02),"yes","no"))</f>
        <v>yes</v>
      </c>
    </row>
    <row r="599" customFormat="false" ht="15" hidden="false" customHeight="false" outlineLevel="0" collapsed="false">
      <c r="A599" s="9" t="n">
        <v>44648</v>
      </c>
      <c r="B599" s="10" t="n">
        <v>17222</v>
      </c>
      <c r="C599" s="11" t="n">
        <v>20.4573</v>
      </c>
      <c r="D599" s="11" t="n">
        <v>20.0695</v>
      </c>
      <c r="E599" s="11" t="n">
        <v>20.8451</v>
      </c>
      <c r="F599" s="12" t="n">
        <f aca="false">IF(C599="","",B599/C599)</f>
        <v>841.851075166322</v>
      </c>
      <c r="G599" s="12" t="n">
        <f aca="false">MEDIAN(F589:F609)</f>
        <v>850.096889139991</v>
      </c>
      <c r="H599" s="13" t="n">
        <f aca="false">B599/G599</f>
        <v>20.2588672185624</v>
      </c>
      <c r="I599" s="14" t="n">
        <f aca="false">B599/Summary!$C$8*100</f>
        <v>172.580693649728</v>
      </c>
      <c r="J599" s="14" t="n">
        <f aca="false">G599/Summary!$E$8*100</f>
        <v>144.478917020939</v>
      </c>
      <c r="K599" s="15" t="n">
        <f aca="false">Summary!$D$9</f>
        <v>16.9374488591431</v>
      </c>
      <c r="L599" s="16" t="str">
        <f aca="false">IF(OR(D599="",E599=""),"edge hidden",IF(AND(H599&gt;=D599-0.02,H599&lt;=E599+0.02),"yes","no"))</f>
        <v>yes</v>
      </c>
    </row>
    <row r="600" customFormat="false" ht="15" hidden="false" customHeight="false" outlineLevel="0" collapsed="false">
      <c r="A600" s="9" t="n">
        <v>44649</v>
      </c>
      <c r="B600" s="10" t="n">
        <v>17325.3</v>
      </c>
      <c r="C600" s="11" t="n">
        <v>20.4848</v>
      </c>
      <c r="D600" s="11" t="n">
        <v>20.0931</v>
      </c>
      <c r="E600" s="11" t="n">
        <v>20.8765</v>
      </c>
      <c r="F600" s="12" t="n">
        <f aca="false">IF(C600="","",B600/C600)</f>
        <v>845.763688198079</v>
      </c>
      <c r="G600" s="12" t="n">
        <f aca="false">MEDIAN(F590:F610)</f>
        <v>850.096889139991</v>
      </c>
      <c r="H600" s="13" t="n">
        <f aca="false">B600/G600</f>
        <v>20.3803827791057</v>
      </c>
      <c r="I600" s="14" t="n">
        <f aca="false">B600/Summary!$C$8*100</f>
        <v>173.615857141426</v>
      </c>
      <c r="J600" s="14" t="n">
        <f aca="false">G600/Summary!$E$8*100</f>
        <v>144.478917020939</v>
      </c>
      <c r="K600" s="15" t="n">
        <f aca="false">Summary!$D$9</f>
        <v>16.9374488591431</v>
      </c>
      <c r="L600" s="16" t="str">
        <f aca="false">IF(OR(D600="",E600=""),"edge hidden",IF(AND(H600&gt;=D600-0.02,H600&lt;=E600+0.02),"yes","no"))</f>
        <v>yes</v>
      </c>
    </row>
    <row r="601" customFormat="false" ht="15" hidden="false" customHeight="false" outlineLevel="0" collapsed="false">
      <c r="A601" s="9" t="n">
        <v>44650</v>
      </c>
      <c r="B601" s="10" t="n">
        <v>17498.25</v>
      </c>
      <c r="C601" s="11" t="n">
        <v>20.5636</v>
      </c>
      <c r="D601" s="11" t="n">
        <v>20.1797</v>
      </c>
      <c r="E601" s="11" t="n">
        <v>20.9474</v>
      </c>
      <c r="F601" s="12" t="n">
        <f aca="false">IF(C601="","",B601/C601)</f>
        <v>850.933202357564</v>
      </c>
      <c r="G601" s="12" t="n">
        <f aca="false">MEDIAN(F591:F611)</f>
        <v>850.096889139991</v>
      </c>
      <c r="H601" s="13" t="n">
        <f aca="false">B601/G601</f>
        <v>20.583830176937</v>
      </c>
      <c r="I601" s="14" t="n">
        <f aca="false">B601/Summary!$C$8*100</f>
        <v>175.348979366877</v>
      </c>
      <c r="J601" s="14" t="n">
        <f aca="false">G601/Summary!$E$8*100</f>
        <v>144.478917020939</v>
      </c>
      <c r="K601" s="15" t="n">
        <f aca="false">Summary!$D$9</f>
        <v>16.9374488591431</v>
      </c>
      <c r="L601" s="16" t="str">
        <f aca="false">IF(OR(D601="",E601=""),"edge hidden",IF(AND(H601&gt;=D601-0.02,H601&lt;=E601+0.02),"yes","no"))</f>
        <v>yes</v>
      </c>
    </row>
    <row r="602" customFormat="false" ht="15" hidden="false" customHeight="false" outlineLevel="0" collapsed="false">
      <c r="A602" s="9" t="n">
        <v>44651</v>
      </c>
      <c r="B602" s="10" t="n">
        <v>17464.75</v>
      </c>
      <c r="C602" s="11" t="n">
        <v>20.7722</v>
      </c>
      <c r="D602" s="11" t="n">
        <v>20.2663</v>
      </c>
      <c r="E602" s="11" t="n">
        <v>21.2781</v>
      </c>
      <c r="F602" s="12" t="n">
        <f aca="false">IF(C602="","",B602/C602)</f>
        <v>840.775170660787</v>
      </c>
      <c r="G602" s="12" t="n">
        <f aca="false">MEDIAN(F592:F612)</f>
        <v>850.096889139991</v>
      </c>
      <c r="H602" s="13" t="n">
        <f aca="false">B602/G602</f>
        <v>20.5444229041567</v>
      </c>
      <c r="I602" s="14" t="n">
        <f aca="false">B602/Summary!$C$8*100</f>
        <v>175.013277750499</v>
      </c>
      <c r="J602" s="14" t="n">
        <f aca="false">G602/Summary!$E$8*100</f>
        <v>144.478917020939</v>
      </c>
      <c r="K602" s="15" t="n">
        <f aca="false">Summary!$D$9</f>
        <v>16.9374488591431</v>
      </c>
      <c r="L602" s="16" t="str">
        <f aca="false">IF(OR(D602="",E602=""),"edge hidden",IF(AND(H602&gt;=D602-0.02,H602&lt;=E602+0.02),"yes","no"))</f>
        <v>yes</v>
      </c>
    </row>
    <row r="603" customFormat="false" ht="15" hidden="false" customHeight="false" outlineLevel="0" collapsed="false">
      <c r="A603" s="9" t="n">
        <v>44652</v>
      </c>
      <c r="B603" s="10" t="n">
        <v>17670.45</v>
      </c>
      <c r="C603" s="11" t="n">
        <v>20.8391</v>
      </c>
      <c r="D603" s="11" t="n">
        <v>20.3687</v>
      </c>
      <c r="E603" s="11" t="n">
        <v>21.3096</v>
      </c>
      <c r="F603" s="12" t="n">
        <f aca="false">IF(C603="","",B603/C603)</f>
        <v>847.946888301318</v>
      </c>
      <c r="G603" s="12" t="n">
        <f aca="false">MEDIAN(F593:F613)</f>
        <v>848.802439603021</v>
      </c>
      <c r="H603" s="13" t="n">
        <f aca="false">B603/G603</f>
        <v>20.8180952074836</v>
      </c>
      <c r="I603" s="14" t="n">
        <f aca="false">B603/Summary!$C$8*100</f>
        <v>177.074585884499</v>
      </c>
      <c r="J603" s="14" t="n">
        <f aca="false">G603/Summary!$E$8*100</f>
        <v>144.258917783641</v>
      </c>
      <c r="K603" s="15" t="n">
        <f aca="false">Summary!$D$9</f>
        <v>16.9374488591431</v>
      </c>
      <c r="L603" s="16" t="str">
        <f aca="false">IF(OR(D603="",E603=""),"edge hidden",IF(AND(H603&gt;=D603-0.02,H603&lt;=E603+0.02),"yes","no"))</f>
        <v>yes</v>
      </c>
    </row>
    <row r="604" customFormat="false" ht="15" hidden="false" customHeight="false" outlineLevel="0" collapsed="false">
      <c r="A604" s="9" t="n">
        <v>44655</v>
      </c>
      <c r="B604" s="10" t="n">
        <v>18053.4</v>
      </c>
      <c r="C604" s="11" t="n">
        <v>21.0675</v>
      </c>
      <c r="D604" s="11" t="n">
        <v>20.8096</v>
      </c>
      <c r="E604" s="11" t="n">
        <v>21.3254</v>
      </c>
      <c r="F604" s="12" t="n">
        <f aca="false">IF(C604="","",B604/C604)</f>
        <v>856.931292274831</v>
      </c>
      <c r="G604" s="12" t="n">
        <f aca="false">MEDIAN(F594:F614)</f>
        <v>848.802439603021</v>
      </c>
      <c r="H604" s="13" t="n">
        <f aca="false">B604/G604</f>
        <v>21.2692602632521</v>
      </c>
      <c r="I604" s="14" t="n">
        <f aca="false">B604/Summary!$C$8*100</f>
        <v>180.912106302172</v>
      </c>
      <c r="J604" s="14" t="n">
        <f aca="false">G604/Summary!$E$8*100</f>
        <v>144.258917783641</v>
      </c>
      <c r="K604" s="15" t="n">
        <f aca="false">Summary!$D$9</f>
        <v>16.9374488591431</v>
      </c>
      <c r="L604" s="16" t="str">
        <f aca="false">IF(OR(D604="",E604=""),"edge hidden",IF(AND(H604&gt;=D604-0.02,H604&lt;=E604+0.02),"yes","no"))</f>
        <v>yes</v>
      </c>
    </row>
    <row r="605" customFormat="false" ht="15" hidden="false" customHeight="false" outlineLevel="0" collapsed="false">
      <c r="A605" s="9" t="n">
        <v>44656</v>
      </c>
      <c r="B605" s="10" t="n">
        <v>17957.4</v>
      </c>
      <c r="C605" s="11" t="n">
        <v>21.0596</v>
      </c>
      <c r="D605" s="11" t="n">
        <v>20.8096</v>
      </c>
      <c r="E605" s="11" t="n">
        <v>21.3096</v>
      </c>
      <c r="F605" s="12" t="n">
        <f aca="false">IF(C605="","",B605/C605)</f>
        <v>852.694258200536</v>
      </c>
      <c r="G605" s="12" t="n">
        <f aca="false">MEDIAN(F595:F615)</f>
        <v>849.445815860175</v>
      </c>
      <c r="H605" s="13" t="n">
        <f aca="false">B605/G605</f>
        <v>21.1401359153389</v>
      </c>
      <c r="I605" s="14" t="n">
        <f aca="false">B605/Summary!$C$8*100</f>
        <v>179.950095700013</v>
      </c>
      <c r="J605" s="14" t="n">
        <f aca="false">G605/Summary!$E$8*100</f>
        <v>144.368263325377</v>
      </c>
      <c r="K605" s="15" t="n">
        <f aca="false">Summary!$D$9</f>
        <v>16.9374488591431</v>
      </c>
      <c r="L605" s="16" t="str">
        <f aca="false">IF(OR(D605="",E605=""),"edge hidden",IF(AND(H605&gt;=D605-0.02,H605&lt;=E605+0.02),"yes","no"))</f>
        <v>yes</v>
      </c>
    </row>
    <row r="606" customFormat="false" ht="15" hidden="false" customHeight="false" outlineLevel="0" collapsed="false">
      <c r="A606" s="9" t="n">
        <v>44657</v>
      </c>
      <c r="B606" s="10" t="n">
        <v>17807.65</v>
      </c>
      <c r="C606" s="11" t="n">
        <v>21.0557</v>
      </c>
      <c r="D606" s="11" t="n">
        <v>20.8096</v>
      </c>
      <c r="E606" s="11" t="n">
        <v>21.3017</v>
      </c>
      <c r="F606" s="12" t="n">
        <f aca="false">IF(C606="","",B606/C606)</f>
        <v>845.740108379204</v>
      </c>
      <c r="G606" s="12" t="n">
        <f aca="false">MEDIAN(F596:F616)</f>
        <v>849.445815860175</v>
      </c>
      <c r="H606" s="13" t="n">
        <f aca="false">B606/G606</f>
        <v>20.9638445060412</v>
      </c>
      <c r="I606" s="14" t="n">
        <f aca="false">B606/Summary!$C$8*100</f>
        <v>178.449459370083</v>
      </c>
      <c r="J606" s="14" t="n">
        <f aca="false">G606/Summary!$E$8*100</f>
        <v>144.368263325377</v>
      </c>
      <c r="K606" s="15" t="n">
        <f aca="false">Summary!$D$9</f>
        <v>16.9374488591431</v>
      </c>
      <c r="L606" s="16" t="str">
        <f aca="false">IF(OR(D606="",E606=""),"edge hidden",IF(AND(H606&gt;=D606-0.02,H606&lt;=E606+0.02),"yes","no"))</f>
        <v>yes</v>
      </c>
    </row>
    <row r="607" customFormat="false" ht="15" hidden="false" customHeight="false" outlineLevel="0" collapsed="false">
      <c r="A607" s="9" t="n">
        <v>44658</v>
      </c>
      <c r="B607" s="10" t="n">
        <v>17639.55</v>
      </c>
      <c r="C607" s="11" t="n">
        <v>21.0399</v>
      </c>
      <c r="D607" s="11" t="n">
        <v>20.7939</v>
      </c>
      <c r="E607" s="11" t="n">
        <v>21.286</v>
      </c>
      <c r="F607" s="12" t="n">
        <f aca="false">IF(C607="","",B607/C607)</f>
        <v>838.385638715013</v>
      </c>
      <c r="G607" s="12" t="n">
        <f aca="false">MEDIAN(F597:F617)</f>
        <v>848.802439603021</v>
      </c>
      <c r="H607" s="13" t="n">
        <f aca="false">B607/G607</f>
        <v>20.7816909765833</v>
      </c>
      <c r="I607" s="14" t="n">
        <f aca="false">B607/Summary!$C$8*100</f>
        <v>176.764938721929</v>
      </c>
      <c r="J607" s="14" t="n">
        <f aca="false">G607/Summary!$E$8*100</f>
        <v>144.258917783641</v>
      </c>
      <c r="K607" s="15" t="n">
        <f aca="false">Summary!$D$9</f>
        <v>16.9374488591431</v>
      </c>
      <c r="L607" s="16" t="str">
        <f aca="false">IF(OR(D607="",E607=""),"edge hidden",IF(AND(H607&gt;=D607-0.02,H607&lt;=E607+0.02),"yes","no"))</f>
        <v>yes</v>
      </c>
    </row>
    <row r="608" customFormat="false" ht="15" hidden="false" customHeight="false" outlineLevel="0" collapsed="false">
      <c r="A608" s="9" t="n">
        <v>44659</v>
      </c>
      <c r="B608" s="10" t="n">
        <v>17784.35</v>
      </c>
      <c r="C608" s="11" t="n">
        <v>20.8155</v>
      </c>
      <c r="D608" s="11" t="n">
        <v>20.6364</v>
      </c>
      <c r="E608" s="11" t="n">
        <v>20.9947</v>
      </c>
      <c r="F608" s="12" t="n">
        <f aca="false">IF(C608="","",B608/C608)</f>
        <v>854.380149407893</v>
      </c>
      <c r="G608" s="12" t="n">
        <f aca="false">MEDIAN(F598:F618)</f>
        <v>848.802439603021</v>
      </c>
      <c r="H608" s="13" t="n">
        <f aca="false">B608/G608</f>
        <v>20.952284265721</v>
      </c>
      <c r="I608" s="14" t="n">
        <f aca="false">B608/Summary!$C$8*100</f>
        <v>178.215971380185</v>
      </c>
      <c r="J608" s="14" t="n">
        <f aca="false">G608/Summary!$E$8*100</f>
        <v>144.258917783641</v>
      </c>
      <c r="K608" s="15" t="n">
        <f aca="false">Summary!$D$9</f>
        <v>16.9374488591431</v>
      </c>
      <c r="L608" s="16" t="str">
        <f aca="false">IF(OR(D608="",E608=""),"edge hidden",IF(AND(H608&gt;=D608-0.02,H608&lt;=E608+0.02),"yes","no"))</f>
        <v>yes</v>
      </c>
    </row>
    <row r="609" customFormat="false" ht="15" hidden="false" customHeight="false" outlineLevel="0" collapsed="false">
      <c r="A609" s="9" t="n">
        <v>44662</v>
      </c>
      <c r="B609" s="10" t="n">
        <v>17674.95</v>
      </c>
      <c r="C609" s="11" t="n">
        <v>20.7447</v>
      </c>
      <c r="D609" s="11" t="n">
        <v>20.5813</v>
      </c>
      <c r="E609" s="11" t="n">
        <v>20.908</v>
      </c>
      <c r="F609" s="12" t="n">
        <f aca="false">IF(C609="","",B609/C609)</f>
        <v>852.022444286975</v>
      </c>
      <c r="G609" s="12" t="n">
        <f aca="false">MEDIAN(F599:F619)</f>
        <v>848.802439603021</v>
      </c>
      <c r="H609" s="13" t="n">
        <f aca="false">B609/G609</f>
        <v>20.8233967945079</v>
      </c>
      <c r="I609" s="14" t="n">
        <f aca="false">B609/Summary!$C$8*100</f>
        <v>177.119680131475</v>
      </c>
      <c r="J609" s="14" t="n">
        <f aca="false">G609/Summary!$E$8*100</f>
        <v>144.258917783641</v>
      </c>
      <c r="K609" s="15" t="n">
        <f aca="false">Summary!$D$9</f>
        <v>16.9374488591431</v>
      </c>
      <c r="L609" s="16" t="str">
        <f aca="false">IF(OR(D609="",E609=""),"edge hidden",IF(AND(H609&gt;=D609-0.02,H609&lt;=E609+0.02),"yes","no"))</f>
        <v>yes</v>
      </c>
    </row>
    <row r="610" customFormat="false" ht="15" hidden="false" customHeight="false" outlineLevel="0" collapsed="false">
      <c r="A610" s="9" t="n">
        <v>44663</v>
      </c>
      <c r="B610" s="10" t="n">
        <v>17530.3</v>
      </c>
      <c r="C610" s="11" t="n">
        <v>20.7328</v>
      </c>
      <c r="D610" s="11" t="n">
        <v>20.5734</v>
      </c>
      <c r="E610" s="11" t="n">
        <v>20.8923</v>
      </c>
      <c r="F610" s="12" t="n">
        <f aca="false">IF(C610="","",B610/C610)</f>
        <v>845.534611822812</v>
      </c>
      <c r="G610" s="12" t="n">
        <f aca="false">MEDIAN(F600:F620)</f>
        <v>849.445815860175</v>
      </c>
      <c r="H610" s="13" t="n">
        <f aca="false">B610/G610</f>
        <v>20.6373375119263</v>
      </c>
      <c r="I610" s="14" t="n">
        <f aca="false">B610/Summary!$C$8*100</f>
        <v>175.670150614785</v>
      </c>
      <c r="J610" s="14" t="n">
        <f aca="false">G610/Summary!$E$8*100</f>
        <v>144.368263325377</v>
      </c>
      <c r="K610" s="15" t="n">
        <f aca="false">Summary!$D$9</f>
        <v>16.9374488591431</v>
      </c>
      <c r="L610" s="16" t="str">
        <f aca="false">IF(OR(D610="",E610=""),"edge hidden",IF(AND(H610&gt;=D610-0.02,H610&lt;=E610+0.02),"yes","no"))</f>
        <v>yes</v>
      </c>
    </row>
    <row r="611" customFormat="false" ht="15" hidden="false" customHeight="false" outlineLevel="0" collapsed="false">
      <c r="A611" s="9" t="n">
        <v>44664</v>
      </c>
      <c r="B611" s="10" t="n">
        <v>17475.65</v>
      </c>
      <c r="C611" s="11" t="n">
        <v>20.6029</v>
      </c>
      <c r="D611" s="11" t="n">
        <v>20.4553</v>
      </c>
      <c r="E611" s="11" t="n">
        <v>20.7506</v>
      </c>
      <c r="F611" s="12" t="n">
        <f aca="false">IF(C611="","",B611/C611)</f>
        <v>848.213115629353</v>
      </c>
      <c r="G611" s="12" t="n">
        <f aca="false">MEDIAN(F601:F621)</f>
        <v>850.933202357564</v>
      </c>
      <c r="H611" s="13" t="n">
        <f aca="false">B611/G611</f>
        <v>20.5370409235209</v>
      </c>
      <c r="I611" s="14" t="n">
        <f aca="false">B611/Summary!$C$8*100</f>
        <v>175.122506037619</v>
      </c>
      <c r="J611" s="14" t="n">
        <f aca="false">G611/Summary!$E$8*100</f>
        <v>144.621053322705</v>
      </c>
      <c r="K611" s="15" t="n">
        <f aca="false">Summary!$D$9</f>
        <v>16.9374488591431</v>
      </c>
      <c r="L611" s="16" t="str">
        <f aca="false">IF(OR(D611="",E611=""),"edge hidden",IF(AND(H611&gt;=D611-0.02,H611&lt;=E611+0.02),"yes","no"))</f>
        <v>yes</v>
      </c>
    </row>
    <row r="612" customFormat="false" ht="15" hidden="false" customHeight="false" outlineLevel="0" collapsed="false">
      <c r="A612" s="9" t="n">
        <v>44669</v>
      </c>
      <c r="B612" s="10" t="n">
        <v>17173.65</v>
      </c>
      <c r="C612" s="11" t="n">
        <v>20.2328</v>
      </c>
      <c r="D612" s="11" t="n">
        <v>19.9277</v>
      </c>
      <c r="E612" s="11" t="n">
        <v>20.538</v>
      </c>
      <c r="F612" s="12" t="n">
        <f aca="false">IF(C612="","",B612/C612)</f>
        <v>848.802439603021</v>
      </c>
      <c r="G612" s="12" t="n">
        <f aca="false">MEDIAN(F602:F622)</f>
        <v>852.022444286975</v>
      </c>
      <c r="H612" s="13" t="n">
        <f aca="false">B612/G612</f>
        <v>20.1563352176385</v>
      </c>
      <c r="I612" s="14" t="n">
        <f aca="false">B612/Summary!$C$8*100</f>
        <v>172.096181018328</v>
      </c>
      <c r="J612" s="14" t="n">
        <f aca="false">G612/Summary!$E$8*100</f>
        <v>144.806176332029</v>
      </c>
      <c r="K612" s="15" t="n">
        <f aca="false">Summary!$D$9</f>
        <v>16.9374488591431</v>
      </c>
      <c r="L612" s="16" t="str">
        <f aca="false">IF(OR(D612="",E612=""),"edge hidden",IF(AND(H612&gt;=D612-0.02,H612&lt;=E612+0.02),"yes","no"))</f>
        <v>yes</v>
      </c>
    </row>
    <row r="613" customFormat="false" ht="15" hidden="false" customHeight="false" outlineLevel="0" collapsed="false">
      <c r="A613" s="9" t="n">
        <v>44670</v>
      </c>
      <c r="B613" s="10" t="n">
        <v>16958.65</v>
      </c>
      <c r="C613" s="11" t="n">
        <v>20.2014</v>
      </c>
      <c r="D613" s="11" t="n">
        <v>19.9199</v>
      </c>
      <c r="E613" s="11" t="n">
        <v>20.4828</v>
      </c>
      <c r="F613" s="12" t="n">
        <f aca="false">IF(C613="","",B613/C613)</f>
        <v>839.478947003673</v>
      </c>
      <c r="G613" s="12" t="n">
        <f aca="false">MEDIAN(F603:F623)</f>
        <v>852.694258200536</v>
      </c>
      <c r="H613" s="13" t="n">
        <f aca="false">B613/G613</f>
        <v>19.8883126477107</v>
      </c>
      <c r="I613" s="14" t="n">
        <f aca="false">B613/Summary!$C$8*100</f>
        <v>169.941678107244</v>
      </c>
      <c r="J613" s="14" t="n">
        <f aca="false">G613/Summary!$E$8*100</f>
        <v>144.920355019084</v>
      </c>
      <c r="K613" s="15" t="n">
        <f aca="false">Summary!$D$9</f>
        <v>16.9374488591431</v>
      </c>
      <c r="L613" s="16" t="str">
        <f aca="false">IF(OR(D613="",E613=""),"edge hidden",IF(AND(H613&gt;=D613-0.02,H613&lt;=E613+0.02),"yes","no"))</f>
        <v>no</v>
      </c>
    </row>
    <row r="614" customFormat="false" ht="15" hidden="false" customHeight="false" outlineLevel="0" collapsed="false">
      <c r="A614" s="9" t="n">
        <v>44671</v>
      </c>
      <c r="B614" s="10" t="n">
        <v>17136.55</v>
      </c>
      <c r="C614" s="11" t="n">
        <v>20.1738</v>
      </c>
      <c r="D614" s="11" t="n">
        <v>19.9199</v>
      </c>
      <c r="E614" s="11" t="n">
        <v>20.4277</v>
      </c>
      <c r="F614" s="12" t="n">
        <f aca="false">IF(C614="","",B614/C614)</f>
        <v>849.445815860175</v>
      </c>
      <c r="G614" s="12" t="n">
        <f aca="false">MEDIAN(F604:F624)</f>
        <v>852.734361315056</v>
      </c>
      <c r="H614" s="13" t="n">
        <f aca="false">B614/G614</f>
        <v>20.0960003225068</v>
      </c>
      <c r="I614" s="14" t="n">
        <f aca="false">B614/Summary!$C$8*100</f>
        <v>171.724404004369</v>
      </c>
      <c r="J614" s="14" t="n">
        <f aca="false">G614/Summary!$E$8*100</f>
        <v>144.927170776945</v>
      </c>
      <c r="K614" s="15" t="n">
        <f aca="false">Summary!$D$9</f>
        <v>16.9374488591431</v>
      </c>
      <c r="L614" s="16" t="str">
        <f aca="false">IF(OR(D614="",E614=""),"edge hidden",IF(AND(H614&gt;=D614-0.02,H614&lt;=E614+0.02),"yes","no"))</f>
        <v>yes</v>
      </c>
    </row>
    <row r="615" customFormat="false" ht="15" hidden="false" customHeight="false" outlineLevel="0" collapsed="false">
      <c r="A615" s="9" t="n">
        <v>44672</v>
      </c>
      <c r="B615" s="10" t="n">
        <v>17392.6</v>
      </c>
      <c r="C615" s="11" t="n">
        <v>20.1344</v>
      </c>
      <c r="D615" s="11" t="n">
        <v>19.8647</v>
      </c>
      <c r="E615" s="11" t="n">
        <v>20.4041</v>
      </c>
      <c r="F615" s="12" t="n">
        <f aca="false">IF(C615="","",B615/C615)</f>
        <v>863.825095359186</v>
      </c>
      <c r="G615" s="12" t="n">
        <f aca="false">MEDIAN(F605:F625)</f>
        <v>852.734361315056</v>
      </c>
      <c r="H615" s="13" t="n">
        <f aca="false">B615/G615</f>
        <v>20.3962696814255</v>
      </c>
      <c r="I615" s="14" t="n">
        <f aca="false">B615/Summary!$C$8*100</f>
        <v>174.290266657314</v>
      </c>
      <c r="J615" s="14" t="n">
        <f aca="false">G615/Summary!$E$8*100</f>
        <v>144.927170776945</v>
      </c>
      <c r="K615" s="15" t="n">
        <f aca="false">Summary!$D$9</f>
        <v>16.9374488591431</v>
      </c>
      <c r="L615" s="16" t="str">
        <f aca="false">IF(OR(D615="",E615=""),"edge hidden",IF(AND(H615&gt;=D615-0.02,H615&lt;=E615+0.02),"yes","no"))</f>
        <v>yes</v>
      </c>
    </row>
    <row r="616" customFormat="false" ht="15" hidden="false" customHeight="false" outlineLevel="0" collapsed="false">
      <c r="A616" s="9" t="n">
        <v>44673</v>
      </c>
      <c r="B616" s="10" t="n">
        <v>17171.95</v>
      </c>
      <c r="C616" s="11" t="n">
        <v>20.1265</v>
      </c>
      <c r="D616" s="11" t="n">
        <v>19.8569</v>
      </c>
      <c r="E616" s="11" t="n">
        <v>20.3962</v>
      </c>
      <c r="F616" s="12" t="n">
        <f aca="false">IF(C616="","",B616/C616)</f>
        <v>853.201003651902</v>
      </c>
      <c r="G616" s="12" t="n">
        <f aca="false">MEDIAN(F606:F626)</f>
        <v>853.201003651902</v>
      </c>
      <c r="H616" s="13" t="n">
        <f aca="false">B616/G616</f>
        <v>20.1265</v>
      </c>
      <c r="I616" s="14" t="n">
        <f aca="false">B616/Summary!$C$8*100</f>
        <v>172.079145413915</v>
      </c>
      <c r="J616" s="14" t="n">
        <f aca="false">G616/Summary!$E$8*100</f>
        <v>145.006479359678</v>
      </c>
      <c r="K616" s="15" t="n">
        <f aca="false">Summary!$D$9</f>
        <v>16.9374488591431</v>
      </c>
      <c r="L616" s="16" t="str">
        <f aca="false">IF(OR(D616="",E616=""),"edge hidden",IF(AND(H616&gt;=D616-0.02,H616&lt;=E616+0.02),"yes","no"))</f>
        <v>yes</v>
      </c>
    </row>
    <row r="617" customFormat="false" ht="15" hidden="false" customHeight="false" outlineLevel="0" collapsed="false">
      <c r="A617" s="9" t="n">
        <v>44676</v>
      </c>
      <c r="B617" s="10" t="n">
        <v>16953.95</v>
      </c>
      <c r="C617" s="11" t="n">
        <v>19.9848</v>
      </c>
      <c r="D617" s="11" t="n">
        <v>19.849</v>
      </c>
      <c r="E617" s="11" t="n">
        <v>20.1206</v>
      </c>
      <c r="F617" s="12" t="n">
        <f aca="false">IF(C617="","",B617/C617)</f>
        <v>848.342240102478</v>
      </c>
      <c r="G617" s="12" t="n">
        <f aca="false">MEDIAN(F607:F627)</f>
        <v>854.380149407893</v>
      </c>
      <c r="H617" s="13" t="n">
        <f aca="false">B617/G617</f>
        <v>19.8435673063677</v>
      </c>
      <c r="I617" s="14" t="n">
        <f aca="false">B617/Summary!$C$8*100</f>
        <v>169.894579671513</v>
      </c>
      <c r="J617" s="14" t="n">
        <f aca="false">G617/Summary!$E$8*100</f>
        <v>145.206882047903</v>
      </c>
      <c r="K617" s="15" t="n">
        <f aca="false">Summary!$D$9</f>
        <v>16.9374488591431</v>
      </c>
      <c r="L617" s="16" t="str">
        <f aca="false">IF(OR(D617="",E617=""),"edge hidden",IF(AND(H617&gt;=D617-0.02,H617&lt;=E617+0.02),"yes","no"))</f>
        <v>yes</v>
      </c>
    </row>
    <row r="618" customFormat="false" ht="15" hidden="false" customHeight="false" outlineLevel="0" collapsed="false">
      <c r="A618" s="9" t="n">
        <v>44677</v>
      </c>
      <c r="B618" s="10" t="n">
        <v>17200.8</v>
      </c>
      <c r="C618" s="11" t="n">
        <v>19.9848</v>
      </c>
      <c r="D618" s="11" t="n">
        <v>19.8569</v>
      </c>
      <c r="E618" s="11" t="n">
        <v>20.1128</v>
      </c>
      <c r="F618" s="12" t="n">
        <f aca="false">IF(C618="","",B618/C618)</f>
        <v>860.694127536928</v>
      </c>
      <c r="G618" s="12" t="n">
        <f aca="false">MEDIAN(F608:F628)</f>
        <v>856.283482701647</v>
      </c>
      <c r="H618" s="13" t="n">
        <f aca="false">B618/G618</f>
        <v>20.0877400387661</v>
      </c>
      <c r="I618" s="14" t="n">
        <f aca="false">B618/Summary!$C$8*100</f>
        <v>172.368249641751</v>
      </c>
      <c r="J618" s="14" t="n">
        <f aca="false">G618/Summary!$E$8*100</f>
        <v>145.530364625624</v>
      </c>
      <c r="K618" s="15" t="n">
        <f aca="false">Summary!$D$9</f>
        <v>16.9374488591431</v>
      </c>
      <c r="L618" s="16" t="str">
        <f aca="false">IF(OR(D618="",E618=""),"edge hidden",IF(AND(H618&gt;=D618-0.02,H618&lt;=E618+0.02),"yes","no"))</f>
        <v>yes</v>
      </c>
    </row>
    <row r="619" customFormat="false" ht="15" hidden="false" customHeight="false" outlineLevel="0" collapsed="false">
      <c r="A619" s="9" t="n">
        <v>44678</v>
      </c>
      <c r="B619" s="10" t="n">
        <v>17038.4</v>
      </c>
      <c r="C619" s="11" t="n">
        <v>19.9809</v>
      </c>
      <c r="D619" s="11" t="n">
        <v>19.8569</v>
      </c>
      <c r="E619" s="11" t="n">
        <v>20.1049</v>
      </c>
      <c r="F619" s="12" t="n">
        <f aca="false">IF(C619="","",B619/C619)</f>
        <v>852.734361315056</v>
      </c>
      <c r="G619" s="12" t="n">
        <f aca="false">MEDIAN(F609:F629)</f>
        <v>860.694127536928</v>
      </c>
      <c r="H619" s="13" t="n">
        <f aca="false">B619/G619</f>
        <v>19.7961150830194</v>
      </c>
      <c r="I619" s="14" t="n">
        <f aca="false">B619/Summary!$C$8*100</f>
        <v>170.7408483731</v>
      </c>
      <c r="J619" s="14" t="n">
        <f aca="false">G619/Summary!$E$8*100</f>
        <v>146.279979401665</v>
      </c>
      <c r="K619" s="15" t="n">
        <f aca="false">Summary!$D$9</f>
        <v>16.9374488591431</v>
      </c>
      <c r="L619" s="16" t="str">
        <f aca="false">IF(OR(D619="",E619=""),"edge hidden",IF(AND(H619&gt;=D619-0.02,H619&lt;=E619+0.02),"yes","no"))</f>
        <v>no</v>
      </c>
    </row>
    <row r="620" customFormat="false" ht="15" hidden="false" customHeight="false" outlineLevel="0" collapsed="false">
      <c r="A620" s="9" t="n">
        <v>44679</v>
      </c>
      <c r="B620" s="10" t="n">
        <v>17245.05</v>
      </c>
      <c r="C620" s="11" t="n">
        <v>19.9809</v>
      </c>
      <c r="D620" s="11" t="n">
        <v>19.8569</v>
      </c>
      <c r="E620" s="11" t="n">
        <v>20.1049</v>
      </c>
      <c r="F620" s="12" t="n">
        <f aca="false">IF(C620="","",B620/C620)</f>
        <v>863.076738285062</v>
      </c>
      <c r="G620" s="12" t="n">
        <f aca="false">MEDIAN(F610:F630)</f>
        <v>863.076738285062</v>
      </c>
      <c r="H620" s="13" t="n">
        <f aca="false">B620/G620</f>
        <v>19.9809</v>
      </c>
      <c r="I620" s="14" t="n">
        <f aca="false">B620/Summary!$C$8*100</f>
        <v>172.811676403684</v>
      </c>
      <c r="J620" s="14" t="n">
        <f aca="false">G620/Summary!$E$8*100</f>
        <v>146.684917973927</v>
      </c>
      <c r="K620" s="15" t="n">
        <f aca="false">Summary!$D$9</f>
        <v>16.9374488591431</v>
      </c>
      <c r="L620" s="16" t="str">
        <f aca="false">IF(OR(D620="",E620=""),"edge hidden",IF(AND(H620&gt;=D620-0.02,H620&lt;=E620+0.02),"yes","no"))</f>
        <v>yes</v>
      </c>
    </row>
    <row r="621" customFormat="false" ht="15" hidden="false" customHeight="false" outlineLevel="0" collapsed="false">
      <c r="A621" s="9" t="n">
        <v>44680</v>
      </c>
      <c r="B621" s="10" t="n">
        <v>17102.55</v>
      </c>
      <c r="C621" s="11" t="n">
        <v>19.973</v>
      </c>
      <c r="D621" s="11" t="n">
        <v>19.849</v>
      </c>
      <c r="E621" s="11" t="n">
        <v>20.097</v>
      </c>
      <c r="F621" s="12" t="n">
        <f aca="false">IF(C621="","",B621/C621)</f>
        <v>856.283482701647</v>
      </c>
      <c r="G621" s="12" t="n">
        <f aca="false">MEDIAN(F611:F631)</f>
        <v>863.825095359186</v>
      </c>
      <c r="H621" s="13" t="n">
        <f aca="false">B621/G621</f>
        <v>19.7986260087623</v>
      </c>
      <c r="I621" s="14" t="n">
        <f aca="false">B621/Summary!$C$8*100</f>
        <v>171.383691916105</v>
      </c>
      <c r="J621" s="14" t="n">
        <f aca="false">G621/Summary!$E$8*100</f>
        <v>146.812105616883</v>
      </c>
      <c r="K621" s="15" t="n">
        <f aca="false">Summary!$D$9</f>
        <v>16.9374488591431</v>
      </c>
      <c r="L621" s="16" t="str">
        <f aca="false">IF(OR(D621="",E621=""),"edge hidden",IF(AND(H621&gt;=D621-0.02,H621&lt;=E621+0.02),"yes","no"))</f>
        <v>no</v>
      </c>
    </row>
    <row r="622" customFormat="false" ht="15" hidden="false" customHeight="false" outlineLevel="0" collapsed="false">
      <c r="A622" s="9" t="n">
        <v>44683</v>
      </c>
      <c r="B622" s="10" t="n">
        <v>17069.1</v>
      </c>
      <c r="C622" s="11" t="n">
        <v>19.347</v>
      </c>
      <c r="D622" s="11" t="n">
        <v>18.786</v>
      </c>
      <c r="E622" s="11" t="n">
        <v>19.908</v>
      </c>
      <c r="F622" s="12" t="n">
        <f aca="false">IF(C622="","",B622/C622)</f>
        <v>882.26081563033</v>
      </c>
      <c r="G622" s="12" t="n">
        <f aca="false">MEDIAN(F612:F632)</f>
        <v>864.312441049348</v>
      </c>
      <c r="H622" s="13" t="n">
        <f aca="false">B622/G622</f>
        <v>19.7487611994532</v>
      </c>
      <c r="I622" s="14" t="n">
        <f aca="false">B622/Summary!$C$8*100</f>
        <v>171.048491346915</v>
      </c>
      <c r="J622" s="14" t="n">
        <f aca="false">G622/Summary!$E$8*100</f>
        <v>146.894932855083</v>
      </c>
      <c r="K622" s="15" t="n">
        <f aca="false">Summary!$D$9</f>
        <v>16.9374488591431</v>
      </c>
      <c r="L622" s="16" t="str">
        <f aca="false">IF(OR(D622="",E622=""),"edge hidden",IF(AND(H622&gt;=D622-0.02,H622&lt;=E622+0.02),"yes","no"))</f>
        <v>yes</v>
      </c>
    </row>
    <row r="623" customFormat="false" ht="15" hidden="false" customHeight="false" outlineLevel="0" collapsed="false">
      <c r="A623" s="9" t="n">
        <v>44685</v>
      </c>
      <c r="B623" s="10" t="n">
        <v>16677.6</v>
      </c>
      <c r="C623" s="11" t="n">
        <v>19.2958</v>
      </c>
      <c r="D623" s="11" t="n">
        <v>18.7466</v>
      </c>
      <c r="E623" s="11" t="n">
        <v>19.8451</v>
      </c>
      <c r="F623" s="12" t="n">
        <f aca="false">IF(C623="","",B623/C623)</f>
        <v>864.312441049348</v>
      </c>
      <c r="G623" s="12" t="n">
        <f aca="false">MEDIAN(F613:F633)</f>
        <v>872.943571174415</v>
      </c>
      <c r="H623" s="13" t="n">
        <f aca="false">B623/G623</f>
        <v>19.1050149754386</v>
      </c>
      <c r="I623" s="14" t="n">
        <f aca="false">B623/Summary!$C$8*100</f>
        <v>167.125291859987</v>
      </c>
      <c r="J623" s="14" t="n">
        <f aca="false">G623/Summary!$E$8*100</f>
        <v>148.361843684974</v>
      </c>
      <c r="K623" s="15" t="n">
        <f aca="false">Summary!$D$9</f>
        <v>16.9374488591431</v>
      </c>
      <c r="L623" s="16" t="str">
        <f aca="false">IF(OR(D623="",E623=""),"edge hidden",IF(AND(H623&gt;=D623-0.02,H623&lt;=E623+0.02),"yes","no"))</f>
        <v>yes</v>
      </c>
    </row>
    <row r="624" customFormat="false" ht="15" hidden="false" customHeight="false" outlineLevel="0" collapsed="false">
      <c r="A624" s="9" t="n">
        <v>44686</v>
      </c>
      <c r="B624" s="10" t="n">
        <v>16682.65</v>
      </c>
      <c r="C624" s="11" t="n">
        <v>19.1108</v>
      </c>
      <c r="D624" s="11" t="n">
        <v>18.4317</v>
      </c>
      <c r="E624" s="11" t="n">
        <v>19.7899</v>
      </c>
      <c r="F624" s="12" t="n">
        <f aca="false">IF(C624="","",B624/C624)</f>
        <v>872.943571174415</v>
      </c>
      <c r="G624" s="12" t="n">
        <f aca="false">MEDIAN(F614:F634)</f>
        <v>873.699041165659</v>
      </c>
      <c r="H624" s="13" t="n">
        <f aca="false">B624/G624</f>
        <v>19.0942752755486</v>
      </c>
      <c r="I624" s="14" t="n">
        <f aca="false">B624/Summary!$C$8*100</f>
        <v>167.175897626038</v>
      </c>
      <c r="J624" s="14" t="n">
        <f aca="false">G624/Summary!$E$8*100</f>
        <v>148.490240209619</v>
      </c>
      <c r="K624" s="15" t="n">
        <f aca="false">Summary!$D$9</f>
        <v>16.9374488591431</v>
      </c>
      <c r="L624" s="16" t="str">
        <f aca="false">IF(OR(D624="",E624=""),"edge hidden",IF(AND(H624&gt;=D624-0.02,H624&lt;=E624+0.02),"yes","no"))</f>
        <v>yes</v>
      </c>
    </row>
    <row r="625" customFormat="false" ht="15" hidden="false" customHeight="false" outlineLevel="0" collapsed="false">
      <c r="A625" s="9" t="n">
        <v>44687</v>
      </c>
      <c r="B625" s="10" t="n">
        <v>16411.25</v>
      </c>
      <c r="C625" s="11" t="n">
        <v>18.7801</v>
      </c>
      <c r="D625" s="11" t="n">
        <v>18.3451</v>
      </c>
      <c r="E625" s="11" t="n">
        <v>19.2151</v>
      </c>
      <c r="F625" s="12" t="n">
        <f aca="false">IF(C625="","",B625/C625)</f>
        <v>873.8638239413</v>
      </c>
      <c r="G625" s="12" t="n">
        <f aca="false">MEDIAN(F615:F635)</f>
        <v>873.8638239413</v>
      </c>
      <c r="H625" s="13" t="n">
        <f aca="false">B625/G625</f>
        <v>18.7801</v>
      </c>
      <c r="I625" s="14" t="n">
        <f aca="false">B625/Summary!$C$8*100</f>
        <v>164.456213486186</v>
      </c>
      <c r="J625" s="14" t="n">
        <f aca="false">G625/Summary!$E$8*100</f>
        <v>148.518246001985</v>
      </c>
      <c r="K625" s="15" t="n">
        <f aca="false">Summary!$D$9</f>
        <v>16.9374488591431</v>
      </c>
      <c r="L625" s="16" t="str">
        <f aca="false">IF(OR(D625="",E625=""),"edge hidden",IF(AND(H625&gt;=D625-0.02,H625&lt;=E625+0.02),"yes","no"))</f>
        <v>yes</v>
      </c>
    </row>
    <row r="626" customFormat="false" ht="15" hidden="false" customHeight="false" outlineLevel="0" collapsed="false">
      <c r="A626" s="9" t="n">
        <v>44690</v>
      </c>
      <c r="B626" s="10" t="n">
        <v>16301.85</v>
      </c>
      <c r="C626" s="11" t="n">
        <v>18.2958</v>
      </c>
      <c r="D626" s="11" t="n">
        <v>17.8647</v>
      </c>
      <c r="E626" s="11" t="n">
        <v>18.7269</v>
      </c>
      <c r="F626" s="12" t="n">
        <f aca="false">IF(C626="","",B626/C626)</f>
        <v>891.015970878562</v>
      </c>
      <c r="G626" s="12" t="n">
        <f aca="false">MEDIAN(F616:F636)</f>
        <v>874.558792613165</v>
      </c>
      <c r="H626" s="13" t="n">
        <f aca="false">B626/G626</f>
        <v>18.6400847349443</v>
      </c>
      <c r="I626" s="14" t="n">
        <f aca="false">B626/Summary!$C$8*100</f>
        <v>163.359922237476</v>
      </c>
      <c r="J626" s="14" t="n">
        <f aca="false">G626/Summary!$E$8*100</f>
        <v>148.636359975059</v>
      </c>
      <c r="K626" s="15" t="n">
        <f aca="false">Summary!$D$9</f>
        <v>16.9374488591431</v>
      </c>
      <c r="L626" s="16" t="str">
        <f aca="false">IF(OR(D626="",E626=""),"edge hidden",IF(AND(H626&gt;=D626-0.02,H626&lt;=E626+0.02),"yes","no"))</f>
        <v>yes</v>
      </c>
    </row>
    <row r="627" customFormat="false" ht="15" hidden="false" customHeight="false" outlineLevel="0" collapsed="false">
      <c r="A627" s="9" t="n">
        <v>44691</v>
      </c>
      <c r="B627" s="10" t="n">
        <v>16240.05</v>
      </c>
      <c r="C627" s="11" t="n">
        <v>18.2762</v>
      </c>
      <c r="D627" s="11" t="n">
        <v>17.849</v>
      </c>
      <c r="E627" s="11" t="n">
        <v>18.7033</v>
      </c>
      <c r="F627" s="12" t="n">
        <f aca="false">IF(C627="","",B627/C627)</f>
        <v>888.590078900428</v>
      </c>
      <c r="G627" s="12" t="n">
        <f aca="false">MEDIAN(F617:F637)</f>
        <v>875.401448537066</v>
      </c>
      <c r="H627" s="13" t="n">
        <f aca="false">B627/G627</f>
        <v>18.5515457246954</v>
      </c>
      <c r="I627" s="14" t="n">
        <f aca="false">B627/Summary!$C$8*100</f>
        <v>162.740627912337</v>
      </c>
      <c r="J627" s="14" t="n">
        <f aca="false">G627/Summary!$E$8*100</f>
        <v>148.779574256704</v>
      </c>
      <c r="K627" s="15" t="n">
        <f aca="false">Summary!$D$9</f>
        <v>16.9374488591431</v>
      </c>
      <c r="L627" s="16" t="str">
        <f aca="false">IF(OR(D627="",E627=""),"edge hidden",IF(AND(H627&gt;=D627-0.02,H627&lt;=E627+0.02),"yes","no"))</f>
        <v>yes</v>
      </c>
    </row>
    <row r="628" customFormat="false" ht="15" hidden="false" customHeight="false" outlineLevel="0" collapsed="false">
      <c r="A628" s="9" t="n">
        <v>44692</v>
      </c>
      <c r="B628" s="10" t="n">
        <v>16167.1</v>
      </c>
      <c r="C628" s="11" t="n">
        <v>18.1029</v>
      </c>
      <c r="D628" s="11" t="n">
        <v>17.8254</v>
      </c>
      <c r="E628" s="11" t="n">
        <v>18.3805</v>
      </c>
      <c r="F628" s="12" t="n">
        <f aca="false">IF(C628="","",B628/C628)</f>
        <v>893.066856691469</v>
      </c>
      <c r="G628" s="12" t="n">
        <f aca="false">MEDIAN(F618:F638)</f>
        <v>876.839629168396</v>
      </c>
      <c r="H628" s="13" t="n">
        <f aca="false">B628/G628</f>
        <v>18.4379212140914</v>
      </c>
      <c r="I628" s="14" t="n">
        <f aca="false">B628/Summary!$C$8*100</f>
        <v>162.009600064134</v>
      </c>
      <c r="J628" s="14" t="n">
        <f aca="false">G628/Summary!$E$8*100</f>
        <v>149.024001430535</v>
      </c>
      <c r="K628" s="15" t="n">
        <f aca="false">Summary!$D$9</f>
        <v>16.9374488591431</v>
      </c>
      <c r="L628" s="16" t="str">
        <f aca="false">IF(OR(D628="",E628=""),"edge hidden",IF(AND(H628&gt;=D628-0.02,H628&lt;=E628+0.02),"yes","no"))</f>
        <v>no</v>
      </c>
    </row>
    <row r="629" customFormat="false" ht="15" hidden="false" customHeight="false" outlineLevel="0" collapsed="false">
      <c r="A629" s="9" t="n">
        <v>44693</v>
      </c>
      <c r="B629" s="10" t="n">
        <v>15808</v>
      </c>
      <c r="C629" s="11" t="n">
        <v>18.0754</v>
      </c>
      <c r="D629" s="11" t="n">
        <v>17.8175</v>
      </c>
      <c r="E629" s="11" t="n">
        <v>18.3332</v>
      </c>
      <c r="F629" s="12" t="n">
        <f aca="false">IF(C629="","",B629/C629)</f>
        <v>874.558792613165</v>
      </c>
      <c r="G629" s="12" t="n">
        <f aca="false">MEDIAN(F619:F639)</f>
        <v>882.26081563033</v>
      </c>
      <c r="H629" s="13" t="n">
        <f aca="false">B629/G629</f>
        <v>17.9176040916041</v>
      </c>
      <c r="I629" s="14" t="n">
        <f aca="false">B629/Summary!$C$8*100</f>
        <v>158.411079155435</v>
      </c>
      <c r="J629" s="14" t="n">
        <f aca="false">G629/Summary!$E$8*100</f>
        <v>149.945363641119</v>
      </c>
      <c r="K629" s="15" t="n">
        <f aca="false">Summary!$D$9</f>
        <v>16.9374488591431</v>
      </c>
      <c r="L629" s="16" t="str">
        <f aca="false">IF(OR(D629="",E629=""),"edge hidden",IF(AND(H629&gt;=D629-0.02,H629&lt;=E629+0.02),"yes","no"))</f>
        <v>yes</v>
      </c>
    </row>
    <row r="630" customFormat="false" ht="15" hidden="false" customHeight="false" outlineLevel="0" collapsed="false">
      <c r="A630" s="9" t="n">
        <v>44694</v>
      </c>
      <c r="B630" s="10" t="n">
        <v>15782.15</v>
      </c>
      <c r="C630" s="11" t="n">
        <v>18.0636</v>
      </c>
      <c r="D630" s="11" t="n">
        <v>17.8096</v>
      </c>
      <c r="E630" s="11" t="n">
        <v>18.3175</v>
      </c>
      <c r="F630" s="12" t="n">
        <f aca="false">IF(C630="","",B630/C630)</f>
        <v>873.699041165659</v>
      </c>
      <c r="G630" s="12" t="n">
        <f aca="false">MEDIAN(F620:F640)</f>
        <v>882.954457802118</v>
      </c>
      <c r="H630" s="13" t="n">
        <f aca="false">B630/G630</f>
        <v>17.8742514526576</v>
      </c>
      <c r="I630" s="14" t="n">
        <f aca="false">B630/Summary!$C$8*100</f>
        <v>158.152037758916</v>
      </c>
      <c r="J630" s="14" t="n">
        <f aca="false">G630/Summary!$E$8*100</f>
        <v>150.06325216778</v>
      </c>
      <c r="K630" s="15" t="n">
        <f aca="false">Summary!$D$9</f>
        <v>16.9374488591431</v>
      </c>
      <c r="L630" s="16" t="str">
        <f aca="false">IF(OR(D630="",E630=""),"edge hidden",IF(AND(H630&gt;=D630-0.02,H630&lt;=E630+0.02),"yes","no"))</f>
        <v>yes</v>
      </c>
    </row>
    <row r="631" customFormat="false" ht="15" hidden="false" customHeight="false" outlineLevel="0" collapsed="false">
      <c r="A631" s="9" t="n">
        <v>44697</v>
      </c>
      <c r="B631" s="10" t="n">
        <v>15842.3</v>
      </c>
      <c r="C631" s="11" t="n">
        <v>18.0675</v>
      </c>
      <c r="D631" s="11" t="n">
        <v>17.8096</v>
      </c>
      <c r="E631" s="11" t="n">
        <v>18.3254</v>
      </c>
      <c r="F631" s="12" t="n">
        <f aca="false">IF(C631="","",B631/C631)</f>
        <v>876.839629168396</v>
      </c>
      <c r="G631" s="12" t="n">
        <f aca="false">MEDIAN(F621:F641)</f>
        <v>887.825862561219</v>
      </c>
      <c r="H631" s="13" t="n">
        <f aca="false">B631/G631</f>
        <v>17.8439271348751</v>
      </c>
      <c r="I631" s="14" t="n">
        <f aca="false">B631/Summary!$C$8*100</f>
        <v>158.754797526831</v>
      </c>
      <c r="J631" s="14" t="n">
        <f aca="false">G631/Summary!$E$8*100</f>
        <v>150.891175776203</v>
      </c>
      <c r="K631" s="15" t="n">
        <f aca="false">Summary!$D$9</f>
        <v>16.9374488591431</v>
      </c>
      <c r="L631" s="16" t="str">
        <f aca="false">IF(OR(D631="",E631=""),"edge hidden",IF(AND(H631&gt;=D631-0.02,H631&lt;=E631+0.02),"yes","no"))</f>
        <v>yes</v>
      </c>
    </row>
    <row r="632" customFormat="false" ht="15" hidden="false" customHeight="false" outlineLevel="0" collapsed="false">
      <c r="A632" s="9" t="n">
        <v>44698</v>
      </c>
      <c r="B632" s="10" t="n">
        <v>16259.3</v>
      </c>
      <c r="C632" s="11" t="n">
        <v>18.0675</v>
      </c>
      <c r="D632" s="11" t="n">
        <v>17.8096</v>
      </c>
      <c r="E632" s="11" t="n">
        <v>18.3254</v>
      </c>
      <c r="F632" s="12" t="n">
        <f aca="false">IF(C632="","",B632/C632)</f>
        <v>899.919745399198</v>
      </c>
      <c r="G632" s="12" t="n">
        <f aca="false">MEDIAN(F622:F642)</f>
        <v>888.590078900428</v>
      </c>
      <c r="H632" s="13" t="n">
        <f aca="false">B632/G632</f>
        <v>18.2978635324399</v>
      </c>
      <c r="I632" s="14" t="n">
        <f aca="false">B632/Summary!$C$8*100</f>
        <v>162.933531079957</v>
      </c>
      <c r="J632" s="14" t="n">
        <f aca="false">G632/Summary!$E$8*100</f>
        <v>151.02105879362</v>
      </c>
      <c r="K632" s="15" t="n">
        <f aca="false">Summary!$D$9</f>
        <v>16.9374488591431</v>
      </c>
      <c r="L632" s="16" t="str">
        <f aca="false">IF(OR(D632="",E632=""),"edge hidden",IF(AND(H632&gt;=D632-0.02,H632&lt;=E632+0.02),"yes","no"))</f>
        <v>yes</v>
      </c>
    </row>
    <row r="633" customFormat="false" ht="15" hidden="false" customHeight="false" outlineLevel="0" collapsed="false">
      <c r="A633" s="9" t="n">
        <v>44699</v>
      </c>
      <c r="B633" s="10" t="n">
        <v>16240.3</v>
      </c>
      <c r="C633" s="11" t="n">
        <v>18.0636</v>
      </c>
      <c r="D633" s="11" t="n">
        <v>17.8096</v>
      </c>
      <c r="E633" s="11" t="n">
        <v>18.3175</v>
      </c>
      <c r="F633" s="12" t="n">
        <f aca="false">IF(C633="","",B633/C633)</f>
        <v>899.062202440267</v>
      </c>
      <c r="G633" s="12" t="n">
        <f aca="false">MEDIAN(F623:F643)</f>
        <v>889.006196797953</v>
      </c>
      <c r="H633" s="13" t="n">
        <f aca="false">B633/G633</f>
        <v>18.2679266561861</v>
      </c>
      <c r="I633" s="14" t="n">
        <f aca="false">B633/Summary!$C$8*100</f>
        <v>162.74313314828</v>
      </c>
      <c r="J633" s="14" t="n">
        <f aca="false">G633/Summary!$E$8*100</f>
        <v>151.091780453652</v>
      </c>
      <c r="K633" s="15" t="n">
        <f aca="false">Summary!$D$9</f>
        <v>16.9374488591431</v>
      </c>
      <c r="L633" s="16" t="str">
        <f aca="false">IF(OR(D633="",E633=""),"edge hidden",IF(AND(H633&gt;=D633-0.02,H633&lt;=E633+0.02),"yes","no"))</f>
        <v>yes</v>
      </c>
    </row>
    <row r="634" customFormat="false" ht="15" hidden="false" customHeight="false" outlineLevel="0" collapsed="false">
      <c r="A634" s="9" t="n">
        <v>44700</v>
      </c>
      <c r="B634" s="10" t="n">
        <v>15809.4</v>
      </c>
      <c r="C634" s="11" t="n">
        <v>18.0596</v>
      </c>
      <c r="D634" s="11" t="n">
        <v>17.8175</v>
      </c>
      <c r="E634" s="11" t="n">
        <v>18.3017</v>
      </c>
      <c r="F634" s="12" t="n">
        <f aca="false">IF(C634="","",B634/C634)</f>
        <v>875.401448537066</v>
      </c>
      <c r="G634" s="12" t="n">
        <f aca="false">MEDIAN(F624:F644)</f>
        <v>890.819935517959</v>
      </c>
      <c r="H634" s="13" t="n">
        <f aca="false">B634/G634</f>
        <v>17.747020884538</v>
      </c>
      <c r="I634" s="14" t="n">
        <f aca="false">B634/Summary!$C$8*100</f>
        <v>158.425108476716</v>
      </c>
      <c r="J634" s="14" t="n">
        <f aca="false">G634/Summary!$E$8*100</f>
        <v>151.400035911792</v>
      </c>
      <c r="K634" s="15" t="n">
        <f aca="false">Summary!$D$9</f>
        <v>16.9374488591431</v>
      </c>
      <c r="L634" s="16" t="str">
        <f aca="false">IF(OR(D634="",E634=""),"edge hidden",IF(AND(H634&gt;=D634-0.02,H634&lt;=E634+0.02),"yes","no"))</f>
        <v>no</v>
      </c>
    </row>
    <row r="635" customFormat="false" ht="15" hidden="false" customHeight="false" outlineLevel="0" collapsed="false">
      <c r="A635" s="9" t="n">
        <v>44701</v>
      </c>
      <c r="B635" s="10" t="n">
        <v>16266.15</v>
      </c>
      <c r="C635" s="11" t="n">
        <v>18.0596</v>
      </c>
      <c r="D635" s="11" t="n">
        <v>17.8175</v>
      </c>
      <c r="E635" s="11" t="n">
        <v>18.3017</v>
      </c>
      <c r="F635" s="12" t="n">
        <f aca="false">IF(C635="","",B635/C635)</f>
        <v>900.692706372234</v>
      </c>
      <c r="G635" s="12" t="n">
        <f aca="false">MEDIAN(F625:F645)</f>
        <v>891.015970878562</v>
      </c>
      <c r="H635" s="13" t="n">
        <f aca="false">B635/G635</f>
        <v>18.2557333781135</v>
      </c>
      <c r="I635" s="14" t="n">
        <f aca="false">B635/Summary!$C$8*100</f>
        <v>163.002174544799</v>
      </c>
      <c r="J635" s="14" t="n">
        <f aca="false">G635/Summary!$E$8*100</f>
        <v>151.433353262978</v>
      </c>
      <c r="K635" s="15" t="n">
        <f aca="false">Summary!$D$9</f>
        <v>16.9374488591431</v>
      </c>
      <c r="L635" s="16" t="str">
        <f aca="false">IF(OR(D635="",E635=""),"edge hidden",IF(AND(H635&gt;=D635-0.02,H635&lt;=E635+0.02),"yes","no"))</f>
        <v>yes</v>
      </c>
    </row>
    <row r="636" customFormat="false" ht="15" hidden="false" customHeight="false" outlineLevel="0" collapsed="false">
      <c r="A636" s="9" t="n">
        <v>44704</v>
      </c>
      <c r="B636" s="10" t="n">
        <v>16214.7</v>
      </c>
      <c r="C636" s="11" t="n">
        <v>18.1265</v>
      </c>
      <c r="D636" s="11" t="n">
        <v>17.9435</v>
      </c>
      <c r="E636" s="11" t="n">
        <v>18.3096</v>
      </c>
      <c r="F636" s="12" t="n">
        <f aca="false">IF(C636="","",B636/C636)</f>
        <v>894.530107853143</v>
      </c>
      <c r="G636" s="12" t="n">
        <f aca="false">MEDIAN(F626:F646)</f>
        <v>893.066856691469</v>
      </c>
      <c r="H636" s="13" t="n">
        <f aca="false">B636/G636</f>
        <v>18.1561994810448</v>
      </c>
      <c r="I636" s="14" t="n">
        <f aca="false">B636/Summary!$C$8*100</f>
        <v>162.486596987704</v>
      </c>
      <c r="J636" s="14" t="n">
        <f aca="false">G636/Summary!$E$8*100</f>
        <v>151.781913250631</v>
      </c>
      <c r="K636" s="15" t="n">
        <f aca="false">Summary!$D$9</f>
        <v>16.9374488591431</v>
      </c>
      <c r="L636" s="16" t="str">
        <f aca="false">IF(OR(D636="",E636=""),"edge hidden",IF(AND(H636&gt;=D636-0.02,H636&lt;=E636+0.02),"yes","no"))</f>
        <v>yes</v>
      </c>
    </row>
    <row r="637" customFormat="false" ht="15" hidden="false" customHeight="false" outlineLevel="0" collapsed="false">
      <c r="A637" s="9" t="n">
        <v>44705</v>
      </c>
      <c r="B637" s="10" t="n">
        <v>16125.15</v>
      </c>
      <c r="C637" s="11" t="n">
        <v>18.1384</v>
      </c>
      <c r="D637" s="11" t="n">
        <v>17.9435</v>
      </c>
      <c r="E637" s="11" t="n">
        <v>18.3332</v>
      </c>
      <c r="F637" s="12" t="n">
        <f aca="false">IF(C637="","",B637/C637)</f>
        <v>889.006196797953</v>
      </c>
      <c r="G637" s="12" t="n">
        <f aca="false">MEDIAN(F627:F647)</f>
        <v>893.205553977583</v>
      </c>
      <c r="H637" s="13" t="n">
        <f aca="false">B637/G637</f>
        <v>18.0531233020128</v>
      </c>
      <c r="I637" s="14" t="n">
        <f aca="false">B637/Summary!$C$8*100</f>
        <v>161.589221472878</v>
      </c>
      <c r="J637" s="14" t="n">
        <f aca="false">G637/Summary!$E$8*100</f>
        <v>151.805485662138</v>
      </c>
      <c r="K637" s="15" t="n">
        <f aca="false">Summary!$D$9</f>
        <v>16.9374488591431</v>
      </c>
      <c r="L637" s="16" t="str">
        <f aca="false">IF(OR(D637="",E637=""),"edge hidden",IF(AND(H637&gt;=D637-0.02,H637&lt;=E637+0.02),"yes","no"))</f>
        <v>yes</v>
      </c>
    </row>
    <row r="638" customFormat="false" ht="15" hidden="false" customHeight="false" outlineLevel="0" collapsed="false">
      <c r="A638" s="9" t="n">
        <v>44706</v>
      </c>
      <c r="B638" s="10" t="n">
        <v>16025.8</v>
      </c>
      <c r="C638" s="11" t="n">
        <v>18.1502</v>
      </c>
      <c r="D638" s="11" t="n">
        <v>17.9514</v>
      </c>
      <c r="E638" s="11" t="n">
        <v>18.349</v>
      </c>
      <c r="F638" s="12" t="n">
        <f aca="false">IF(C638="","",B638/C638)</f>
        <v>882.954457802118</v>
      </c>
      <c r="G638" s="12" t="n">
        <f aca="false">MEDIAN(F628:F648)</f>
        <v>893.205553977583</v>
      </c>
      <c r="H638" s="13" t="n">
        <f aca="false">B638/G638</f>
        <v>17.9418947056863</v>
      </c>
      <c r="I638" s="14" t="n">
        <f aca="false">B638/Summary!$C$8*100</f>
        <v>160.593640709082</v>
      </c>
      <c r="J638" s="14" t="n">
        <f aca="false">G638/Summary!$E$8*100</f>
        <v>151.805485662138</v>
      </c>
      <c r="K638" s="15" t="n">
        <f aca="false">Summary!$D$9</f>
        <v>16.9374488591431</v>
      </c>
      <c r="L638" s="16" t="str">
        <f aca="false">IF(OR(D638="",E638=""),"edge hidden",IF(AND(H638&gt;=D638-0.02,H638&lt;=E638+0.02),"yes","no"))</f>
        <v>yes</v>
      </c>
    </row>
    <row r="639" customFormat="false" ht="15" hidden="false" customHeight="false" outlineLevel="0" collapsed="false">
      <c r="A639" s="9" t="n">
        <v>44707</v>
      </c>
      <c r="B639" s="10" t="n">
        <v>16170.15</v>
      </c>
      <c r="C639" s="11" t="n">
        <v>18.2132</v>
      </c>
      <c r="D639" s="11" t="n">
        <v>17.9514</v>
      </c>
      <c r="E639" s="11" t="n">
        <v>18.475</v>
      </c>
      <c r="F639" s="12" t="n">
        <f aca="false">IF(C639="","",B639/C639)</f>
        <v>887.825862561219</v>
      </c>
      <c r="G639" s="12" t="n">
        <f aca="false">MEDIAN(F629:F649)</f>
        <v>893.377362149583</v>
      </c>
      <c r="H639" s="13" t="n">
        <f aca="false">B639/G639</f>
        <v>18.1000221016262</v>
      </c>
      <c r="I639" s="14" t="n">
        <f aca="false">B639/Summary!$C$8*100</f>
        <v>162.04016394264</v>
      </c>
      <c r="J639" s="14" t="n">
        <f aca="false">G639/Summary!$E$8*100</f>
        <v>151.834685461529</v>
      </c>
      <c r="K639" s="15" t="n">
        <f aca="false">Summary!$D$9</f>
        <v>16.9374488591431</v>
      </c>
      <c r="L639" s="16" t="str">
        <f aca="false">IF(OR(D639="",E639=""),"edge hidden",IF(AND(H639&gt;=D639-0.02,H639&lt;=E639+0.02),"yes","no"))</f>
        <v>yes</v>
      </c>
    </row>
    <row r="640" customFormat="false" ht="15" hidden="false" customHeight="false" outlineLevel="0" collapsed="false">
      <c r="A640" s="9" t="n">
        <v>44708</v>
      </c>
      <c r="B640" s="10" t="n">
        <v>16352.45</v>
      </c>
      <c r="C640" s="11" t="n">
        <v>18.3076</v>
      </c>
      <c r="D640" s="11" t="n">
        <v>17.975</v>
      </c>
      <c r="E640" s="11" t="n">
        <v>18.6403</v>
      </c>
      <c r="F640" s="12" t="n">
        <f aca="false">IF(C640="","",B640/C640)</f>
        <v>893.205553977583</v>
      </c>
      <c r="G640" s="12" t="n">
        <f aca="false">MEDIAN(F630:F650)</f>
        <v>893.810537548934</v>
      </c>
      <c r="H640" s="13" t="n">
        <f aca="false">B640/G640</f>
        <v>18.2952083389426</v>
      </c>
      <c r="I640" s="14" t="n">
        <f aca="false">B640/Summary!$C$8*100</f>
        <v>163.866981992364</v>
      </c>
      <c r="J640" s="14" t="n">
        <f aca="false">G640/Summary!$E$8*100</f>
        <v>151.908306143333</v>
      </c>
      <c r="K640" s="15" t="n">
        <f aca="false">Summary!$D$9</f>
        <v>16.9374488591431</v>
      </c>
      <c r="L640" s="16" t="str">
        <f aca="false">IF(OR(D640="",E640=""),"edge hidden",IF(AND(H640&gt;=D640-0.02,H640&lt;=E640+0.02),"yes","no"))</f>
        <v>yes</v>
      </c>
    </row>
    <row r="641" customFormat="false" ht="15" hidden="false" customHeight="false" outlineLevel="0" collapsed="false">
      <c r="A641" s="9" t="n">
        <v>44711</v>
      </c>
      <c r="B641" s="10" t="n">
        <v>16661.4</v>
      </c>
      <c r="C641" s="11" t="n">
        <v>18.5045</v>
      </c>
      <c r="D641" s="11" t="n">
        <v>18.3214</v>
      </c>
      <c r="E641" s="11" t="n">
        <v>18.6876</v>
      </c>
      <c r="F641" s="12" t="n">
        <f aca="false">IF(C641="","",B641/C641)</f>
        <v>900.397200680916</v>
      </c>
      <c r="G641" s="12" t="n">
        <f aca="false">MEDIAN(F631:F651)</f>
        <v>894.530107853143</v>
      </c>
      <c r="H641" s="13" t="n">
        <f aca="false">B641/G641</f>
        <v>18.6258683231882</v>
      </c>
      <c r="I641" s="14" t="n">
        <f aca="false">B641/Summary!$C$8*100</f>
        <v>166.962952570873</v>
      </c>
      <c r="J641" s="14" t="n">
        <f aca="false">G641/Summary!$E$8*100</f>
        <v>152.030601307097</v>
      </c>
      <c r="K641" s="15" t="n">
        <f aca="false">Summary!$D$9</f>
        <v>16.9374488591431</v>
      </c>
      <c r="L641" s="16" t="str">
        <f aca="false">IF(OR(D641="",E641=""),"edge hidden",IF(AND(H641&gt;=D641-0.02,H641&lt;=E641+0.02),"yes","no"))</f>
        <v>yes</v>
      </c>
    </row>
    <row r="642" customFormat="false" ht="15" hidden="false" customHeight="false" outlineLevel="0" collapsed="false">
      <c r="A642" s="9" t="n">
        <v>44712</v>
      </c>
      <c r="B642" s="10" t="n">
        <v>16584.55</v>
      </c>
      <c r="C642" s="11" t="n">
        <v>18.5163</v>
      </c>
      <c r="D642" s="11" t="n">
        <v>18.3372</v>
      </c>
      <c r="E642" s="11" t="n">
        <v>18.6954</v>
      </c>
      <c r="F642" s="12" t="n">
        <f aca="false">IF(C642="","",B642/C642)</f>
        <v>895.673001625595</v>
      </c>
      <c r="G642" s="12" t="n">
        <f aca="false">MEDIAN(F632:F652)</f>
        <v>895.355223623421</v>
      </c>
      <c r="H642" s="13" t="n">
        <f aca="false">B642/G642</f>
        <v>18.5228717747173</v>
      </c>
      <c r="I642" s="14" t="n">
        <f aca="false">B642/Summary!$C$8*100</f>
        <v>166.192843041958</v>
      </c>
      <c r="J642" s="14" t="n">
        <f aca="false">G642/Summary!$E$8*100</f>
        <v>152.170834537485</v>
      </c>
      <c r="K642" s="15" t="n">
        <f aca="false">Summary!$D$9</f>
        <v>16.9374488591431</v>
      </c>
      <c r="L642" s="16" t="str">
        <f aca="false">IF(OR(D642="",E642=""),"edge hidden",IF(AND(H642&gt;=D642-0.02,H642&lt;=E642+0.02),"yes","no"))</f>
        <v>yes</v>
      </c>
    </row>
    <row r="643" customFormat="false" ht="15" hidden="false" customHeight="false" outlineLevel="0" collapsed="false">
      <c r="A643" s="9" t="n">
        <v>44713</v>
      </c>
      <c r="B643" s="10" t="n">
        <v>16522.75</v>
      </c>
      <c r="C643" s="11" t="n">
        <v>18.5478</v>
      </c>
      <c r="D643" s="11" t="n">
        <v>18.4002</v>
      </c>
      <c r="E643" s="11" t="n">
        <v>18.6954</v>
      </c>
      <c r="F643" s="12" t="n">
        <f aca="false">IF(C643="","",B643/C643)</f>
        <v>890.819935517959</v>
      </c>
      <c r="G643" s="12" t="n">
        <f aca="false">MEDIAN(F633:F653)</f>
        <v>895.355223623421</v>
      </c>
      <c r="H643" s="13" t="n">
        <f aca="false">B643/G643</f>
        <v>18.4538488904258</v>
      </c>
      <c r="I643" s="14" t="n">
        <f aca="false">B643/Summary!$C$8*100</f>
        <v>165.573548716818</v>
      </c>
      <c r="J643" s="14" t="n">
        <f aca="false">G643/Summary!$E$8*100</f>
        <v>152.170834537485</v>
      </c>
      <c r="K643" s="15" t="n">
        <f aca="false">Summary!$D$9</f>
        <v>16.9374488591431</v>
      </c>
      <c r="L643" s="16" t="str">
        <f aca="false">IF(OR(D643="",E643=""),"edge hidden",IF(AND(H643&gt;=D643-0.02,H643&lt;=E643+0.02),"yes","no"))</f>
        <v>yes</v>
      </c>
    </row>
    <row r="644" customFormat="false" ht="15" hidden="false" customHeight="false" outlineLevel="0" collapsed="false">
      <c r="A644" s="9" t="n">
        <v>44714</v>
      </c>
      <c r="B644" s="10" t="n">
        <v>16628</v>
      </c>
      <c r="C644" s="11" t="n">
        <v>18.5714</v>
      </c>
      <c r="D644" s="11" t="n">
        <v>18.4474</v>
      </c>
      <c r="E644" s="11" t="n">
        <v>18.6954</v>
      </c>
      <c r="F644" s="12" t="n">
        <f aca="false">IF(C644="","",B644/C644)</f>
        <v>895.355223623421</v>
      </c>
      <c r="G644" s="12" t="n">
        <f aca="false">MEDIAN(F634:F654)</f>
        <v>894.530107853143</v>
      </c>
      <c r="H644" s="13" t="n">
        <f aca="false">B644/G644</f>
        <v>18.5885302842482</v>
      </c>
      <c r="I644" s="14" t="n">
        <f aca="false">B644/Summary!$C$8*100</f>
        <v>166.628253048872</v>
      </c>
      <c r="J644" s="14" t="n">
        <f aca="false">G644/Summary!$E$8*100</f>
        <v>152.030601307097</v>
      </c>
      <c r="K644" s="15" t="n">
        <f aca="false">Summary!$D$9</f>
        <v>16.9374488591431</v>
      </c>
      <c r="L644" s="16" t="str">
        <f aca="false">IF(OR(D644="",E644=""),"edge hidden",IF(AND(H644&gt;=D644-0.02,H644&lt;=E644+0.02),"yes","no"))</f>
        <v>yes</v>
      </c>
    </row>
    <row r="645" customFormat="false" ht="15" hidden="false" customHeight="false" outlineLevel="0" collapsed="false">
      <c r="A645" s="9" t="n">
        <v>44715</v>
      </c>
      <c r="B645" s="10" t="n">
        <v>16584.3</v>
      </c>
      <c r="C645" s="11" t="n">
        <v>18.5636</v>
      </c>
      <c r="D645" s="11" t="n">
        <v>18.4317</v>
      </c>
      <c r="E645" s="11" t="n">
        <v>18.6954</v>
      </c>
      <c r="F645" s="12" t="n">
        <f aca="false">IF(C645="","",B645/C645)</f>
        <v>893.377362149583</v>
      </c>
      <c r="G645" s="12" t="n">
        <f aca="false">MEDIAN(F635:F655)</f>
        <v>894.530107853143</v>
      </c>
      <c r="H645" s="13" t="n">
        <f aca="false">B645/G645</f>
        <v>18.5396778201262</v>
      </c>
      <c r="I645" s="14" t="n">
        <f aca="false">B645/Summary!$C$8*100</f>
        <v>166.190337806015</v>
      </c>
      <c r="J645" s="14" t="n">
        <f aca="false">G645/Summary!$E$8*100</f>
        <v>152.030601307097</v>
      </c>
      <c r="K645" s="15" t="n">
        <f aca="false">Summary!$D$9</f>
        <v>16.9374488591431</v>
      </c>
      <c r="L645" s="16" t="str">
        <f aca="false">IF(OR(D645="",E645=""),"edge hidden",IF(AND(H645&gt;=D645-0.02,H645&lt;=E645+0.02),"yes","no"))</f>
        <v>yes</v>
      </c>
    </row>
    <row r="646" customFormat="false" ht="15" hidden="false" customHeight="false" outlineLevel="0" collapsed="false">
      <c r="A646" s="9" t="n">
        <v>44718</v>
      </c>
      <c r="B646" s="10" t="n">
        <v>16569.55</v>
      </c>
      <c r="C646" s="11" t="n">
        <v>18.4533</v>
      </c>
      <c r="D646" s="11" t="n">
        <v>18.2742</v>
      </c>
      <c r="E646" s="11" t="n">
        <v>18.6325</v>
      </c>
      <c r="F646" s="12" t="n">
        <f aca="false">IF(C646="","",B646/C646)</f>
        <v>897.917987568619</v>
      </c>
      <c r="G646" s="12" t="n">
        <f aca="false">MEDIAN(F636:F656)</f>
        <v>893.810537548934</v>
      </c>
      <c r="H646" s="13" t="n">
        <f aca="false">B646/G646</f>
        <v>18.5381009776838</v>
      </c>
      <c r="I646" s="14" t="n">
        <f aca="false">B646/Summary!$C$8*100</f>
        <v>166.04252888537</v>
      </c>
      <c r="J646" s="14" t="n">
        <f aca="false">G646/Summary!$E$8*100</f>
        <v>151.908306143333</v>
      </c>
      <c r="K646" s="15" t="n">
        <f aca="false">Summary!$D$9</f>
        <v>16.9374488591431</v>
      </c>
      <c r="L646" s="16" t="str">
        <f aca="false">IF(OR(D646="",E646=""),"edge hidden",IF(AND(H646&gt;=D646-0.02,H646&lt;=E646+0.02),"yes","no"))</f>
        <v>yes</v>
      </c>
    </row>
    <row r="647" customFormat="false" ht="15" hidden="false" customHeight="false" outlineLevel="0" collapsed="false">
      <c r="A647" s="9" t="n">
        <v>44719</v>
      </c>
      <c r="B647" s="10" t="n">
        <v>16416.35</v>
      </c>
      <c r="C647" s="11" t="n">
        <v>18.3667</v>
      </c>
      <c r="D647" s="11" t="n">
        <v>18.1403</v>
      </c>
      <c r="E647" s="11" t="n">
        <v>18.5931</v>
      </c>
      <c r="F647" s="12" t="n">
        <f aca="false">IF(C647="","",B647/C647)</f>
        <v>893.810537548934</v>
      </c>
      <c r="G647" s="12" t="n">
        <f aca="false">MEDIAN(F637:F657)</f>
        <v>893.810537548934</v>
      </c>
      <c r="H647" s="13" t="n">
        <f aca="false">B647/G647</f>
        <v>18.3667</v>
      </c>
      <c r="I647" s="14" t="n">
        <f aca="false">B647/Summary!$C$8*100</f>
        <v>164.507320299426</v>
      </c>
      <c r="J647" s="14" t="n">
        <f aca="false">G647/Summary!$E$8*100</f>
        <v>151.908306143333</v>
      </c>
      <c r="K647" s="15" t="n">
        <f aca="false">Summary!$D$9</f>
        <v>16.9374488591431</v>
      </c>
      <c r="L647" s="16" t="str">
        <f aca="false">IF(OR(D647="",E647=""),"edge hidden",IF(AND(H647&gt;=D647-0.02,H647&lt;=E647+0.02),"yes","no"))</f>
        <v>yes</v>
      </c>
    </row>
    <row r="648" customFormat="false" ht="15" hidden="false" customHeight="false" outlineLevel="0" collapsed="false">
      <c r="A648" s="9" t="n">
        <v>44720</v>
      </c>
      <c r="B648" s="10" t="n">
        <v>16356.25</v>
      </c>
      <c r="C648" s="11" t="n">
        <v>18.3431</v>
      </c>
      <c r="D648" s="11" t="n">
        <v>18.1246</v>
      </c>
      <c r="E648" s="11" t="n">
        <v>18.5616</v>
      </c>
      <c r="F648" s="12" t="n">
        <f aca="false">IF(C648="","",B648/C648)</f>
        <v>891.684066488216</v>
      </c>
      <c r="G648" s="12" t="n">
        <f aca="false">MEDIAN(F638:F658)</f>
        <v>893.810537548934</v>
      </c>
      <c r="H648" s="13" t="n">
        <f aca="false">B648/G648</f>
        <v>18.2994597992246</v>
      </c>
      <c r="I648" s="14" t="n">
        <f aca="false">B648/Summary!$C$8*100</f>
        <v>163.905061578699</v>
      </c>
      <c r="J648" s="14" t="n">
        <f aca="false">G648/Summary!$E$8*100</f>
        <v>151.908306143333</v>
      </c>
      <c r="K648" s="15" t="n">
        <f aca="false">Summary!$D$9</f>
        <v>16.9374488591431</v>
      </c>
      <c r="L648" s="16" t="str">
        <f aca="false">IF(OR(D648="",E648=""),"edge hidden",IF(AND(H648&gt;=D648-0.02,H648&lt;=E648+0.02),"yes","no"))</f>
        <v>yes</v>
      </c>
    </row>
    <row r="649" customFormat="false" ht="15" hidden="false" customHeight="false" outlineLevel="0" collapsed="false">
      <c r="A649" s="9" t="n">
        <v>44721</v>
      </c>
      <c r="B649" s="10" t="n">
        <v>16478.1</v>
      </c>
      <c r="C649" s="11" t="n">
        <v>18.1659</v>
      </c>
      <c r="D649" s="11" t="n">
        <v>17.849</v>
      </c>
      <c r="E649" s="11" t="n">
        <v>18.4828</v>
      </c>
      <c r="F649" s="12" t="n">
        <f aca="false">IF(C649="","",B649/C649)</f>
        <v>907.089656994699</v>
      </c>
      <c r="G649" s="12" t="n">
        <f aca="false">MEDIAN(F639:F659)</f>
        <v>895.355223623421</v>
      </c>
      <c r="H649" s="13" t="n">
        <f aca="false">B649/G649</f>
        <v>18.4039804149627</v>
      </c>
      <c r="I649" s="14" t="n">
        <f aca="false">B649/Summary!$C$8*100</f>
        <v>165.126113577377</v>
      </c>
      <c r="J649" s="14" t="n">
        <f aca="false">G649/Summary!$E$8*100</f>
        <v>152.170834537485</v>
      </c>
      <c r="K649" s="15" t="n">
        <f aca="false">Summary!$D$9</f>
        <v>16.9374488591431</v>
      </c>
      <c r="L649" s="16" t="str">
        <f aca="false">IF(OR(D649="",E649=""),"edge hidden",IF(AND(H649&gt;=D649-0.02,H649&lt;=E649+0.02),"yes","no"))</f>
        <v>yes</v>
      </c>
    </row>
    <row r="650" customFormat="false" ht="15" hidden="false" customHeight="false" outlineLevel="0" collapsed="false">
      <c r="A650" s="9" t="n">
        <v>44722</v>
      </c>
      <c r="B650" s="10" t="n">
        <v>16201.8</v>
      </c>
      <c r="C650" s="11" t="n">
        <v>18.0006</v>
      </c>
      <c r="D650" s="11" t="n">
        <v>17.5576</v>
      </c>
      <c r="E650" s="11" t="n">
        <v>18.4435</v>
      </c>
      <c r="F650" s="12" t="n">
        <f aca="false">IF(C650="","",B650/C650)</f>
        <v>900.069997666745</v>
      </c>
      <c r="G650" s="12" t="n">
        <f aca="false">MEDIAN(F640:F660)</f>
        <v>895.673001625595</v>
      </c>
      <c r="H650" s="13" t="n">
        <f aca="false">B650/G650</f>
        <v>18.088967704279</v>
      </c>
      <c r="I650" s="14" t="n">
        <f aca="false">B650/Summary!$C$8*100</f>
        <v>162.357326813039</v>
      </c>
      <c r="J650" s="14" t="n">
        <f aca="false">G650/Summary!$E$8*100</f>
        <v>152.224842759599</v>
      </c>
      <c r="K650" s="15" t="n">
        <f aca="false">Summary!$D$9</f>
        <v>16.9374488591431</v>
      </c>
      <c r="L650" s="16" t="str">
        <f aca="false">IF(OR(D650="",E650=""),"edge hidden",IF(AND(H650&gt;=D650-0.02,H650&lt;=E650+0.02),"yes","no"))</f>
        <v>yes</v>
      </c>
    </row>
    <row r="651" customFormat="false" ht="15" hidden="false" customHeight="false" outlineLevel="0" collapsed="false">
      <c r="A651" s="9" t="n">
        <v>44725</v>
      </c>
      <c r="B651" s="10" t="n">
        <v>15774.4</v>
      </c>
      <c r="C651" s="11" t="n">
        <v>17.5793</v>
      </c>
      <c r="D651" s="11" t="n">
        <v>17.038</v>
      </c>
      <c r="E651" s="11" t="n">
        <v>18.1206</v>
      </c>
      <c r="F651" s="12" t="n">
        <f aca="false">IF(C651="","",B651/C651)</f>
        <v>897.328107490059</v>
      </c>
      <c r="G651" s="12" t="n">
        <f aca="false">MEDIAN(F641:F661)</f>
        <v>896.329130511574</v>
      </c>
      <c r="H651" s="13" t="n">
        <f aca="false">B651/G651</f>
        <v>17.5988924860635</v>
      </c>
      <c r="I651" s="14" t="n">
        <f aca="false">B651/Summary!$C$8*100</f>
        <v>158.074375444679</v>
      </c>
      <c r="J651" s="14" t="n">
        <f aca="false">G651/Summary!$E$8*100</f>
        <v>152.336355684871</v>
      </c>
      <c r="K651" s="15" t="n">
        <f aca="false">Summary!$D$9</f>
        <v>16.9374488591431</v>
      </c>
      <c r="L651" s="16" t="str">
        <f aca="false">IF(OR(D651="",E651=""),"edge hidden",IF(AND(H651&gt;=D651-0.02,H651&lt;=E651+0.02),"yes","no"))</f>
        <v>yes</v>
      </c>
    </row>
    <row r="652" customFormat="false" ht="15" hidden="false" customHeight="false" outlineLevel="0" collapsed="false">
      <c r="A652" s="9" t="n">
        <v>44726</v>
      </c>
      <c r="B652" s="10" t="n">
        <v>15732.1</v>
      </c>
      <c r="C652" s="11" t="n">
        <v>17.5517</v>
      </c>
      <c r="D652" s="11" t="n">
        <v>17.0222</v>
      </c>
      <c r="E652" s="11" t="n">
        <v>18.0813</v>
      </c>
      <c r="F652" s="12" t="n">
        <f aca="false">IF(C652="","",B652/C652)</f>
        <v>896.329130511574</v>
      </c>
      <c r="G652" s="12" t="n">
        <f aca="false">MEDIAN(F642:F662)</f>
        <v>896.329130511574</v>
      </c>
      <c r="H652" s="13" t="n">
        <f aca="false">B652/G652</f>
        <v>17.5517</v>
      </c>
      <c r="I652" s="14" t="n">
        <f aca="false">B652/Summary!$C$8*100</f>
        <v>157.650489523103</v>
      </c>
      <c r="J652" s="14" t="n">
        <f aca="false">G652/Summary!$E$8*100</f>
        <v>152.336355684871</v>
      </c>
      <c r="K652" s="15" t="n">
        <f aca="false">Summary!$D$9</f>
        <v>16.9374488591431</v>
      </c>
      <c r="L652" s="16" t="str">
        <f aca="false">IF(OR(D652="",E652=""),"edge hidden",IF(AND(H652&gt;=D652-0.02,H652&lt;=E652+0.02),"yes","no"))</f>
        <v>yes</v>
      </c>
    </row>
    <row r="653" customFormat="false" ht="15" hidden="false" customHeight="false" outlineLevel="0" collapsed="false">
      <c r="A653" s="9" t="n">
        <v>44727</v>
      </c>
      <c r="B653" s="10" t="n">
        <v>15692.15</v>
      </c>
      <c r="C653" s="11" t="n">
        <v>17.4888</v>
      </c>
      <c r="D653" s="11" t="n">
        <v>17.0143</v>
      </c>
      <c r="E653" s="11" t="n">
        <v>17.9632</v>
      </c>
      <c r="F653" s="12" t="n">
        <f aca="false">IF(C653="","",B653/C653)</f>
        <v>897.268537578336</v>
      </c>
      <c r="G653" s="12" t="n">
        <f aca="false">MEDIAN(F643:F663)</f>
        <v>897.268537578336</v>
      </c>
      <c r="H653" s="13" t="n">
        <f aca="false">B653/G653</f>
        <v>17.4888</v>
      </c>
      <c r="I653" s="14" t="n">
        <f aca="false">B653/Summary!$C$8*100</f>
        <v>157.250152819393</v>
      </c>
      <c r="J653" s="14" t="n">
        <f aca="false">G653/Summary!$E$8*100</f>
        <v>152.496013386695</v>
      </c>
      <c r="K653" s="15" t="n">
        <f aca="false">Summary!$D$9</f>
        <v>16.9374488591431</v>
      </c>
      <c r="L653" s="16" t="str">
        <f aca="false">IF(OR(D653="",E653=""),"edge hidden",IF(AND(H653&gt;=D653-0.02,H653&lt;=E653+0.02),"yes","no"))</f>
        <v>yes</v>
      </c>
    </row>
    <row r="654" customFormat="false" ht="15" hidden="false" customHeight="false" outlineLevel="0" collapsed="false">
      <c r="A654" s="9" t="n">
        <v>44728</v>
      </c>
      <c r="B654" s="10" t="n">
        <v>15360.6</v>
      </c>
      <c r="C654" s="11" t="n">
        <v>17.2683</v>
      </c>
      <c r="D654" s="11" t="n">
        <v>17.0065</v>
      </c>
      <c r="E654" s="11" t="n">
        <v>17.5301</v>
      </c>
      <c r="F654" s="12" t="n">
        <f aca="false">IF(C654="","",B654/C654)</f>
        <v>889.525894268689</v>
      </c>
      <c r="G654" s="12" t="n">
        <f aca="false">MEDIAN(F644:F664)</f>
        <v>897.328107490059</v>
      </c>
      <c r="H654" s="13" t="n">
        <f aca="false">B654/G654</f>
        <v>17.1181531836393</v>
      </c>
      <c r="I654" s="14" t="n">
        <f aca="false">B654/Summary!$C$8*100</f>
        <v>153.927708911625</v>
      </c>
      <c r="J654" s="14" t="n">
        <f aca="false">G654/Summary!$E$8*100</f>
        <v>152.506137640109</v>
      </c>
      <c r="K654" s="15" t="n">
        <f aca="false">Summary!$D$9</f>
        <v>16.9374488591431</v>
      </c>
      <c r="L654" s="16" t="str">
        <f aca="false">IF(OR(D654="",E654=""),"edge hidden",IF(AND(H654&gt;=D654-0.02,H654&lt;=E654+0.02),"yes","no"))</f>
        <v>yes</v>
      </c>
    </row>
    <row r="655" customFormat="false" ht="15" hidden="false" customHeight="false" outlineLevel="0" collapsed="false">
      <c r="A655" s="9" t="n">
        <v>44729</v>
      </c>
      <c r="B655" s="10" t="n">
        <v>15293.5</v>
      </c>
      <c r="C655" s="11" t="n">
        <v>17.221</v>
      </c>
      <c r="D655" s="11" t="n">
        <v>16.9986</v>
      </c>
      <c r="E655" s="11" t="n">
        <v>17.4435</v>
      </c>
      <c r="F655" s="12" t="n">
        <f aca="false">IF(C655="","",B655/C655)</f>
        <v>888.072701933686</v>
      </c>
      <c r="G655" s="12" t="n">
        <f aca="false">MEDIAN(F645:F665)</f>
        <v>897.917987568619</v>
      </c>
      <c r="H655" s="13" t="n">
        <f aca="false">B655/G655</f>
        <v>17.0321791207365</v>
      </c>
      <c r="I655" s="14" t="n">
        <f aca="false">B655/Summary!$C$8*100</f>
        <v>153.255303584492</v>
      </c>
      <c r="J655" s="14" t="n">
        <f aca="false">G655/Summary!$E$8*100</f>
        <v>152.606391194747</v>
      </c>
      <c r="K655" s="15" t="n">
        <f aca="false">Summary!$D$9</f>
        <v>16.9374488591431</v>
      </c>
      <c r="L655" s="16" t="str">
        <f aca="false">IF(OR(D655="",E655=""),"edge hidden",IF(AND(H655&gt;=D655-0.02,H655&lt;=E655+0.02),"yes","no"))</f>
        <v>yes</v>
      </c>
    </row>
    <row r="656" customFormat="false" ht="15" hidden="false" customHeight="false" outlineLevel="0" collapsed="false">
      <c r="A656" s="9" t="n">
        <v>44732</v>
      </c>
      <c r="B656" s="10" t="n">
        <v>15350.15</v>
      </c>
      <c r="C656" s="11" t="n">
        <v>17.1974</v>
      </c>
      <c r="D656" s="11" t="n">
        <v>17.0065</v>
      </c>
      <c r="E656" s="11" t="n">
        <v>17.3884</v>
      </c>
      <c r="F656" s="12" t="n">
        <f aca="false">IF(C656="","",B656/C656)</f>
        <v>892.58550711154</v>
      </c>
      <c r="G656" s="12" t="n">
        <f aca="false">MEDIAN(F646:F666)</f>
        <v>898.179291568589</v>
      </c>
      <c r="H656" s="13" t="n">
        <f aca="false">B656/G656</f>
        <v>17.0902960512398</v>
      </c>
      <c r="I656" s="14" t="n">
        <f aca="false">B656/Summary!$C$8*100</f>
        <v>153.822990049203</v>
      </c>
      <c r="J656" s="14" t="n">
        <f aca="false">G656/Summary!$E$8*100</f>
        <v>152.650801331299</v>
      </c>
      <c r="K656" s="15" t="n">
        <f aca="false">Summary!$D$9</f>
        <v>16.9374488591431</v>
      </c>
      <c r="L656" s="16" t="str">
        <f aca="false">IF(OR(D656="",E656=""),"edge hidden",IF(AND(H656&gt;=D656-0.02,H656&lt;=E656+0.02),"yes","no"))</f>
        <v>yes</v>
      </c>
    </row>
    <row r="657" customFormat="false" ht="15" hidden="false" customHeight="false" outlineLevel="0" collapsed="false">
      <c r="A657" s="9" t="n">
        <v>44733</v>
      </c>
      <c r="B657" s="10" t="n">
        <v>15638.8</v>
      </c>
      <c r="C657" s="11" t="n">
        <v>17.2171</v>
      </c>
      <c r="D657" s="11" t="n">
        <v>17.0222</v>
      </c>
      <c r="E657" s="11" t="n">
        <v>17.412</v>
      </c>
      <c r="F657" s="12" t="n">
        <f aca="false">IF(C657="","",B657/C657)</f>
        <v>908.329509615441</v>
      </c>
      <c r="G657" s="12" t="n">
        <f aca="false">MEDIAN(F647:F667)</f>
        <v>898.179291568589</v>
      </c>
      <c r="H657" s="13" t="n">
        <f aca="false">B657/G657</f>
        <v>17.4116684127601</v>
      </c>
      <c r="I657" s="14" t="n">
        <f aca="false">B657/Summary!$C$8*100</f>
        <v>156.71553546913</v>
      </c>
      <c r="J657" s="14" t="n">
        <f aca="false">G657/Summary!$E$8*100</f>
        <v>152.650801331299</v>
      </c>
      <c r="K657" s="15" t="n">
        <f aca="false">Summary!$D$9</f>
        <v>16.9374488591431</v>
      </c>
      <c r="L657" s="16" t="str">
        <f aca="false">IF(OR(D657="",E657=""),"edge hidden",IF(AND(H657&gt;=D657-0.02,H657&lt;=E657+0.02),"yes","no"))</f>
        <v>yes</v>
      </c>
    </row>
    <row r="658" customFormat="false" ht="15" hidden="false" customHeight="false" outlineLevel="0" collapsed="false">
      <c r="A658" s="9" t="n">
        <v>44734</v>
      </c>
      <c r="B658" s="10" t="n">
        <v>15413.3</v>
      </c>
      <c r="C658" s="11" t="n">
        <v>17.2447</v>
      </c>
      <c r="D658" s="11" t="n">
        <v>17.0695</v>
      </c>
      <c r="E658" s="11" t="n">
        <v>17.4199</v>
      </c>
      <c r="F658" s="12" t="n">
        <f aca="false">IF(C658="","",B658/C658)</f>
        <v>893.799254263629</v>
      </c>
      <c r="G658" s="12" t="n">
        <f aca="false">MEDIAN(F648:F668)</f>
        <v>899.852498843128</v>
      </c>
      <c r="H658" s="13" t="n">
        <f aca="false">B658/G658</f>
        <v>17.1286961138806</v>
      </c>
      <c r="I658" s="14" t="n">
        <f aca="false">B658/Summary!$C$8*100</f>
        <v>154.455812648435</v>
      </c>
      <c r="J658" s="14" t="n">
        <f aca="false">G658/Summary!$E$8*100</f>
        <v>152.935172651868</v>
      </c>
      <c r="K658" s="15" t="n">
        <f aca="false">Summary!$D$9</f>
        <v>16.9374488591431</v>
      </c>
      <c r="L658" s="16" t="str">
        <f aca="false">IF(OR(D658="",E658=""),"edge hidden",IF(AND(H658&gt;=D658-0.02,H658&lt;=E658+0.02),"yes","no"))</f>
        <v>yes</v>
      </c>
    </row>
    <row r="659" customFormat="false" ht="15" hidden="false" customHeight="false" outlineLevel="0" collapsed="false">
      <c r="A659" s="9" t="n">
        <v>44735</v>
      </c>
      <c r="B659" s="10" t="n">
        <v>15556.65</v>
      </c>
      <c r="C659" s="11" t="n">
        <v>17.288</v>
      </c>
      <c r="D659" s="11" t="n">
        <v>17.101</v>
      </c>
      <c r="E659" s="11" t="n">
        <v>17.475</v>
      </c>
      <c r="F659" s="12" t="n">
        <f aca="false">IF(C659="","",B659/C659)</f>
        <v>899.852498843128</v>
      </c>
      <c r="G659" s="12" t="n">
        <f aca="false">MEDIAN(F649:F669)</f>
        <v>900.069997666745</v>
      </c>
      <c r="H659" s="13" t="n">
        <f aca="false">B659/G659</f>
        <v>17.2838224141762</v>
      </c>
      <c r="I659" s="14" t="n">
        <f aca="false">B659/Summary!$C$8*100</f>
        <v>155.892314938221</v>
      </c>
      <c r="J659" s="14" t="n">
        <f aca="false">G659/Summary!$E$8*100</f>
        <v>152.972137843591</v>
      </c>
      <c r="K659" s="15" t="n">
        <f aca="false">Summary!$D$9</f>
        <v>16.9374488591431</v>
      </c>
      <c r="L659" s="16" t="str">
        <f aca="false">IF(OR(D659="",E659=""),"edge hidden",IF(AND(H659&gt;=D659-0.02,H659&lt;=E659+0.02),"yes","no"))</f>
        <v>yes</v>
      </c>
    </row>
    <row r="660" customFormat="false" ht="15" hidden="false" customHeight="false" outlineLevel="0" collapsed="false">
      <c r="A660" s="9" t="n">
        <v>44736</v>
      </c>
      <c r="B660" s="10" t="n">
        <v>15699.25</v>
      </c>
      <c r="C660" s="11" t="n">
        <v>17.3352</v>
      </c>
      <c r="D660" s="11" t="n">
        <v>17.1482</v>
      </c>
      <c r="E660" s="11" t="n">
        <v>17.5222</v>
      </c>
      <c r="F660" s="12" t="n">
        <f aca="false">IF(C660="","",B660/C660)</f>
        <v>905.628432322673</v>
      </c>
      <c r="G660" s="12" t="n">
        <f aca="false">MEDIAN(F650:F670)</f>
        <v>900.069997666745</v>
      </c>
      <c r="H660" s="13" t="n">
        <f aca="false">B660/G660</f>
        <v>17.442254536533</v>
      </c>
      <c r="I660" s="14" t="n">
        <f aca="false">B660/Summary!$C$8*100</f>
        <v>157.321301520177</v>
      </c>
      <c r="J660" s="14" t="n">
        <f aca="false">G660/Summary!$E$8*100</f>
        <v>152.972137843591</v>
      </c>
      <c r="K660" s="15" t="n">
        <f aca="false">Summary!$D$9</f>
        <v>16.9374488591431</v>
      </c>
      <c r="L660" s="16" t="str">
        <f aca="false">IF(OR(D660="",E660=""),"edge hidden",IF(AND(H660&gt;=D660-0.02,H660&lt;=E660+0.02),"yes","no"))</f>
        <v>yes</v>
      </c>
    </row>
    <row r="661" customFormat="false" ht="15" hidden="false" customHeight="false" outlineLevel="0" collapsed="false">
      <c r="A661" s="9" t="n">
        <v>44739</v>
      </c>
      <c r="B661" s="10" t="n">
        <v>15832.05</v>
      </c>
      <c r="C661" s="11" t="n">
        <v>17.4691</v>
      </c>
      <c r="D661" s="11" t="n">
        <v>17.4002</v>
      </c>
      <c r="E661" s="11" t="n">
        <v>17.538</v>
      </c>
      <c r="F661" s="12" t="n">
        <f aca="false">IF(C661="","",B661/C661)</f>
        <v>906.288818542455</v>
      </c>
      <c r="G661" s="12" t="n">
        <f aca="false">MEDIAN(F651:F671)</f>
        <v>901.707570152486</v>
      </c>
      <c r="H661" s="13" t="n">
        <f aca="false">B661/G661</f>
        <v>17.5578541470187</v>
      </c>
      <c r="I661" s="14" t="n">
        <f aca="false">B661/Summary!$C$8*100</f>
        <v>158.652082853163</v>
      </c>
      <c r="J661" s="14" t="n">
        <f aca="false">G661/Summary!$E$8*100</f>
        <v>153.250452824278</v>
      </c>
      <c r="K661" s="15" t="n">
        <f aca="false">Summary!$D$9</f>
        <v>16.9374488591431</v>
      </c>
      <c r="L661" s="16" t="str">
        <f aca="false">IF(OR(D661="",E661=""),"edge hidden",IF(AND(H661&gt;=D661-0.02,H661&lt;=E661+0.02),"yes","no"))</f>
        <v>yes</v>
      </c>
    </row>
    <row r="662" customFormat="false" ht="15" hidden="false" customHeight="false" outlineLevel="0" collapsed="false">
      <c r="A662" s="9" t="n">
        <v>44740</v>
      </c>
      <c r="B662" s="10" t="n">
        <v>15850.2</v>
      </c>
      <c r="C662" s="11" t="n">
        <v>17.4691</v>
      </c>
      <c r="D662" s="11" t="n">
        <v>17.408</v>
      </c>
      <c r="E662" s="11" t="n">
        <v>17.5301</v>
      </c>
      <c r="F662" s="12" t="n">
        <f aca="false">IF(C662="","",B662/C662)</f>
        <v>907.327795936826</v>
      </c>
      <c r="G662" s="12" t="n">
        <f aca="false">MEDIAN(F652:F672)</f>
        <v>902.318800730926</v>
      </c>
      <c r="H662" s="13" t="n">
        <f aca="false">B662/G662</f>
        <v>17.5660753019448</v>
      </c>
      <c r="I662" s="14" t="n">
        <f aca="false">B662/Summary!$C$8*100</f>
        <v>158.833962982634</v>
      </c>
      <c r="J662" s="14" t="n">
        <f aca="false">G662/Summary!$E$8*100</f>
        <v>153.354335020709</v>
      </c>
      <c r="K662" s="15" t="n">
        <f aca="false">Summary!$D$9</f>
        <v>16.9374488591431</v>
      </c>
      <c r="L662" s="16" t="str">
        <f aca="false">IF(OR(D662="",E662=""),"edge hidden",IF(AND(H662&gt;=D662-0.02,H662&lt;=E662+0.02),"yes","no"))</f>
        <v>no</v>
      </c>
    </row>
    <row r="663" customFormat="false" ht="15" hidden="false" customHeight="false" outlineLevel="0" collapsed="false">
      <c r="A663" s="9" t="n">
        <v>44741</v>
      </c>
      <c r="B663" s="10" t="n">
        <v>15799.1</v>
      </c>
      <c r="C663" s="11" t="n">
        <v>17.4612</v>
      </c>
      <c r="D663" s="11" t="n">
        <v>17.4002</v>
      </c>
      <c r="E663" s="11" t="n">
        <v>17.5222</v>
      </c>
      <c r="F663" s="12" t="n">
        <f aca="false">IF(C663="","",B663/C663)</f>
        <v>904.811811330264</v>
      </c>
      <c r="G663" s="12" t="n">
        <f aca="false">MEDIAN(F653:F673)</f>
        <v>902.318800730926</v>
      </c>
      <c r="H663" s="13" t="n">
        <f aca="false">B663/G663</f>
        <v>17.509443433077</v>
      </c>
      <c r="I663" s="14" t="n">
        <f aca="false">B663/Summary!$C$8*100</f>
        <v>158.32189275586</v>
      </c>
      <c r="J663" s="14" t="n">
        <f aca="false">G663/Summary!$E$8*100</f>
        <v>153.354335020709</v>
      </c>
      <c r="K663" s="15" t="n">
        <f aca="false">Summary!$D$9</f>
        <v>16.9374488591431</v>
      </c>
      <c r="L663" s="16" t="str">
        <f aca="false">IF(OR(D663="",E663=""),"edge hidden",IF(AND(H663&gt;=D663-0.02,H663&lt;=E663+0.02),"yes","no"))</f>
        <v>yes</v>
      </c>
    </row>
    <row r="664" customFormat="false" ht="15" hidden="false" customHeight="false" outlineLevel="0" collapsed="false">
      <c r="A664" s="9" t="n">
        <v>44742</v>
      </c>
      <c r="B664" s="10" t="n">
        <v>15780.25</v>
      </c>
      <c r="C664" s="11" t="n">
        <v>17.4612</v>
      </c>
      <c r="D664" s="11" t="n">
        <v>17.4002</v>
      </c>
      <c r="E664" s="11" t="n">
        <v>17.5222</v>
      </c>
      <c r="F664" s="12" t="n">
        <f aca="false">IF(C664="","",B664/C664)</f>
        <v>903.732274986828</v>
      </c>
      <c r="G664" s="12" t="n">
        <f aca="false">MEDIAN(F654:F674)</f>
        <v>902.318800730926</v>
      </c>
      <c r="H664" s="13" t="n">
        <f aca="false">B664/G664</f>
        <v>17.4885528121737</v>
      </c>
      <c r="I664" s="14" t="n">
        <f aca="false">B664/Summary!$C$8*100</f>
        <v>158.132997965748</v>
      </c>
      <c r="J664" s="14" t="n">
        <f aca="false">G664/Summary!$E$8*100</f>
        <v>153.354335020709</v>
      </c>
      <c r="K664" s="15" t="n">
        <f aca="false">Summary!$D$9</f>
        <v>16.9374488591431</v>
      </c>
      <c r="L664" s="16" t="str">
        <f aca="false">IF(OR(D664="",E664=""),"edge hidden",IF(AND(H664&gt;=D664-0.02,H664&lt;=E664+0.02),"yes","no"))</f>
        <v>yes</v>
      </c>
    </row>
    <row r="665" customFormat="false" ht="15" hidden="false" customHeight="false" outlineLevel="0" collapsed="false">
      <c r="A665" s="9" t="n">
        <v>44743</v>
      </c>
      <c r="B665" s="10" t="n">
        <v>15752.05</v>
      </c>
      <c r="C665" s="11" t="n">
        <v>17.4573</v>
      </c>
      <c r="D665" s="11" t="n">
        <v>17.3923</v>
      </c>
      <c r="E665" s="11" t="n">
        <v>17.5222</v>
      </c>
      <c r="F665" s="12" t="n">
        <f aca="false">IF(C665="","",B665/C665)</f>
        <v>902.318800730926</v>
      </c>
      <c r="G665" s="12" t="n">
        <f aca="false">MEDIAN(F655:F675)</f>
        <v>902.847627726961</v>
      </c>
      <c r="H665" s="13" t="n">
        <f aca="false">B665/G665</f>
        <v>17.447074695935</v>
      </c>
      <c r="I665" s="14" t="n">
        <f aca="false">B665/Summary!$C$8*100</f>
        <v>157.850407351364</v>
      </c>
      <c r="J665" s="14" t="n">
        <f aca="false">G665/Summary!$E$8*100</f>
        <v>153.444212248416</v>
      </c>
      <c r="K665" s="15" t="n">
        <f aca="false">Summary!$D$9</f>
        <v>16.9374488591431</v>
      </c>
      <c r="L665" s="16" t="str">
        <f aca="false">IF(OR(D665="",E665=""),"edge hidden",IF(AND(H665&gt;=D665-0.02,H665&lt;=E665+0.02),"yes","no"))</f>
        <v>yes</v>
      </c>
    </row>
    <row r="666" customFormat="false" ht="15" hidden="false" customHeight="false" outlineLevel="0" collapsed="false">
      <c r="A666" s="9" t="n">
        <v>44746</v>
      </c>
      <c r="B666" s="10" t="n">
        <v>15835.35</v>
      </c>
      <c r="C666" s="11" t="n">
        <v>17.6305</v>
      </c>
      <c r="D666" s="11" t="n">
        <v>17.408</v>
      </c>
      <c r="E666" s="11" t="n">
        <v>17.8529</v>
      </c>
      <c r="F666" s="12" t="n">
        <f aca="false">IF(C666="","",B666/C666)</f>
        <v>898.179291568589</v>
      </c>
      <c r="G666" s="12" t="n">
        <f aca="false">MEDIAN(F656:F676)</f>
        <v>903.161399542185</v>
      </c>
      <c r="H666" s="13" t="n">
        <f aca="false">B666/G666</f>
        <v>17.5332448973428</v>
      </c>
      <c r="I666" s="14" t="n">
        <f aca="false">B666/Summary!$C$8*100</f>
        <v>158.685151967612</v>
      </c>
      <c r="J666" s="14" t="n">
        <f aca="false">G666/Summary!$E$8*100</f>
        <v>153.497539595727</v>
      </c>
      <c r="K666" s="15" t="n">
        <f aca="false">Summary!$D$9</f>
        <v>16.9374488591431</v>
      </c>
      <c r="L666" s="16" t="str">
        <f aca="false">IF(OR(D666="",E666=""),"edge hidden",IF(AND(H666&gt;=D666-0.02,H666&lt;=E666+0.02),"yes","no"))</f>
        <v>yes</v>
      </c>
    </row>
    <row r="667" customFormat="false" ht="15" hidden="false" customHeight="false" outlineLevel="0" collapsed="false">
      <c r="A667" s="9" t="n">
        <v>44747</v>
      </c>
      <c r="B667" s="10" t="n">
        <v>15810.85</v>
      </c>
      <c r="C667" s="11" t="n">
        <v>17.7132</v>
      </c>
      <c r="D667" s="11" t="n">
        <v>17.4395</v>
      </c>
      <c r="E667" s="11" t="n">
        <v>17.9868</v>
      </c>
      <c r="F667" s="12" t="n">
        <f aca="false">IF(C667="","",B667/C667)</f>
        <v>892.602691777883</v>
      </c>
      <c r="G667" s="12" t="n">
        <f aca="false">MEDIAN(F657:F677)</f>
        <v>903.732274986828</v>
      </c>
      <c r="H667" s="13" t="n">
        <f aca="false">B667/G667</f>
        <v>17.495059585241</v>
      </c>
      <c r="I667" s="14" t="n">
        <f aca="false">B667/Summary!$C$8*100</f>
        <v>158.439638845186</v>
      </c>
      <c r="J667" s="14" t="n">
        <f aca="false">G667/Summary!$E$8*100</f>
        <v>153.594563202153</v>
      </c>
      <c r="K667" s="15" t="n">
        <f aca="false">Summary!$D$9</f>
        <v>16.9374488591431</v>
      </c>
      <c r="L667" s="16" t="str">
        <f aca="false">IF(OR(D667="",E667=""),"edge hidden",IF(AND(H667&gt;=D667-0.02,H667&lt;=E667+0.02),"yes","no"))</f>
        <v>yes</v>
      </c>
    </row>
    <row r="668" customFormat="false" ht="15" hidden="false" customHeight="false" outlineLevel="0" collapsed="false">
      <c r="A668" s="9" t="n">
        <v>44748</v>
      </c>
      <c r="B668" s="10" t="n">
        <v>15989.8</v>
      </c>
      <c r="C668" s="11" t="n">
        <v>17.7328</v>
      </c>
      <c r="D668" s="11" t="n">
        <v>17.471</v>
      </c>
      <c r="E668" s="11" t="n">
        <v>17.9947</v>
      </c>
      <c r="F668" s="12" t="n">
        <f aca="false">IF(C668="","",B668/C668)</f>
        <v>901.707570152486</v>
      </c>
      <c r="G668" s="12" t="n">
        <f aca="false">MEDIAN(F658:F678)</f>
        <v>903.732274986828</v>
      </c>
      <c r="H668" s="13" t="n">
        <f aca="false">B668/G668</f>
        <v>17.6930717675575</v>
      </c>
      <c r="I668" s="14" t="n">
        <f aca="false">B668/Summary!$C$8*100</f>
        <v>160.232886733273</v>
      </c>
      <c r="J668" s="14" t="n">
        <f aca="false">G668/Summary!$E$8*100</f>
        <v>153.594563202153</v>
      </c>
      <c r="K668" s="15" t="n">
        <f aca="false">Summary!$D$9</f>
        <v>16.9374488591431</v>
      </c>
      <c r="L668" s="16" t="str">
        <f aca="false">IF(OR(D668="",E668=""),"edge hidden",IF(AND(H668&gt;=D668-0.02,H668&lt;=E668+0.02),"yes","no"))</f>
        <v>yes</v>
      </c>
    </row>
    <row r="669" customFormat="false" ht="15" hidden="false" customHeight="false" outlineLevel="0" collapsed="false">
      <c r="A669" s="9" t="n">
        <v>44749</v>
      </c>
      <c r="B669" s="10" t="n">
        <v>16132.9</v>
      </c>
      <c r="C669" s="11" t="n">
        <v>17.7368</v>
      </c>
      <c r="D669" s="11" t="n">
        <v>17.4789</v>
      </c>
      <c r="E669" s="11" t="n">
        <v>17.9947</v>
      </c>
      <c r="F669" s="12" t="n">
        <f aca="false">IF(C669="","",B669/C669)</f>
        <v>909.572188895404</v>
      </c>
      <c r="G669" s="12" t="n">
        <f aca="false">MEDIAN(F659:F679)</f>
        <v>904.811811330264</v>
      </c>
      <c r="H669" s="13" t="n">
        <f aca="false">B669/G669</f>
        <v>17.8301164927116</v>
      </c>
      <c r="I669" s="14" t="n">
        <f aca="false">B669/Summary!$C$8*100</f>
        <v>161.666883787115</v>
      </c>
      <c r="J669" s="14" t="n">
        <f aca="false">G669/Summary!$E$8*100</f>
        <v>153.778036690619</v>
      </c>
      <c r="K669" s="15" t="n">
        <f aca="false">Summary!$D$9</f>
        <v>16.9374488591431</v>
      </c>
      <c r="L669" s="16" t="str">
        <f aca="false">IF(OR(D669="",E669=""),"edge hidden",IF(AND(H669&gt;=D669-0.02,H669&lt;=E669+0.02),"yes","no"))</f>
        <v>yes</v>
      </c>
    </row>
    <row r="670" customFormat="false" ht="15" hidden="false" customHeight="false" outlineLevel="0" collapsed="false">
      <c r="A670" s="9" t="n">
        <v>44750</v>
      </c>
      <c r="B670" s="10" t="n">
        <v>16220.6</v>
      </c>
      <c r="C670" s="11" t="n">
        <v>17.7998</v>
      </c>
      <c r="D670" s="11" t="n">
        <v>17.6049</v>
      </c>
      <c r="E670" s="11" t="n">
        <v>17.9947</v>
      </c>
      <c r="F670" s="12" t="n">
        <f aca="false">IF(C670="","",B670/C670)</f>
        <v>911.279902021371</v>
      </c>
      <c r="G670" s="12" t="n">
        <f aca="false">MEDIAN(F660:F680)</f>
        <v>905.321758087749</v>
      </c>
      <c r="H670" s="13" t="n">
        <f aca="false">B670/G670</f>
        <v>17.9169448376693</v>
      </c>
      <c r="I670" s="14" t="n">
        <f aca="false">B670/Summary!$C$8*100</f>
        <v>162.545720555962</v>
      </c>
      <c r="J670" s="14" t="n">
        <f aca="false">G670/Summary!$E$8*100</f>
        <v>153.864705111832</v>
      </c>
      <c r="K670" s="15" t="n">
        <f aca="false">Summary!$D$9</f>
        <v>16.9374488591431</v>
      </c>
      <c r="L670" s="16" t="str">
        <f aca="false">IF(OR(D670="",E670=""),"edge hidden",IF(AND(H670&gt;=D670-0.02,H670&lt;=E670+0.02),"yes","no"))</f>
        <v>yes</v>
      </c>
    </row>
    <row r="671" customFormat="false" ht="15" hidden="false" customHeight="false" outlineLevel="0" collapsed="false">
      <c r="A671" s="9" t="n">
        <v>44753</v>
      </c>
      <c r="B671" s="10" t="n">
        <v>16216</v>
      </c>
      <c r="C671" s="11" t="n">
        <v>17.784</v>
      </c>
      <c r="D671" s="11" t="n">
        <v>17.6128</v>
      </c>
      <c r="E671" s="11" t="n">
        <v>17.9553</v>
      </c>
      <c r="F671" s="12" t="n">
        <f aca="false">IF(C671="","",B671/C671)</f>
        <v>911.83085919928</v>
      </c>
      <c r="G671" s="12" t="n">
        <f aca="false">MEDIAN(F661:F681)</f>
        <v>904.811811330264</v>
      </c>
      <c r="H671" s="13" t="n">
        <f aca="false">B671/G671</f>
        <v>17.9219587951212</v>
      </c>
      <c r="I671" s="14" t="n">
        <f aca="false">B671/Summary!$C$8*100</f>
        <v>162.499624214609</v>
      </c>
      <c r="J671" s="14" t="n">
        <f aca="false">G671/Summary!$E$8*100</f>
        <v>153.778036690619</v>
      </c>
      <c r="K671" s="15" t="n">
        <f aca="false">Summary!$D$9</f>
        <v>16.9374488591431</v>
      </c>
      <c r="L671" s="16" t="str">
        <f aca="false">IF(OR(D671="",E671=""),"edge hidden",IF(AND(H671&gt;=D671-0.02,H671&lt;=E671+0.02),"yes","no"))</f>
        <v>yes</v>
      </c>
    </row>
    <row r="672" customFormat="false" ht="15" hidden="false" customHeight="false" outlineLevel="0" collapsed="false">
      <c r="A672" s="9" t="n">
        <v>44754</v>
      </c>
      <c r="B672" s="10" t="n">
        <v>16058.3</v>
      </c>
      <c r="C672" s="11" t="n">
        <v>17.7801</v>
      </c>
      <c r="D672" s="11" t="n">
        <v>17.6128</v>
      </c>
      <c r="E672" s="11" t="n">
        <v>17.9474</v>
      </c>
      <c r="F672" s="12" t="n">
        <f aca="false">IF(C672="","",B672/C672)</f>
        <v>903.161399542185</v>
      </c>
      <c r="G672" s="12" t="n">
        <f aca="false">MEDIAN(F662:F682)</f>
        <v>903.732274986828</v>
      </c>
      <c r="H672" s="13" t="n">
        <f aca="false">B672/G672</f>
        <v>17.7688685515122</v>
      </c>
      <c r="I672" s="14" t="n">
        <f aca="false">B672/Summary!$C$8*100</f>
        <v>160.919321381688</v>
      </c>
      <c r="J672" s="14" t="n">
        <f aca="false">G672/Summary!$E$8*100</f>
        <v>153.594563202153</v>
      </c>
      <c r="K672" s="15" t="n">
        <f aca="false">Summary!$D$9</f>
        <v>16.9374488591431</v>
      </c>
      <c r="L672" s="16" t="str">
        <f aca="false">IF(OR(D672="",E672=""),"edge hidden",IF(AND(H672&gt;=D672-0.02,H672&lt;=E672+0.02),"yes","no"))</f>
        <v>yes</v>
      </c>
    </row>
    <row r="673" customFormat="false" ht="15" hidden="false" customHeight="false" outlineLevel="0" collapsed="false">
      <c r="A673" s="9" t="n">
        <v>44755</v>
      </c>
      <c r="B673" s="10" t="n">
        <v>15966.65</v>
      </c>
      <c r="C673" s="11" t="n">
        <v>17.7683</v>
      </c>
      <c r="D673" s="11" t="n">
        <v>17.6128</v>
      </c>
      <c r="E673" s="11" t="n">
        <v>17.9238</v>
      </c>
      <c r="F673" s="12" t="n">
        <f aca="false">IF(C673="","",B673/C673)</f>
        <v>898.603130293838</v>
      </c>
      <c r="G673" s="12" t="n">
        <f aca="false">MEDIAN(F663:F683)</f>
        <v>903.161399542185</v>
      </c>
      <c r="H673" s="13" t="n">
        <f aca="false">B673/G673</f>
        <v>17.6786231210651</v>
      </c>
      <c r="I673" s="14" t="n">
        <f aca="false">B673/Summary!$C$8*100</f>
        <v>160.00090188494</v>
      </c>
      <c r="J673" s="14" t="n">
        <f aca="false">G673/Summary!$E$8*100</f>
        <v>153.497539595727</v>
      </c>
      <c r="K673" s="15" t="n">
        <f aca="false">Summary!$D$9</f>
        <v>16.9374488591431</v>
      </c>
      <c r="L673" s="16" t="str">
        <f aca="false">IF(OR(D673="",E673=""),"edge hidden",IF(AND(H673&gt;=D673-0.02,H673&lt;=E673+0.02),"yes","no"))</f>
        <v>yes</v>
      </c>
    </row>
    <row r="674" customFormat="false" ht="15" hidden="false" customHeight="false" outlineLevel="0" collapsed="false">
      <c r="A674" s="9" t="n">
        <v>44756</v>
      </c>
      <c r="B674" s="10" t="n">
        <v>15938.65</v>
      </c>
      <c r="C674" s="11" t="n">
        <v>17.7643</v>
      </c>
      <c r="D674" s="11" t="n">
        <v>17.6049</v>
      </c>
      <c r="E674" s="11" t="n">
        <v>17.9238</v>
      </c>
      <c r="F674" s="12" t="n">
        <f aca="false">IF(C674="","",B674/C674)</f>
        <v>897.229274443688</v>
      </c>
      <c r="G674" s="12" t="n">
        <f aca="false">MEDIAN(F664:F684)</f>
        <v>903.161399542185</v>
      </c>
      <c r="H674" s="13" t="n">
        <f aca="false">B674/G674</f>
        <v>17.6476209103703</v>
      </c>
      <c r="I674" s="14" t="n">
        <f aca="false">B674/Summary!$C$8*100</f>
        <v>159.72031545931</v>
      </c>
      <c r="J674" s="14" t="n">
        <f aca="false">G674/Summary!$E$8*100</f>
        <v>153.497539595727</v>
      </c>
      <c r="K674" s="15" t="n">
        <f aca="false">Summary!$D$9</f>
        <v>16.9374488591431</v>
      </c>
      <c r="L674" s="16" t="str">
        <f aca="false">IF(OR(D674="",E674=""),"edge hidden",IF(AND(H674&gt;=D674-0.02,H674&lt;=E674+0.02),"yes","no"))</f>
        <v>yes</v>
      </c>
    </row>
    <row r="675" customFormat="false" ht="15" hidden="false" customHeight="false" outlineLevel="0" collapsed="false">
      <c r="A675" s="9" t="n">
        <v>44757</v>
      </c>
      <c r="B675" s="10" t="n">
        <v>16049.2</v>
      </c>
      <c r="C675" s="11" t="n">
        <v>17.7762</v>
      </c>
      <c r="D675" s="11" t="n">
        <v>17.6128</v>
      </c>
      <c r="E675" s="11" t="n">
        <v>17.9395</v>
      </c>
      <c r="F675" s="12" t="n">
        <f aca="false">IF(C675="","",B675/C675)</f>
        <v>902.847627726961</v>
      </c>
      <c r="G675" s="12" t="n">
        <f aca="false">MEDIAN(F665:F685)</f>
        <v>903.161399542185</v>
      </c>
      <c r="H675" s="13" t="n">
        <f aca="false">B675/G675</f>
        <v>17.7700242815242</v>
      </c>
      <c r="I675" s="14" t="n">
        <f aca="false">B675/Summary!$C$8*100</f>
        <v>160.828130793358</v>
      </c>
      <c r="J675" s="14" t="n">
        <f aca="false">G675/Summary!$E$8*100</f>
        <v>153.497539595727</v>
      </c>
      <c r="K675" s="15" t="n">
        <f aca="false">Summary!$D$9</f>
        <v>16.9374488591431</v>
      </c>
      <c r="L675" s="16" t="str">
        <f aca="false">IF(OR(D675="",E675=""),"edge hidden",IF(AND(H675&gt;=D675-0.02,H675&lt;=E675+0.02),"yes","no"))</f>
        <v>yes</v>
      </c>
    </row>
    <row r="676" customFormat="false" ht="15" hidden="false" customHeight="false" outlineLevel="0" collapsed="false">
      <c r="A676" s="9" t="n">
        <v>44760</v>
      </c>
      <c r="B676" s="10" t="n">
        <v>16278.5</v>
      </c>
      <c r="C676" s="11" t="n">
        <v>17.9809</v>
      </c>
      <c r="D676" s="11" t="n">
        <v>17.6679</v>
      </c>
      <c r="E676" s="11" t="n">
        <v>18.2939</v>
      </c>
      <c r="F676" s="12" t="n">
        <f aca="false">IF(C676="","",B676/C676)</f>
        <v>905.321758087749</v>
      </c>
      <c r="G676" s="12" t="n">
        <f aca="false">MEDIAN(F666:F686)</f>
        <v>905.321758087749</v>
      </c>
      <c r="H676" s="13" t="n">
        <f aca="false">B676/G676</f>
        <v>17.9809</v>
      </c>
      <c r="I676" s="14" t="n">
        <f aca="false">B676/Summary!$C$8*100</f>
        <v>163.125933200389</v>
      </c>
      <c r="J676" s="14" t="n">
        <f aca="false">G676/Summary!$E$8*100</f>
        <v>153.864705111832</v>
      </c>
      <c r="K676" s="15" t="n">
        <f aca="false">Summary!$D$9</f>
        <v>16.9374488591431</v>
      </c>
      <c r="L676" s="16" t="str">
        <f aca="false">IF(OR(D676="",E676=""),"edge hidden",IF(AND(H676&gt;=D676-0.02,H676&lt;=E676+0.02),"yes","no"))</f>
        <v>yes</v>
      </c>
    </row>
    <row r="677" customFormat="false" ht="15" hidden="false" customHeight="false" outlineLevel="0" collapsed="false">
      <c r="A677" s="9" t="n">
        <v>44761</v>
      </c>
      <c r="B677" s="10" t="n">
        <v>16340.55</v>
      </c>
      <c r="C677" s="11" t="n">
        <v>18.036</v>
      </c>
      <c r="D677" s="11" t="n">
        <v>17.6915</v>
      </c>
      <c r="E677" s="11" t="n">
        <v>18.3805</v>
      </c>
      <c r="F677" s="12" t="n">
        <f aca="false">IF(C677="","",B677/C677)</f>
        <v>905.996340652029</v>
      </c>
      <c r="G677" s="12" t="n">
        <f aca="false">MEDIAN(F667:F687)</f>
        <v>905.996340652029</v>
      </c>
      <c r="H677" s="13" t="n">
        <f aca="false">B677/G677</f>
        <v>18.036</v>
      </c>
      <c r="I677" s="14" t="n">
        <f aca="false">B677/Summary!$C$8*100</f>
        <v>163.747732761471</v>
      </c>
      <c r="J677" s="14" t="n">
        <f aca="false">G677/Summary!$E$8*100</f>
        <v>153.9793543472</v>
      </c>
      <c r="K677" s="15" t="n">
        <f aca="false">Summary!$D$9</f>
        <v>16.9374488591431</v>
      </c>
      <c r="L677" s="16" t="str">
        <f aca="false">IF(OR(D677="",E677=""),"edge hidden",IF(AND(H677&gt;=D677-0.02,H677&lt;=E677+0.02),"yes","no"))</f>
        <v>yes</v>
      </c>
    </row>
    <row r="678" customFormat="false" ht="15" hidden="false" customHeight="false" outlineLevel="0" collapsed="false">
      <c r="A678" s="9" t="n">
        <v>44762</v>
      </c>
      <c r="B678" s="10" t="n">
        <v>16520.85</v>
      </c>
      <c r="C678" s="11" t="n">
        <v>18.0951</v>
      </c>
      <c r="D678" s="11" t="n">
        <v>17.8017</v>
      </c>
      <c r="E678" s="11" t="n">
        <v>18.3884</v>
      </c>
      <c r="F678" s="12" t="n">
        <f aca="false">IF(C678="","",B678/C678)</f>
        <v>913.001309746838</v>
      </c>
      <c r="G678" s="12" t="n">
        <f aca="false">MEDIAN(F668:F688)</f>
        <v>909.572188895404</v>
      </c>
      <c r="H678" s="13" t="n">
        <f aca="false">B678/G678</f>
        <v>18.1633191974165</v>
      </c>
      <c r="I678" s="14" t="n">
        <f aca="false">B678/Summary!$C$8*100</f>
        <v>165.55450892365</v>
      </c>
      <c r="J678" s="14" t="n">
        <f aca="false">G678/Summary!$E$8*100</f>
        <v>154.587090580838</v>
      </c>
      <c r="K678" s="15" t="n">
        <f aca="false">Summary!$D$9</f>
        <v>16.9374488591431</v>
      </c>
      <c r="L678" s="16" t="str">
        <f aca="false">IF(OR(D678="",E678=""),"edge hidden",IF(AND(H678&gt;=D678-0.02,H678&lt;=E678+0.02),"yes","no"))</f>
        <v>yes</v>
      </c>
    </row>
    <row r="679" customFormat="false" ht="15" hidden="false" customHeight="false" outlineLevel="0" collapsed="false">
      <c r="A679" s="9" t="n">
        <v>44763</v>
      </c>
      <c r="B679" s="10" t="n">
        <v>16605.25</v>
      </c>
      <c r="C679" s="11" t="n">
        <v>18.1974</v>
      </c>
      <c r="D679" s="11" t="n">
        <v>17.9986</v>
      </c>
      <c r="E679" s="11" t="n">
        <v>18.3962</v>
      </c>
      <c r="F679" s="12" t="n">
        <f aca="false">IF(C679="","",B679/C679)</f>
        <v>912.506731730907</v>
      </c>
      <c r="G679" s="12" t="n">
        <f aca="false">MEDIAN(F669:F689)</f>
        <v>911.279902021371</v>
      </c>
      <c r="H679" s="13" t="n">
        <f aca="false">B679/G679</f>
        <v>18.2218986319865</v>
      </c>
      <c r="I679" s="14" t="n">
        <f aca="false">B679/Summary!$C$8*100</f>
        <v>166.400276578048</v>
      </c>
      <c r="J679" s="14" t="n">
        <f aca="false">G679/Summary!$E$8*100</f>
        <v>154.87732637181</v>
      </c>
      <c r="K679" s="15" t="n">
        <f aca="false">Summary!$D$9</f>
        <v>16.9374488591431</v>
      </c>
      <c r="L679" s="16" t="str">
        <f aca="false">IF(OR(D679="",E679=""),"edge hidden",IF(AND(H679&gt;=D679-0.02,H679&lt;=E679+0.02),"yes","no"))</f>
        <v>yes</v>
      </c>
    </row>
    <row r="680" customFormat="false" ht="15" hidden="false" customHeight="false" outlineLevel="0" collapsed="false">
      <c r="A680" s="9" t="n">
        <v>44764</v>
      </c>
      <c r="B680" s="10" t="n">
        <v>16719.45</v>
      </c>
      <c r="C680" s="11" t="n">
        <v>18.2368</v>
      </c>
      <c r="D680" s="11" t="n">
        <v>18.0773</v>
      </c>
      <c r="E680" s="11" t="n">
        <v>18.3962</v>
      </c>
      <c r="F680" s="12" t="n">
        <f aca="false">IF(C680="","",B680/C680)</f>
        <v>916.797354799088</v>
      </c>
      <c r="G680" s="12" t="n">
        <f aca="false">MEDIAN(F670:F690)</f>
        <v>911.83085919928</v>
      </c>
      <c r="H680" s="13" t="n">
        <f aca="false">B680/G680</f>
        <v>18.3361309077454</v>
      </c>
      <c r="I680" s="14" t="n">
        <f aca="false">B680/Summary!$C$8*100</f>
        <v>167.544668356866</v>
      </c>
      <c r="J680" s="14" t="n">
        <f aca="false">G680/Summary!$E$8*100</f>
        <v>154.970964752807</v>
      </c>
      <c r="K680" s="15" t="n">
        <f aca="false">Summary!$D$9</f>
        <v>16.9374488591431</v>
      </c>
      <c r="L680" s="16" t="str">
        <f aca="false">IF(OR(D680="",E680=""),"edge hidden",IF(AND(H680&gt;=D680-0.02,H680&lt;=E680+0.02),"yes","no"))</f>
        <v>yes</v>
      </c>
    </row>
    <row r="681" customFormat="false" ht="15" hidden="false" customHeight="false" outlineLevel="0" collapsed="false">
      <c r="A681" s="9" t="n">
        <v>44767</v>
      </c>
      <c r="B681" s="10" t="n">
        <v>16631</v>
      </c>
      <c r="C681" s="11" t="n">
        <v>18.4179</v>
      </c>
      <c r="D681" s="11" t="n">
        <v>18.101</v>
      </c>
      <c r="E681" s="11" t="n">
        <v>18.7348</v>
      </c>
      <c r="F681" s="12" t="n">
        <f aca="false">IF(C681="","",B681/C681)</f>
        <v>902.98025290614</v>
      </c>
      <c r="G681" s="12" t="n">
        <f aca="false">MEDIAN(F671:F691)</f>
        <v>912.506731730907</v>
      </c>
      <c r="H681" s="13" t="n">
        <f aca="false">B681/G681</f>
        <v>18.2256189699041</v>
      </c>
      <c r="I681" s="14" t="n">
        <f aca="false">B681/Summary!$C$8*100</f>
        <v>166.65831588019</v>
      </c>
      <c r="J681" s="14" t="n">
        <f aca="false">G681/Summary!$E$8*100</f>
        <v>155.085833225637</v>
      </c>
      <c r="K681" s="15" t="n">
        <f aca="false">Summary!$D$9</f>
        <v>16.9374488591431</v>
      </c>
      <c r="L681" s="16" t="str">
        <f aca="false">IF(OR(D681="",E681=""),"edge hidden",IF(AND(H681&gt;=D681-0.02,H681&lt;=E681+0.02),"yes","no"))</f>
        <v>yes</v>
      </c>
    </row>
    <row r="682" customFormat="false" ht="15" hidden="false" customHeight="false" outlineLevel="0" collapsed="false">
      <c r="A682" s="9" t="n">
        <v>44768</v>
      </c>
      <c r="B682" s="10" t="n">
        <v>16483.85</v>
      </c>
      <c r="C682" s="11" t="n">
        <v>18.4336</v>
      </c>
      <c r="D682" s="11" t="n">
        <v>18.101</v>
      </c>
      <c r="E682" s="11" t="n">
        <v>18.7663</v>
      </c>
      <c r="F682" s="12" t="n">
        <f aca="false">IF(C682="","",B682/C682)</f>
        <v>894.228474090791</v>
      </c>
      <c r="G682" s="12" t="n">
        <f aca="false">MEDIAN(F672:F692)</f>
        <v>913.001309746838</v>
      </c>
      <c r="H682" s="13" t="n">
        <f aca="false">B682/G682</f>
        <v>18.0545743188153</v>
      </c>
      <c r="I682" s="14" t="n">
        <f aca="false">B682/Summary!$C$8*100</f>
        <v>165.183734004068</v>
      </c>
      <c r="J682" s="14" t="n">
        <f aca="false">G682/Summary!$E$8*100</f>
        <v>155.16988963972</v>
      </c>
      <c r="K682" s="15" t="n">
        <f aca="false">Summary!$D$9</f>
        <v>16.9374488591431</v>
      </c>
      <c r="L682" s="16" t="str">
        <f aca="false">IF(OR(D682="",E682=""),"edge hidden",IF(AND(H682&gt;=D682-0.02,H682&lt;=E682+0.02),"yes","no"))</f>
        <v>no</v>
      </c>
    </row>
    <row r="683" customFormat="false" ht="15" hidden="false" customHeight="false" outlineLevel="0" collapsed="false">
      <c r="A683" s="9" t="n">
        <v>44769</v>
      </c>
      <c r="B683" s="10" t="n">
        <v>16641.8</v>
      </c>
      <c r="C683" s="11" t="n">
        <v>18.4533</v>
      </c>
      <c r="D683" s="11" t="n">
        <v>18.1088</v>
      </c>
      <c r="E683" s="11" t="n">
        <v>18.7978</v>
      </c>
      <c r="F683" s="12" t="n">
        <f aca="false">IF(C683="","",B683/C683)</f>
        <v>901.833276432942</v>
      </c>
      <c r="G683" s="12" t="n">
        <f aca="false">MEDIAN(F673:F693)</f>
        <v>914.245439818224</v>
      </c>
      <c r="H683" s="13" t="n">
        <f aca="false">B683/G683</f>
        <v>18.2027705856633</v>
      </c>
      <c r="I683" s="14" t="n">
        <f aca="false">B683/Summary!$C$8*100</f>
        <v>166.766542072932</v>
      </c>
      <c r="J683" s="14" t="n">
        <f aca="false">G683/Summary!$E$8*100</f>
        <v>155.381336790796</v>
      </c>
      <c r="K683" s="15" t="n">
        <f aca="false">Summary!$D$9</f>
        <v>16.9374488591431</v>
      </c>
      <c r="L683" s="16" t="str">
        <f aca="false">IF(OR(D683="",E683=""),"edge hidden",IF(AND(H683&gt;=D683-0.02,H683&lt;=E683+0.02),"yes","no"))</f>
        <v>yes</v>
      </c>
    </row>
    <row r="684" customFormat="false" ht="15" hidden="false" customHeight="false" outlineLevel="0" collapsed="false">
      <c r="A684" s="9" t="n">
        <v>44770</v>
      </c>
      <c r="B684" s="10" t="n">
        <v>16929.6</v>
      </c>
      <c r="C684" s="11" t="n">
        <v>18.5163</v>
      </c>
      <c r="D684" s="11" t="n">
        <v>18.1167</v>
      </c>
      <c r="E684" s="11" t="n">
        <v>18.9159</v>
      </c>
      <c r="F684" s="12" t="n">
        <f aca="false">IF(C684="","",B684/C684)</f>
        <v>914.307934090504</v>
      </c>
      <c r="G684" s="12" t="n">
        <f aca="false">MEDIAN(F674:F694)</f>
        <v>914.305684750448</v>
      </c>
      <c r="H684" s="13" t="n">
        <f aca="false">B684/G684</f>
        <v>18.5163455530967</v>
      </c>
      <c r="I684" s="14" t="n">
        <f aca="false">B684/Summary!$C$8*100</f>
        <v>169.650569690653</v>
      </c>
      <c r="J684" s="14" t="n">
        <f aca="false">G684/Summary!$E$8*100</f>
        <v>155.391575767876</v>
      </c>
      <c r="K684" s="15" t="n">
        <f aca="false">Summary!$D$9</f>
        <v>16.9374488591431</v>
      </c>
      <c r="L684" s="16" t="str">
        <f aca="false">IF(OR(D684="",E684=""),"edge hidden",IF(AND(H684&gt;=D684-0.02,H684&lt;=E684+0.02),"yes","no"))</f>
        <v>yes</v>
      </c>
    </row>
    <row r="685" customFormat="false" ht="15" hidden="false" customHeight="false" outlineLevel="0" collapsed="false">
      <c r="A685" s="9" t="n">
        <v>44771</v>
      </c>
      <c r="B685" s="10" t="n">
        <v>17158.25</v>
      </c>
      <c r="C685" s="11" t="n">
        <v>18.5517</v>
      </c>
      <c r="D685" s="11" t="n">
        <v>18.1639</v>
      </c>
      <c r="E685" s="11" t="n">
        <v>18.9395</v>
      </c>
      <c r="F685" s="12" t="n">
        <f aca="false">IF(C685="","",B685/C685)</f>
        <v>924.888285170631</v>
      </c>
      <c r="G685" s="12" t="n">
        <f aca="false">MEDIAN(F675:F695)</f>
        <v>914.307934090504</v>
      </c>
      <c r="H685" s="13" t="n">
        <f aca="false">B685/G685</f>
        <v>18.7663798598313</v>
      </c>
      <c r="I685" s="14" t="n">
        <f aca="false">B685/Summary!$C$8*100</f>
        <v>171.941858484232</v>
      </c>
      <c r="J685" s="14" t="n">
        <f aca="false">G685/Summary!$E$8*100</f>
        <v>155.391958056318</v>
      </c>
      <c r="K685" s="15" t="n">
        <f aca="false">Summary!$D$9</f>
        <v>16.9374488591431</v>
      </c>
      <c r="L685" s="16" t="str">
        <f aca="false">IF(OR(D685="",E685=""),"edge hidden",IF(AND(H685&gt;=D685-0.02,H685&lt;=E685+0.02),"yes","no"))</f>
        <v>yes</v>
      </c>
    </row>
    <row r="686" customFormat="false" ht="15" hidden="false" customHeight="false" outlineLevel="0" collapsed="false">
      <c r="A686" s="9" t="n">
        <v>44774</v>
      </c>
      <c r="B686" s="10" t="n">
        <v>17340.05</v>
      </c>
      <c r="C686" s="11" t="n">
        <v>18.8903</v>
      </c>
      <c r="D686" s="11" t="n">
        <v>18.7939</v>
      </c>
      <c r="E686" s="11" t="n">
        <v>18.9868</v>
      </c>
      <c r="F686" s="12" t="n">
        <f aca="false">IF(C686="","",B686/C686)</f>
        <v>917.934071984034</v>
      </c>
      <c r="G686" s="12" t="n">
        <f aca="false">MEDIAN(F676:F696)</f>
        <v>915.456742942764</v>
      </c>
      <c r="H686" s="13" t="n">
        <f aca="false">B686/G686</f>
        <v>18.9414192791457</v>
      </c>
      <c r="I686" s="14" t="n">
        <f aca="false">B686/Summary!$C$8*100</f>
        <v>173.76366606207</v>
      </c>
      <c r="J686" s="14" t="n">
        <f aca="false">G686/Summary!$E$8*100</f>
        <v>155.587204811081</v>
      </c>
      <c r="K686" s="15" t="n">
        <f aca="false">Summary!$D$9</f>
        <v>16.9374488591431</v>
      </c>
      <c r="L686" s="16" t="str">
        <f aca="false">IF(OR(D686="",E686=""),"edge hidden",IF(AND(H686&gt;=D686-0.02,H686&lt;=E686+0.02),"yes","no"))</f>
        <v>yes</v>
      </c>
    </row>
    <row r="687" customFormat="false" ht="15" hidden="false" customHeight="false" outlineLevel="0" collapsed="false">
      <c r="A687" s="9" t="n">
        <v>44775</v>
      </c>
      <c r="B687" s="10" t="n">
        <v>17345.45</v>
      </c>
      <c r="C687" s="11" t="n">
        <v>18.9021</v>
      </c>
      <c r="D687" s="11" t="n">
        <v>18.8096</v>
      </c>
      <c r="E687" s="11" t="n">
        <v>18.9947</v>
      </c>
      <c r="F687" s="12" t="n">
        <f aca="false">IF(C687="","",B687/C687)</f>
        <v>917.646716502399</v>
      </c>
      <c r="G687" s="12" t="n">
        <f aca="false">MEDIAN(F677:F697)</f>
        <v>916.797354799088</v>
      </c>
      <c r="H687" s="13" t="n">
        <f aca="false">B687/G687</f>
        <v>18.9196117432093</v>
      </c>
      <c r="I687" s="14" t="n">
        <f aca="false">B687/Summary!$C$8*100</f>
        <v>173.817779158441</v>
      </c>
      <c r="J687" s="14" t="n">
        <f aca="false">G687/Summary!$E$8*100</f>
        <v>155.815049603388</v>
      </c>
      <c r="K687" s="15" t="n">
        <f aca="false">Summary!$D$9</f>
        <v>16.9374488591431</v>
      </c>
      <c r="L687" s="16" t="str">
        <f aca="false">IF(OR(D687="",E687=""),"edge hidden",IF(AND(H687&gt;=D687-0.02,H687&lt;=E687+0.02),"yes","no"))</f>
        <v>yes</v>
      </c>
    </row>
    <row r="688" customFormat="false" ht="15" hidden="false" customHeight="false" outlineLevel="0" collapsed="false">
      <c r="A688" s="9" t="n">
        <v>44776</v>
      </c>
      <c r="B688" s="10" t="n">
        <v>17388.15</v>
      </c>
      <c r="C688" s="11" t="n">
        <v>18.9573</v>
      </c>
      <c r="D688" s="11" t="n">
        <v>18.912</v>
      </c>
      <c r="E688" s="11" t="n">
        <v>19.0025</v>
      </c>
      <c r="F688" s="12" t="n">
        <f aca="false">IF(C688="","",B688/C688)</f>
        <v>917.227136775807</v>
      </c>
      <c r="G688" s="12" t="n">
        <f aca="false">MEDIAN(F678:F698)</f>
        <v>917.227136775807</v>
      </c>
      <c r="H688" s="13" t="n">
        <f aca="false">B688/G688</f>
        <v>18.9573</v>
      </c>
      <c r="I688" s="14" t="n">
        <f aca="false">B688/Summary!$C$8*100</f>
        <v>174.245673457526</v>
      </c>
      <c r="J688" s="14" t="n">
        <f aca="false">G688/Summary!$E$8*100</f>
        <v>155.888093553254</v>
      </c>
      <c r="K688" s="15" t="n">
        <f aca="false">Summary!$D$9</f>
        <v>16.9374488591431</v>
      </c>
      <c r="L688" s="16" t="str">
        <f aca="false">IF(OR(D688="",E688=""),"edge hidden",IF(AND(H688&gt;=D688-0.02,H688&lt;=E688+0.02),"yes","no"))</f>
        <v>yes</v>
      </c>
    </row>
    <row r="689" customFormat="false" ht="15" hidden="false" customHeight="false" outlineLevel="0" collapsed="false">
      <c r="A689" s="9" t="n">
        <v>44777</v>
      </c>
      <c r="B689" s="10" t="n">
        <v>17382</v>
      </c>
      <c r="C689" s="11" t="n">
        <v>19.0124</v>
      </c>
      <c r="D689" s="11" t="n">
        <v>18.9592</v>
      </c>
      <c r="E689" s="11" t="n">
        <v>19.0655</v>
      </c>
      <c r="F689" s="12" t="n">
        <f aca="false">IF(C689="","",B689/C689)</f>
        <v>914.245439818224</v>
      </c>
      <c r="G689" s="12" t="n">
        <f aca="false">MEDIAN(F679:F699)</f>
        <v>917.646716502399</v>
      </c>
      <c r="H689" s="13" t="n">
        <f aca="false">B689/G689</f>
        <v>18.9419301430635</v>
      </c>
      <c r="I689" s="14" t="n">
        <f aca="false">B689/Summary!$C$8*100</f>
        <v>174.184044653325</v>
      </c>
      <c r="J689" s="14" t="n">
        <f aca="false">G689/Summary!$E$8*100</f>
        <v>155.959403571296</v>
      </c>
      <c r="K689" s="15" t="n">
        <f aca="false">Summary!$D$9</f>
        <v>16.9374488591431</v>
      </c>
      <c r="L689" s="16" t="str">
        <f aca="false">IF(OR(D689="",E689=""),"edge hidden",IF(AND(H689&gt;=D689-0.02,H689&lt;=E689+0.02),"yes","no"))</f>
        <v>yes</v>
      </c>
    </row>
    <row r="690" customFormat="false" ht="15" hidden="false" customHeight="false" outlineLevel="0" collapsed="false">
      <c r="A690" s="9" t="n">
        <v>44778</v>
      </c>
      <c r="B690" s="10" t="n">
        <v>17397.5</v>
      </c>
      <c r="C690" s="11" t="n">
        <v>19.0281</v>
      </c>
      <c r="D690" s="11" t="n">
        <v>18.9592</v>
      </c>
      <c r="E690" s="11" t="n">
        <v>19.097</v>
      </c>
      <c r="F690" s="12" t="n">
        <f aca="false">IF(C690="","",B690/C690)</f>
        <v>914.305684750448</v>
      </c>
      <c r="G690" s="12" t="n">
        <f aca="false">MEDIAN(F680:F700)</f>
        <v>917.934071984034</v>
      </c>
      <c r="H690" s="13" t="n">
        <f aca="false">B690/G690</f>
        <v>18.9528861940998</v>
      </c>
      <c r="I690" s="14" t="n">
        <f aca="false">B690/Summary!$C$8*100</f>
        <v>174.339369281799</v>
      </c>
      <c r="J690" s="14" t="n">
        <f aca="false">G690/Summary!$E$8*100</f>
        <v>156.008241308873</v>
      </c>
      <c r="K690" s="15" t="n">
        <f aca="false">Summary!$D$9</f>
        <v>16.9374488591431</v>
      </c>
      <c r="L690" s="16" t="str">
        <f aca="false">IF(OR(D690="",E690=""),"edge hidden",IF(AND(H690&gt;=D690-0.02,H690&lt;=E690+0.02),"yes","no"))</f>
        <v>yes</v>
      </c>
    </row>
    <row r="691" customFormat="false" ht="15" hidden="false" customHeight="false" outlineLevel="0" collapsed="false">
      <c r="A691" s="9" t="n">
        <v>44781</v>
      </c>
      <c r="B691" s="10" t="n">
        <v>17525.1</v>
      </c>
      <c r="C691" s="11" t="n">
        <v>19.0911</v>
      </c>
      <c r="D691" s="11" t="n">
        <v>18.975</v>
      </c>
      <c r="E691" s="11" t="n">
        <v>19.2073</v>
      </c>
      <c r="F691" s="12" t="n">
        <f aca="false">IF(C691="","",B691/C691)</f>
        <v>917.97224884894</v>
      </c>
      <c r="G691" s="12" t="n">
        <f aca="false">MEDIAN(F681:F701)</f>
        <v>917.97224884894</v>
      </c>
      <c r="H691" s="13" t="n">
        <f aca="false">B691/G691</f>
        <v>19.0911</v>
      </c>
      <c r="I691" s="14" t="n">
        <f aca="false">B691/Summary!$C$8*100</f>
        <v>175.618041707168</v>
      </c>
      <c r="J691" s="14" t="n">
        <f aca="false">G691/Summary!$E$8*100</f>
        <v>156.014729689394</v>
      </c>
      <c r="K691" s="15" t="n">
        <f aca="false">Summary!$D$9</f>
        <v>16.9374488591431</v>
      </c>
      <c r="L691" s="16" t="str">
        <f aca="false">IF(OR(D691="",E691=""),"edge hidden",IF(AND(H691&gt;=D691-0.02,H691&lt;=E691+0.02),"yes","no"))</f>
        <v>yes</v>
      </c>
    </row>
    <row r="692" customFormat="false" ht="15" hidden="false" customHeight="false" outlineLevel="0" collapsed="false">
      <c r="A692" s="9" t="n">
        <v>44783</v>
      </c>
      <c r="B692" s="10" t="n">
        <v>17534.75</v>
      </c>
      <c r="C692" s="11" t="n">
        <v>19.1541</v>
      </c>
      <c r="D692" s="11" t="n">
        <v>19.0695</v>
      </c>
      <c r="E692" s="11" t="n">
        <v>19.2388</v>
      </c>
      <c r="F692" s="12" t="n">
        <f aca="false">IF(C692="","",B692/C692)</f>
        <v>915.456742942764</v>
      </c>
      <c r="G692" s="12" t="n">
        <f aca="false">MEDIAN(F682:F702)</f>
        <v>921.56351111575</v>
      </c>
      <c r="H692" s="13" t="n">
        <f aca="false">B692/G692</f>
        <v>19.0271747833966</v>
      </c>
      <c r="I692" s="14" t="n">
        <f aca="false">B692/Summary!$C$8*100</f>
        <v>175.714743814572</v>
      </c>
      <c r="J692" s="14" t="n">
        <f aca="false">G692/Summary!$E$8*100</f>
        <v>156.625085626083</v>
      </c>
      <c r="K692" s="15" t="n">
        <f aca="false">Summary!$D$9</f>
        <v>16.9374488591431</v>
      </c>
      <c r="L692" s="16" t="str">
        <f aca="false">IF(OR(D692="",E692=""),"edge hidden",IF(AND(H692&gt;=D692-0.02,H692&lt;=E692+0.02),"yes","no"))</f>
        <v>no</v>
      </c>
    </row>
    <row r="693" customFormat="false" ht="15" hidden="false" customHeight="false" outlineLevel="0" collapsed="false">
      <c r="A693" s="9" t="n">
        <v>44784</v>
      </c>
      <c r="B693" s="10" t="n">
        <v>17659</v>
      </c>
      <c r="C693" s="11" t="n">
        <v>19.162</v>
      </c>
      <c r="D693" s="11" t="n">
        <v>19.0773</v>
      </c>
      <c r="E693" s="11" t="n">
        <v>19.2466</v>
      </c>
      <c r="F693" s="12" t="n">
        <f aca="false">IF(C693="","",B693/C693)</f>
        <v>921.56351111575</v>
      </c>
      <c r="G693" s="12" t="n">
        <f aca="false">MEDIAN(F683:F703)</f>
        <v>922.283019359546</v>
      </c>
      <c r="H693" s="13" t="n">
        <f aca="false">B693/G693</f>
        <v>19.1470509912053</v>
      </c>
      <c r="I693" s="14" t="n">
        <f aca="false">B693/Summary!$C$8*100</f>
        <v>176.959846078304</v>
      </c>
      <c r="J693" s="14" t="n">
        <f aca="false">G693/Summary!$E$8*100</f>
        <v>156.747370242318</v>
      </c>
      <c r="K693" s="15" t="n">
        <f aca="false">Summary!$D$9</f>
        <v>16.9374488591431</v>
      </c>
      <c r="L693" s="16" t="str">
        <f aca="false">IF(OR(D693="",E693=""),"edge hidden",IF(AND(H693&gt;=D693-0.02,H693&lt;=E693+0.02),"yes","no"))</f>
        <v>yes</v>
      </c>
    </row>
    <row r="694" customFormat="false" ht="15" hidden="false" customHeight="false" outlineLevel="0" collapsed="false">
      <c r="A694" s="9" t="n">
        <v>44785</v>
      </c>
      <c r="B694" s="10" t="n">
        <v>17698.15</v>
      </c>
      <c r="C694" s="11" t="n">
        <v>19.1895</v>
      </c>
      <c r="D694" s="11" t="n">
        <v>19.1167</v>
      </c>
      <c r="E694" s="11" t="n">
        <v>19.2624</v>
      </c>
      <c r="F694" s="12" t="n">
        <f aca="false">IF(C694="","",B694/C694)</f>
        <v>922.283019359546</v>
      </c>
      <c r="G694" s="12" t="n">
        <f aca="false">MEDIAN(F684:F704)</f>
        <v>922.283019359546</v>
      </c>
      <c r="H694" s="13" t="n">
        <f aca="false">B694/G694</f>
        <v>19.1895</v>
      </c>
      <c r="I694" s="14" t="n">
        <f aca="false">B694/Summary!$C$8*100</f>
        <v>177.352166026996</v>
      </c>
      <c r="J694" s="14" t="n">
        <f aca="false">G694/Summary!$E$8*100</f>
        <v>156.747370242318</v>
      </c>
      <c r="K694" s="15" t="n">
        <f aca="false">Summary!$D$9</f>
        <v>16.9374488591431</v>
      </c>
      <c r="L694" s="16" t="str">
        <f aca="false">IF(OR(D694="",E694=""),"edge hidden",IF(AND(H694&gt;=D694-0.02,H694&lt;=E694+0.02),"yes","no"))</f>
        <v>yes</v>
      </c>
    </row>
    <row r="695" customFormat="false" ht="15" hidden="false" customHeight="false" outlineLevel="0" collapsed="false">
      <c r="A695" s="9" t="n">
        <v>44789</v>
      </c>
      <c r="B695" s="10" t="n">
        <v>17825.25</v>
      </c>
      <c r="C695" s="11" t="n">
        <v>19.2289</v>
      </c>
      <c r="D695" s="11" t="n">
        <v>19.1246</v>
      </c>
      <c r="E695" s="11" t="n">
        <v>19.3332</v>
      </c>
      <c r="F695" s="12" t="n">
        <f aca="false">IF(C695="","",B695/C695)</f>
        <v>927.003104701777</v>
      </c>
      <c r="G695" s="12" t="n">
        <f aca="false">MEDIAN(F685:F705)</f>
        <v>922.831380287338</v>
      </c>
      <c r="H695" s="13" t="n">
        <f aca="false">B695/G695</f>
        <v>19.3158256001761</v>
      </c>
      <c r="I695" s="14" t="n">
        <f aca="false">B695/Summary!$C$8*100</f>
        <v>178.625827980479</v>
      </c>
      <c r="J695" s="14" t="n">
        <f aca="false">G695/Summary!$E$8*100</f>
        <v>156.840567375487</v>
      </c>
      <c r="K695" s="15" t="n">
        <f aca="false">Summary!$D$9</f>
        <v>16.9374488591431</v>
      </c>
      <c r="L695" s="16" t="str">
        <f aca="false">IF(OR(D695="",E695=""),"edge hidden",IF(AND(H695&gt;=D695-0.02,H695&lt;=E695+0.02),"yes","no"))</f>
        <v>yes</v>
      </c>
    </row>
    <row r="696" customFormat="false" ht="15" hidden="false" customHeight="false" outlineLevel="0" collapsed="false">
      <c r="A696" s="9" t="n">
        <v>44790</v>
      </c>
      <c r="B696" s="10" t="n">
        <v>17944.25</v>
      </c>
      <c r="C696" s="11" t="n">
        <v>19.225</v>
      </c>
      <c r="D696" s="11" t="n">
        <v>19.1167</v>
      </c>
      <c r="E696" s="11" t="n">
        <v>19.3332</v>
      </c>
      <c r="F696" s="12" t="n">
        <f aca="false">IF(C696="","",B696/C696)</f>
        <v>933.381014304291</v>
      </c>
      <c r="G696" s="12" t="n">
        <f aca="false">MEDIAN(F686:F706)</f>
        <v>922.831380287338</v>
      </c>
      <c r="H696" s="13" t="n">
        <f aca="false">B696/G696</f>
        <v>19.4447765684049</v>
      </c>
      <c r="I696" s="14" t="n">
        <f aca="false">B696/Summary!$C$8*100</f>
        <v>179.818320289405</v>
      </c>
      <c r="J696" s="14" t="n">
        <f aca="false">G696/Summary!$E$8*100</f>
        <v>156.840567375487</v>
      </c>
      <c r="K696" s="15" t="n">
        <f aca="false">Summary!$D$9</f>
        <v>16.9374488591431</v>
      </c>
      <c r="L696" s="16" t="str">
        <f aca="false">IF(OR(D696="",E696=""),"edge hidden",IF(AND(H696&gt;=D696-0.02,H696&lt;=E696+0.02),"yes","no"))</f>
        <v>no</v>
      </c>
    </row>
    <row r="697" customFormat="false" ht="15" hidden="false" customHeight="false" outlineLevel="0" collapsed="false">
      <c r="A697" s="9" t="n">
        <v>44791</v>
      </c>
      <c r="B697" s="10" t="n">
        <v>17956.5</v>
      </c>
      <c r="C697" s="11" t="n">
        <v>19.0832</v>
      </c>
      <c r="D697" s="11" t="n">
        <v>18.8332</v>
      </c>
      <c r="E697" s="11" t="n">
        <v>19.3332</v>
      </c>
      <c r="F697" s="12" t="n">
        <f aca="false">IF(C697="","",B697/C697)</f>
        <v>940.958539448311</v>
      </c>
      <c r="G697" s="12" t="n">
        <f aca="false">MEDIAN(F687:F707)</f>
        <v>927.003104701777</v>
      </c>
      <c r="H697" s="13" t="n">
        <f aca="false">B697/G697</f>
        <v>19.3704852863214</v>
      </c>
      <c r="I697" s="14" t="n">
        <f aca="false">B697/Summary!$C$8*100</f>
        <v>179.941076850618</v>
      </c>
      <c r="J697" s="14" t="n">
        <f aca="false">G697/Summary!$E$8*100</f>
        <v>157.549576234604</v>
      </c>
      <c r="K697" s="15" t="n">
        <f aca="false">Summary!$D$9</f>
        <v>16.9374488591431</v>
      </c>
      <c r="L697" s="16" t="str">
        <f aca="false">IF(OR(D697="",E697=""),"edge hidden",IF(AND(H697&gt;=D697-0.02,H697&lt;=E697+0.02),"yes","no"))</f>
        <v>no</v>
      </c>
    </row>
    <row r="698" customFormat="false" ht="15" hidden="false" customHeight="false" outlineLevel="0" collapsed="false">
      <c r="A698" s="9" t="n">
        <v>44792</v>
      </c>
      <c r="B698" s="10" t="n">
        <v>17758.45</v>
      </c>
      <c r="C698" s="11" t="n">
        <v>19.0754</v>
      </c>
      <c r="D698" s="11" t="n">
        <v>18.8254</v>
      </c>
      <c r="E698" s="11" t="n">
        <v>19.3254</v>
      </c>
      <c r="F698" s="12" t="n">
        <f aca="false">IF(C698="","",B698/C698)</f>
        <v>930.960818646005</v>
      </c>
      <c r="G698" s="12" t="n">
        <f aca="false">MEDIAN(F688:F708)</f>
        <v>929.459052706326</v>
      </c>
      <c r="H698" s="13" t="n">
        <f aca="false">B698/G698</f>
        <v>19.106220923119</v>
      </c>
      <c r="I698" s="14" t="n">
        <f aca="false">B698/Summary!$C$8*100</f>
        <v>177.956428936477</v>
      </c>
      <c r="J698" s="14" t="n">
        <f aca="false">G698/Summary!$E$8*100</f>
        <v>157.966978900688</v>
      </c>
      <c r="K698" s="15" t="n">
        <f aca="false">Summary!$D$9</f>
        <v>16.9374488591431</v>
      </c>
      <c r="L698" s="16" t="str">
        <f aca="false">IF(OR(D698="",E698=""),"edge hidden",IF(AND(H698&gt;=D698-0.02,H698&lt;=E698+0.02),"yes","no"))</f>
        <v>yes</v>
      </c>
    </row>
    <row r="699" customFormat="false" ht="15" hidden="false" customHeight="false" outlineLevel="0" collapsed="false">
      <c r="A699" s="9" t="n">
        <v>44795</v>
      </c>
      <c r="B699" s="10" t="n">
        <v>17490.7</v>
      </c>
      <c r="C699" s="11" t="n">
        <v>18.9533</v>
      </c>
      <c r="D699" s="11" t="n">
        <v>18.8096</v>
      </c>
      <c r="E699" s="11" t="n">
        <v>19.097</v>
      </c>
      <c r="F699" s="12" t="n">
        <f aca="false">IF(C699="","",B699/C699)</f>
        <v>922.831380287338</v>
      </c>
      <c r="G699" s="12" t="n">
        <f aca="false">MEDIAN(F689:F709)</f>
        <v>929.5346377578</v>
      </c>
      <c r="H699" s="13" t="n">
        <f aca="false">B699/G699</f>
        <v>18.8166199402645</v>
      </c>
      <c r="I699" s="14" t="n">
        <f aca="false">B699/Summary!$C$8*100</f>
        <v>175.273321241395</v>
      </c>
      <c r="J699" s="14" t="n">
        <f aca="false">G699/Summary!$E$8*100</f>
        <v>157.979825020371</v>
      </c>
      <c r="K699" s="15" t="n">
        <f aca="false">Summary!$D$9</f>
        <v>16.9374488591431</v>
      </c>
      <c r="L699" s="16" t="str">
        <f aca="false">IF(OR(D699="",E699=""),"edge hidden",IF(AND(H699&gt;=D699-0.02,H699&lt;=E699+0.02),"yes","no"))</f>
        <v>yes</v>
      </c>
    </row>
    <row r="700" customFormat="false" ht="15" hidden="false" customHeight="false" outlineLevel="0" collapsed="false">
      <c r="A700" s="9" t="n">
        <v>44796</v>
      </c>
      <c r="B700" s="10" t="n">
        <v>17577.5</v>
      </c>
      <c r="C700" s="11" t="n">
        <v>18.91</v>
      </c>
      <c r="D700" s="11" t="n">
        <v>18.8017</v>
      </c>
      <c r="E700" s="11" t="n">
        <v>19.0183</v>
      </c>
      <c r="F700" s="12" t="n">
        <f aca="false">IF(C700="","",B700/C700)</f>
        <v>929.5346377578</v>
      </c>
      <c r="G700" s="12" t="n">
        <f aca="false">MEDIAN(F690:F710)</f>
        <v>930.960818646005</v>
      </c>
      <c r="H700" s="13" t="n">
        <f aca="false">B700/G700</f>
        <v>18.8810309176758</v>
      </c>
      <c r="I700" s="14" t="n">
        <f aca="false">B700/Summary!$C$8*100</f>
        <v>176.143139160846</v>
      </c>
      <c r="J700" s="14" t="n">
        <f aca="false">G700/Summary!$E$8*100</f>
        <v>158.222212767975</v>
      </c>
      <c r="K700" s="15" t="n">
        <f aca="false">Summary!$D$9</f>
        <v>16.9374488591431</v>
      </c>
      <c r="L700" s="16" t="str">
        <f aca="false">IF(OR(D700="",E700=""),"edge hidden",IF(AND(H700&gt;=D700-0.02,H700&lt;=E700+0.02),"yes","no"))</f>
        <v>yes</v>
      </c>
    </row>
    <row r="701" customFormat="false" ht="15" hidden="false" customHeight="false" outlineLevel="0" collapsed="false">
      <c r="A701" s="9" t="n">
        <v>44797</v>
      </c>
      <c r="B701" s="10" t="n">
        <v>17604.95</v>
      </c>
      <c r="C701" s="11" t="n">
        <v>18.8076</v>
      </c>
      <c r="D701" s="11" t="n">
        <v>18.6364</v>
      </c>
      <c r="E701" s="11" t="n">
        <v>18.9789</v>
      </c>
      <c r="F701" s="12" t="n">
        <f aca="false">IF(C701="","",B701/C701)</f>
        <v>936.05510538293</v>
      </c>
      <c r="G701" s="12" t="n">
        <f aca="false">MEDIAN(F691:F711)</f>
        <v>931.625603264633</v>
      </c>
      <c r="H701" s="13" t="n">
        <f aca="false">B701/G701</f>
        <v>18.8970225145253</v>
      </c>
      <c r="I701" s="14" t="n">
        <f aca="false">B701/Summary!$C$8*100</f>
        <v>176.418214067401</v>
      </c>
      <c r="J701" s="14" t="n">
        <f aca="false">G701/Summary!$E$8*100</f>
        <v>158.335196785419</v>
      </c>
      <c r="K701" s="15" t="n">
        <f aca="false">Summary!$D$9</f>
        <v>16.9374488591431</v>
      </c>
      <c r="L701" s="16" t="str">
        <f aca="false">IF(OR(D701="",E701=""),"edge hidden",IF(AND(H701&gt;=D701-0.02,H701&lt;=E701+0.02),"yes","no"))</f>
        <v>yes</v>
      </c>
    </row>
    <row r="702" customFormat="false" ht="15" hidden="false" customHeight="false" outlineLevel="0" collapsed="false">
      <c r="A702" s="9" t="n">
        <v>44798</v>
      </c>
      <c r="B702" s="10" t="n">
        <v>17522.45</v>
      </c>
      <c r="C702" s="11" t="n">
        <v>18.788</v>
      </c>
      <c r="D702" s="11" t="n">
        <v>18.597</v>
      </c>
      <c r="E702" s="11" t="n">
        <v>18.9789</v>
      </c>
      <c r="F702" s="12" t="n">
        <f aca="false">IF(C702="","",B702/C702)</f>
        <v>932.640515222483</v>
      </c>
      <c r="G702" s="12" t="n">
        <f aca="false">MEDIAN(F692:F712)</f>
        <v>932.552254991601</v>
      </c>
      <c r="H702" s="13" t="n">
        <f aca="false">B702/G702</f>
        <v>18.7897781665413</v>
      </c>
      <c r="I702" s="14" t="n">
        <f aca="false">B702/Summary!$C$8*100</f>
        <v>175.591486206171</v>
      </c>
      <c r="J702" s="14" t="n">
        <f aca="false">G702/Summary!$E$8*100</f>
        <v>158.492686642961</v>
      </c>
      <c r="K702" s="15" t="n">
        <f aca="false">Summary!$D$9</f>
        <v>16.9374488591431</v>
      </c>
      <c r="L702" s="16" t="str">
        <f aca="false">IF(OR(D702="",E702=""),"edge hidden",IF(AND(H702&gt;=D702-0.02,H702&lt;=E702+0.02),"yes","no"))</f>
        <v>yes</v>
      </c>
    </row>
    <row r="703" customFormat="false" ht="15" hidden="false" customHeight="false" outlineLevel="0" collapsed="false">
      <c r="A703" s="9" t="n">
        <v>44799</v>
      </c>
      <c r="B703" s="10" t="n">
        <v>17558.9</v>
      </c>
      <c r="C703" s="11" t="n">
        <v>18.784</v>
      </c>
      <c r="D703" s="11" t="n">
        <v>18.5655</v>
      </c>
      <c r="E703" s="11" t="n">
        <v>19.0025</v>
      </c>
      <c r="F703" s="12" t="n">
        <f aca="false">IF(C703="","",B703/C703)</f>
        <v>934.779599659285</v>
      </c>
      <c r="G703" s="12" t="n">
        <f aca="false">MEDIAN(F693:F713)</f>
        <v>932.640515222483</v>
      </c>
      <c r="H703" s="13" t="n">
        <f aca="false">B703/G703</f>
        <v>18.8270825826297</v>
      </c>
      <c r="I703" s="14" t="n">
        <f aca="false">B703/Summary!$C$8*100</f>
        <v>175.956749606678</v>
      </c>
      <c r="J703" s="14" t="n">
        <f aca="false">G703/Summary!$E$8*100</f>
        <v>158.507686983201</v>
      </c>
      <c r="K703" s="15" t="n">
        <f aca="false">Summary!$D$9</f>
        <v>16.9374488591431</v>
      </c>
      <c r="L703" s="16" t="str">
        <f aca="false">IF(OR(D703="",E703=""),"edge hidden",IF(AND(H703&gt;=D703-0.02,H703&lt;=E703+0.02),"yes","no"))</f>
        <v>yes</v>
      </c>
    </row>
    <row r="704" customFormat="false" ht="15" hidden="false" customHeight="false" outlineLevel="0" collapsed="false">
      <c r="A704" s="9" t="n">
        <v>44802</v>
      </c>
      <c r="B704" s="10" t="n">
        <v>17312.9</v>
      </c>
      <c r="C704" s="11" t="n">
        <v>18.784</v>
      </c>
      <c r="D704" s="11" t="n">
        <v>18.5576</v>
      </c>
      <c r="E704" s="11" t="n">
        <v>19.0104</v>
      </c>
      <c r="F704" s="12" t="n">
        <f aca="false">IF(C704="","",B704/C704)</f>
        <v>921.683347529813</v>
      </c>
      <c r="G704" s="12" t="n">
        <f aca="false">MEDIAN(F694:F714)</f>
        <v>933.381014304291</v>
      </c>
      <c r="H704" s="13" t="n">
        <f aca="false">B704/G704</f>
        <v>18.5485881271159</v>
      </c>
      <c r="I704" s="14" t="n">
        <f aca="false">B704/Summary!$C$8*100</f>
        <v>173.491597438647</v>
      </c>
      <c r="J704" s="14" t="n">
        <f aca="false">G704/Summary!$E$8*100</f>
        <v>158.633539114601</v>
      </c>
      <c r="K704" s="15" t="n">
        <f aca="false">Summary!$D$9</f>
        <v>16.9374488591431</v>
      </c>
      <c r="L704" s="16" t="str">
        <f aca="false">IF(OR(D704="",E704=""),"edge hidden",IF(AND(H704&gt;=D704-0.02,H704&lt;=E704+0.02),"yes","no"))</f>
        <v>yes</v>
      </c>
    </row>
    <row r="705" customFormat="false" ht="15" hidden="false" customHeight="false" outlineLevel="0" collapsed="false">
      <c r="A705" s="9" t="n">
        <v>44803</v>
      </c>
      <c r="B705" s="10" t="n">
        <v>17759.3</v>
      </c>
      <c r="C705" s="11" t="n">
        <v>18.788</v>
      </c>
      <c r="D705" s="11" t="n">
        <v>18.5655</v>
      </c>
      <c r="E705" s="11" t="n">
        <v>19.0104</v>
      </c>
      <c r="F705" s="12" t="n">
        <f aca="false">IF(C705="","",B705/C705)</f>
        <v>945.246966148606</v>
      </c>
      <c r="G705" s="12" t="n">
        <f aca="false">MEDIAN(F695:F715)</f>
        <v>934.054946275811</v>
      </c>
      <c r="H705" s="13" t="n">
        <f aca="false">B705/G705</f>
        <v>19.0131213059879</v>
      </c>
      <c r="I705" s="14" t="n">
        <f aca="false">B705/Summary!$C$8*100</f>
        <v>177.964946738684</v>
      </c>
      <c r="J705" s="14" t="n">
        <f aca="false">G705/Summary!$E$8*100</f>
        <v>158.74807777794</v>
      </c>
      <c r="K705" s="15" t="n">
        <f aca="false">Summary!$D$9</f>
        <v>16.9374488591431</v>
      </c>
      <c r="L705" s="16" t="str">
        <f aca="false">IF(OR(D705="",E705=""),"edge hidden",IF(AND(H705&gt;=D705-0.02,H705&lt;=E705+0.02),"yes","no"))</f>
        <v>yes</v>
      </c>
    </row>
    <row r="706" customFormat="false" ht="15" hidden="false" customHeight="false" outlineLevel="0" collapsed="false">
      <c r="A706" s="9" t="n">
        <v>44805</v>
      </c>
      <c r="B706" s="10" t="n">
        <v>17542.8</v>
      </c>
      <c r="C706" s="11" t="n">
        <v>18.8116</v>
      </c>
      <c r="D706" s="11" t="n">
        <v>18.6206</v>
      </c>
      <c r="E706" s="11" t="n">
        <v>19.0025</v>
      </c>
      <c r="F706" s="12" t="n">
        <f aca="false">IF(C706="","",B706/C706)</f>
        <v>932.552254991601</v>
      </c>
      <c r="G706" s="12" t="n">
        <f aca="false">MEDIAN(F696:F716)</f>
        <v>934.779599659285</v>
      </c>
      <c r="H706" s="13" t="n">
        <f aca="false">B706/G706</f>
        <v>18.7667766887447</v>
      </c>
      <c r="I706" s="14" t="n">
        <f aca="false">B706/Summary!$C$8*100</f>
        <v>175.795412411941</v>
      </c>
      <c r="J706" s="14" t="n">
        <f aca="false">G706/Summary!$E$8*100</f>
        <v>158.871236840628</v>
      </c>
      <c r="K706" s="15" t="n">
        <f aca="false">Summary!$D$9</f>
        <v>16.9374488591431</v>
      </c>
      <c r="L706" s="16" t="str">
        <f aca="false">IF(OR(D706="",E706=""),"edge hidden",IF(AND(H706&gt;=D706-0.02,H706&lt;=E706+0.02),"yes","no"))</f>
        <v>yes</v>
      </c>
    </row>
    <row r="707" customFormat="false" ht="15" hidden="false" customHeight="false" outlineLevel="0" collapsed="false">
      <c r="A707" s="9" t="n">
        <v>44806</v>
      </c>
      <c r="B707" s="10" t="n">
        <v>17539.45</v>
      </c>
      <c r="C707" s="11" t="n">
        <v>18.8706</v>
      </c>
      <c r="D707" s="11" t="n">
        <v>18.7466</v>
      </c>
      <c r="E707" s="11" t="n">
        <v>18.9947</v>
      </c>
      <c r="F707" s="12" t="n">
        <f aca="false">IF(C707="","",B707/C707)</f>
        <v>929.459052706326</v>
      </c>
      <c r="G707" s="12" t="n">
        <f aca="false">MEDIAN(F697:F717)</f>
        <v>934.779599659285</v>
      </c>
      <c r="H707" s="13" t="n">
        <f aca="false">B707/G707</f>
        <v>18.7631929562786</v>
      </c>
      <c r="I707" s="14" t="n">
        <f aca="false">B707/Summary!$C$8*100</f>
        <v>175.761842250303</v>
      </c>
      <c r="J707" s="14" t="n">
        <f aca="false">G707/Summary!$E$8*100</f>
        <v>158.871236840628</v>
      </c>
      <c r="K707" s="15" t="n">
        <f aca="false">Summary!$D$9</f>
        <v>16.9374488591431</v>
      </c>
      <c r="L707" s="16" t="str">
        <f aca="false">IF(OR(D707="",E707=""),"edge hidden",IF(AND(H707&gt;=D707-0.02,H707&lt;=E707+0.02),"yes","no"))</f>
        <v>yes</v>
      </c>
    </row>
    <row r="708" customFormat="false" ht="15" hidden="false" customHeight="false" outlineLevel="0" collapsed="false">
      <c r="A708" s="9" t="n">
        <v>44809</v>
      </c>
      <c r="B708" s="10" t="n">
        <v>17665.8</v>
      </c>
      <c r="C708" s="11" t="n">
        <v>18.8785</v>
      </c>
      <c r="D708" s="11" t="n">
        <v>18.7624</v>
      </c>
      <c r="E708" s="11" t="n">
        <v>18.9947</v>
      </c>
      <c r="F708" s="12" t="n">
        <f aca="false">IF(C708="","",B708/C708)</f>
        <v>935.762904891808</v>
      </c>
      <c r="G708" s="12" t="n">
        <f aca="false">MEDIAN(F698:F718)</f>
        <v>934.779599659285</v>
      </c>
      <c r="H708" s="13" t="n">
        <f aca="false">B708/G708</f>
        <v>18.8983585076514</v>
      </c>
      <c r="I708" s="14" t="n">
        <f aca="false">B708/Summary!$C$8*100</f>
        <v>177.027988495957</v>
      </c>
      <c r="J708" s="14" t="n">
        <f aca="false">G708/Summary!$E$8*100</f>
        <v>158.871236840628</v>
      </c>
      <c r="K708" s="15" t="n">
        <f aca="false">Summary!$D$9</f>
        <v>16.9374488591431</v>
      </c>
      <c r="L708" s="16" t="str">
        <f aca="false">IF(OR(D708="",E708=""),"edge hidden",IF(AND(H708&gt;=D708-0.02,H708&lt;=E708+0.02),"yes","no"))</f>
        <v>yes</v>
      </c>
    </row>
    <row r="709" customFormat="false" ht="15" hidden="false" customHeight="false" outlineLevel="0" collapsed="false">
      <c r="A709" s="9" t="n">
        <v>44810</v>
      </c>
      <c r="B709" s="10" t="n">
        <v>17655.6</v>
      </c>
      <c r="C709" s="11" t="n">
        <v>18.9021</v>
      </c>
      <c r="D709" s="11" t="n">
        <v>18.7939</v>
      </c>
      <c r="E709" s="11" t="n">
        <v>19.0104</v>
      </c>
      <c r="F709" s="12" t="n">
        <f aca="false">IF(C709="","",B709/C709)</f>
        <v>934.054946275811</v>
      </c>
      <c r="G709" s="12" t="n">
        <f aca="false">MEDIAN(F699:F719)</f>
        <v>935.762904891808</v>
      </c>
      <c r="H709" s="13" t="n">
        <f aca="false">B709/G709</f>
        <v>18.8675998030092</v>
      </c>
      <c r="I709" s="14" t="n">
        <f aca="false">B709/Summary!$C$8*100</f>
        <v>176.925774869477</v>
      </c>
      <c r="J709" s="14" t="n">
        <f aca="false">G709/Summary!$E$8*100</f>
        <v>159.038355291372</v>
      </c>
      <c r="K709" s="15" t="n">
        <f aca="false">Summary!$D$9</f>
        <v>16.9374488591431</v>
      </c>
      <c r="L709" s="16" t="str">
        <f aca="false">IF(OR(D709="",E709=""),"edge hidden",IF(AND(H709&gt;=D709-0.02,H709&lt;=E709+0.02),"yes","no"))</f>
        <v>yes</v>
      </c>
    </row>
    <row r="710" customFormat="false" ht="15" hidden="false" customHeight="false" outlineLevel="0" collapsed="false">
      <c r="A710" s="9" t="n">
        <v>44811</v>
      </c>
      <c r="B710" s="10" t="n">
        <v>17624.4</v>
      </c>
      <c r="C710" s="11" t="n">
        <v>18.9179</v>
      </c>
      <c r="D710" s="11" t="n">
        <v>18.8096</v>
      </c>
      <c r="E710" s="11" t="n">
        <v>19.0262</v>
      </c>
      <c r="F710" s="12" t="n">
        <f aca="false">IF(C710="","",B710/C710)</f>
        <v>931.625603264633</v>
      </c>
      <c r="G710" s="12" t="n">
        <f aca="false">MEDIAN(F700:F720)</f>
        <v>936.05510538293</v>
      </c>
      <c r="H710" s="13" t="n">
        <f aca="false">B710/G710</f>
        <v>18.8283786912204</v>
      </c>
      <c r="I710" s="14" t="n">
        <f aca="false">B710/Summary!$C$8*100</f>
        <v>176.613121423776</v>
      </c>
      <c r="J710" s="14" t="n">
        <f aca="false">G710/Summary!$E$8*100</f>
        <v>159.088016466527</v>
      </c>
      <c r="K710" s="15" t="n">
        <f aca="false">Summary!$D$9</f>
        <v>16.9374488591431</v>
      </c>
      <c r="L710" s="16" t="str">
        <f aca="false">IF(OR(D710="",E710=""),"edge hidden",IF(AND(H710&gt;=D710-0.02,H710&lt;=E710+0.02),"yes","no"))</f>
        <v>yes</v>
      </c>
    </row>
    <row r="711" customFormat="false" ht="15" hidden="false" customHeight="false" outlineLevel="0" collapsed="false">
      <c r="A711" s="9" t="n">
        <v>44812</v>
      </c>
      <c r="B711" s="10" t="n">
        <v>17798.75</v>
      </c>
      <c r="C711" s="11" t="n">
        <v>18.9415</v>
      </c>
      <c r="D711" s="11" t="n">
        <v>18.8254</v>
      </c>
      <c r="E711" s="11" t="n">
        <v>19.0576</v>
      </c>
      <c r="F711" s="12" t="n">
        <f aca="false">IF(C711="","",B711/C711)</f>
        <v>939.669508750627</v>
      </c>
      <c r="G711" s="12" t="n">
        <f aca="false">MEDIAN(F701:F721)</f>
        <v>937.211282261497</v>
      </c>
      <c r="H711" s="13" t="n">
        <f aca="false">B711/G711</f>
        <v>18.9911819638486</v>
      </c>
      <c r="I711" s="14" t="n">
        <f aca="false">B711/Summary!$C$8*100</f>
        <v>178.360272970508</v>
      </c>
      <c r="J711" s="14" t="n">
        <f aca="false">G711/Summary!$E$8*100</f>
        <v>159.28451546027</v>
      </c>
      <c r="K711" s="15" t="n">
        <f aca="false">Summary!$D$9</f>
        <v>16.9374488591431</v>
      </c>
      <c r="L711" s="16" t="str">
        <f aca="false">IF(OR(D711="",E711=""),"edge hidden",IF(AND(H711&gt;=D711-0.02,H711&lt;=E711+0.02),"yes","no"))</f>
        <v>yes</v>
      </c>
    </row>
    <row r="712" customFormat="false" ht="15" hidden="false" customHeight="false" outlineLevel="0" collapsed="false">
      <c r="A712" s="9" t="n">
        <v>44813</v>
      </c>
      <c r="B712" s="10" t="n">
        <v>17833.35</v>
      </c>
      <c r="C712" s="11" t="n">
        <v>19.0281</v>
      </c>
      <c r="D712" s="11" t="n">
        <v>18.8411</v>
      </c>
      <c r="E712" s="11" t="n">
        <v>19.2151</v>
      </c>
      <c r="F712" s="12" t="n">
        <f aca="false">IF(C712="","",B712/C712)</f>
        <v>937.211282261497</v>
      </c>
      <c r="G712" s="12" t="n">
        <f aca="false">MEDIAN(F702:F722)</f>
        <v>939.669508750627</v>
      </c>
      <c r="H712" s="13" t="n">
        <f aca="false">B712/G712</f>
        <v>18.978321456563</v>
      </c>
      <c r="I712" s="14" t="n">
        <f aca="false">B712/Summary!$C$8*100</f>
        <v>178.706997625036</v>
      </c>
      <c r="J712" s="14" t="n">
        <f aca="false">G712/Summary!$E$8*100</f>
        <v>159.702305368078</v>
      </c>
      <c r="K712" s="15" t="n">
        <f aca="false">Summary!$D$9</f>
        <v>16.9374488591431</v>
      </c>
      <c r="L712" s="16" t="str">
        <f aca="false">IF(OR(D712="",E712=""),"edge hidden",IF(AND(H712&gt;=D712-0.02,H712&lt;=E712+0.02),"yes","no"))</f>
        <v>yes</v>
      </c>
    </row>
    <row r="713" customFormat="false" ht="15" hidden="false" customHeight="false" outlineLevel="0" collapsed="false">
      <c r="A713" s="9" t="n">
        <v>44816</v>
      </c>
      <c r="B713" s="10" t="n">
        <v>17936.35</v>
      </c>
      <c r="C713" s="11" t="n">
        <v>18.973</v>
      </c>
      <c r="D713" s="11" t="n">
        <v>18.6994</v>
      </c>
      <c r="E713" s="11" t="n">
        <v>19.2466</v>
      </c>
      <c r="F713" s="12" t="n">
        <f aca="false">IF(C713="","",B713/C713)</f>
        <v>945.361829968903</v>
      </c>
      <c r="G713" s="12" t="n">
        <f aca="false">MEDIAN(F703:F723)</f>
        <v>942.200507876435</v>
      </c>
      <c r="H713" s="13" t="n">
        <f aca="false">B713/G713</f>
        <v>19.0366592355438</v>
      </c>
      <c r="I713" s="14" t="n">
        <f aca="false">B713/Summary!$C$8*100</f>
        <v>179.739154833602</v>
      </c>
      <c r="J713" s="14" t="n">
        <f aca="false">G713/Summary!$E$8*100</f>
        <v>160.132463409296</v>
      </c>
      <c r="K713" s="15" t="n">
        <f aca="false">Summary!$D$9</f>
        <v>16.9374488591431</v>
      </c>
      <c r="L713" s="16" t="str">
        <f aca="false">IF(OR(D713="",E713=""),"edge hidden",IF(AND(H713&gt;=D713-0.02,H713&lt;=E713+0.02),"yes","no"))</f>
        <v>yes</v>
      </c>
    </row>
    <row r="714" customFormat="false" ht="15" hidden="false" customHeight="false" outlineLevel="0" collapsed="false">
      <c r="A714" s="9" t="n">
        <v>44817</v>
      </c>
      <c r="B714" s="10" t="n">
        <v>18070.05</v>
      </c>
      <c r="C714" s="11" t="n">
        <v>18.9454</v>
      </c>
      <c r="D714" s="11" t="n">
        <v>18.6521</v>
      </c>
      <c r="E714" s="11" t="n">
        <v>19.2388</v>
      </c>
      <c r="F714" s="12" t="n">
        <f aca="false">IF(C714="","",B714/C714)</f>
        <v>953.796172157885</v>
      </c>
      <c r="G714" s="12" t="n">
        <f aca="false">MEDIAN(F704:F724)</f>
        <v>942.23017121088</v>
      </c>
      <c r="H714" s="13" t="n">
        <f aca="false">B714/G714</f>
        <v>19.1779573103436</v>
      </c>
      <c r="I714" s="14" t="n">
        <f aca="false">B714/Summary!$C$8*100</f>
        <v>181.078955015983</v>
      </c>
      <c r="J714" s="14" t="n">
        <f aca="false">G714/Summary!$E$8*100</f>
        <v>160.137504865735</v>
      </c>
      <c r="K714" s="15" t="n">
        <f aca="false">Summary!$D$9</f>
        <v>16.9374488591431</v>
      </c>
      <c r="L714" s="16" t="str">
        <f aca="false">IF(OR(D714="",E714=""),"edge hidden",IF(AND(H714&gt;=D714-0.02,H714&lt;=E714+0.02),"yes","no"))</f>
        <v>yes</v>
      </c>
    </row>
    <row r="715" customFormat="false" ht="15" hidden="false" customHeight="false" outlineLevel="0" collapsed="false">
      <c r="A715" s="9" t="n">
        <v>44818</v>
      </c>
      <c r="B715" s="10" t="n">
        <v>18003.75</v>
      </c>
      <c r="C715" s="11" t="n">
        <v>18.9336</v>
      </c>
      <c r="D715" s="11" t="n">
        <v>18.6364</v>
      </c>
      <c r="E715" s="11" t="n">
        <v>19.2309</v>
      </c>
      <c r="F715" s="12" t="n">
        <f aca="false">IF(C715="","",B715/C715)</f>
        <v>950.888895931043</v>
      </c>
      <c r="G715" s="12" t="n">
        <f aca="false">MEDIAN(F705:F725)</f>
        <v>942.23017121088</v>
      </c>
      <c r="H715" s="13" t="n">
        <f aca="false">B715/G715</f>
        <v>19.1075923379348</v>
      </c>
      <c r="I715" s="14" t="n">
        <f aca="false">B715/Summary!$C$8*100</f>
        <v>180.414566443868</v>
      </c>
      <c r="J715" s="14" t="n">
        <f aca="false">G715/Summary!$E$8*100</f>
        <v>160.137504865735</v>
      </c>
      <c r="K715" s="15" t="n">
        <f aca="false">Summary!$D$9</f>
        <v>16.9374488591431</v>
      </c>
      <c r="L715" s="16" t="str">
        <f aca="false">IF(OR(D715="",E715=""),"edge hidden",IF(AND(H715&gt;=D715-0.02,H715&lt;=E715+0.02),"yes","no"))</f>
        <v>yes</v>
      </c>
    </row>
    <row r="716" customFormat="false" ht="15" hidden="false" customHeight="false" outlineLevel="0" collapsed="false">
      <c r="A716" s="9" t="n">
        <v>44819</v>
      </c>
      <c r="B716" s="10" t="n">
        <v>17877.4</v>
      </c>
      <c r="C716" s="11" t="n">
        <v>18.9258</v>
      </c>
      <c r="D716" s="11" t="n">
        <v>18.6364</v>
      </c>
      <c r="E716" s="11" t="n">
        <v>19.2151</v>
      </c>
      <c r="F716" s="12" t="n">
        <f aca="false">IF(C716="","",B716/C716)</f>
        <v>944.604719483457</v>
      </c>
      <c r="G716" s="12" t="n">
        <f aca="false">MEDIAN(F706:F726)</f>
        <v>942.200507876435</v>
      </c>
      <c r="H716" s="13" t="n">
        <f aca="false">B716/G716</f>
        <v>18.9740929351574</v>
      </c>
      <c r="I716" s="14" t="n">
        <f aca="false">B716/Summary!$C$8*100</f>
        <v>179.148420198214</v>
      </c>
      <c r="J716" s="14" t="n">
        <f aca="false">G716/Summary!$E$8*100</f>
        <v>160.132463409296</v>
      </c>
      <c r="K716" s="15" t="n">
        <f aca="false">Summary!$D$9</f>
        <v>16.9374488591431</v>
      </c>
      <c r="L716" s="16" t="str">
        <f aca="false">IF(OR(D716="",E716=""),"edge hidden",IF(AND(H716&gt;=D716-0.02,H716&lt;=E716+0.02),"yes","no"))</f>
        <v>yes</v>
      </c>
    </row>
    <row r="717" customFormat="false" ht="15" hidden="false" customHeight="false" outlineLevel="0" collapsed="false">
      <c r="A717" s="9" t="n">
        <v>44820</v>
      </c>
      <c r="B717" s="10" t="n">
        <v>17530.85</v>
      </c>
      <c r="C717" s="11" t="n">
        <v>18.8982</v>
      </c>
      <c r="D717" s="11" t="n">
        <v>18.6364</v>
      </c>
      <c r="E717" s="11" t="n">
        <v>19.16</v>
      </c>
      <c r="F717" s="12" t="n">
        <f aca="false">IF(C717="","",B717/C717)</f>
        <v>927.64654834852</v>
      </c>
      <c r="G717" s="12" t="n">
        <f aca="false">MEDIAN(F707:F727)</f>
        <v>942.23017121088</v>
      </c>
      <c r="H717" s="13" t="n">
        <f aca="false">B717/G717</f>
        <v>18.605697987224</v>
      </c>
      <c r="I717" s="14" t="n">
        <f aca="false">B717/Summary!$C$8*100</f>
        <v>175.67566213386</v>
      </c>
      <c r="J717" s="14" t="n">
        <f aca="false">G717/Summary!$E$8*100</f>
        <v>160.137504865735</v>
      </c>
      <c r="K717" s="15" t="n">
        <f aca="false">Summary!$D$9</f>
        <v>16.9374488591431</v>
      </c>
      <c r="L717" s="16" t="str">
        <f aca="false">IF(OR(D717="",E717=""),"edge hidden",IF(AND(H717&gt;=D717-0.02,H717&lt;=E717+0.02),"yes","no"))</f>
        <v>no</v>
      </c>
    </row>
    <row r="718" customFormat="false" ht="15" hidden="false" customHeight="false" outlineLevel="0" collapsed="false">
      <c r="A718" s="9" t="n">
        <v>44823</v>
      </c>
      <c r="B718" s="10" t="n">
        <v>17622.25</v>
      </c>
      <c r="C718" s="11" t="n">
        <v>18.6935</v>
      </c>
      <c r="D718" s="11" t="n">
        <v>18.4632</v>
      </c>
      <c r="E718" s="11" t="n">
        <v>18.9238</v>
      </c>
      <c r="F718" s="12" t="n">
        <f aca="false">IF(C718="","",B718/C718)</f>
        <v>942.693984540081</v>
      </c>
      <c r="G718" s="12" t="n">
        <f aca="false">MEDIAN(F708:F728)</f>
        <v>942.23017121088</v>
      </c>
      <c r="H718" s="13" t="n">
        <f aca="false">B718/G718</f>
        <v>18.7027018858389</v>
      </c>
      <c r="I718" s="14" t="n">
        <f aca="false">B718/Summary!$C$8*100</f>
        <v>176.591576394665</v>
      </c>
      <c r="J718" s="14" t="n">
        <f aca="false">G718/Summary!$E$8*100</f>
        <v>160.137504865735</v>
      </c>
      <c r="K718" s="15" t="n">
        <f aca="false">Summary!$D$9</f>
        <v>16.9374488591431</v>
      </c>
      <c r="L718" s="16" t="str">
        <f aca="false">IF(OR(D718="",E718=""),"edge hidden",IF(AND(H718&gt;=D718-0.02,H718&lt;=E718+0.02),"yes","no"))</f>
        <v>yes</v>
      </c>
    </row>
    <row r="719" customFormat="false" ht="15" hidden="false" customHeight="false" outlineLevel="0" collapsed="false">
      <c r="A719" s="9" t="n">
        <v>44824</v>
      </c>
      <c r="B719" s="10" t="n">
        <v>17816.25</v>
      </c>
      <c r="C719" s="11" t="n">
        <v>18.6423</v>
      </c>
      <c r="D719" s="11" t="n">
        <v>18.3765</v>
      </c>
      <c r="E719" s="11" t="n">
        <v>18.908</v>
      </c>
      <c r="F719" s="12" t="n">
        <f aca="false">IF(C719="","",B719/C719)</f>
        <v>955.689480375276</v>
      </c>
      <c r="G719" s="12" t="n">
        <f aca="false">MEDIAN(F709:F729)</f>
        <v>942.353084586487</v>
      </c>
      <c r="H719" s="13" t="n">
        <f aca="false">B719/G719</f>
        <v>18.9061300816115</v>
      </c>
      <c r="I719" s="14" t="n">
        <f aca="false">B719/Summary!$C$8*100</f>
        <v>178.535639486527</v>
      </c>
      <c r="J719" s="14" t="n">
        <f aca="false">G719/Summary!$E$8*100</f>
        <v>160.158394709731</v>
      </c>
      <c r="K719" s="15" t="n">
        <f aca="false">Summary!$D$9</f>
        <v>16.9374488591431</v>
      </c>
      <c r="L719" s="16" t="str">
        <f aca="false">IF(OR(D719="",E719=""),"edge hidden",IF(AND(H719&gt;=D719-0.02,H719&lt;=E719+0.02),"yes","no"))</f>
        <v>yes</v>
      </c>
    </row>
    <row r="720" customFormat="false" ht="15" hidden="false" customHeight="false" outlineLevel="0" collapsed="false">
      <c r="A720" s="9" t="n">
        <v>44825</v>
      </c>
      <c r="B720" s="10" t="n">
        <v>17718.35</v>
      </c>
      <c r="C720" s="11" t="n">
        <v>18.6305</v>
      </c>
      <c r="D720" s="11" t="n">
        <v>18.3529</v>
      </c>
      <c r="E720" s="11" t="n">
        <v>18.908</v>
      </c>
      <c r="F720" s="12" t="n">
        <f aca="false">IF(C720="","",B720/C720)</f>
        <v>951.039961353694</v>
      </c>
      <c r="G720" s="12" t="n">
        <f aca="false">MEDIAN(F710:F730)</f>
        <v>942.693984540081</v>
      </c>
      <c r="H720" s="13" t="n">
        <f aca="false">B720/G720</f>
        <v>18.7954418831307</v>
      </c>
      <c r="I720" s="14" t="n">
        <f aca="false">B720/Summary!$C$8*100</f>
        <v>177.554589091201</v>
      </c>
      <c r="J720" s="14" t="n">
        <f aca="false">G720/Summary!$E$8*100</f>
        <v>160.216332642144</v>
      </c>
      <c r="K720" s="15" t="n">
        <f aca="false">Summary!$D$9</f>
        <v>16.9374488591431</v>
      </c>
      <c r="L720" s="16" t="str">
        <f aca="false">IF(OR(D720="",E720=""),"edge hidden",IF(AND(H720&gt;=D720-0.02,H720&lt;=E720+0.02),"yes","no"))</f>
        <v>yes</v>
      </c>
    </row>
    <row r="721" customFormat="false" ht="15" hidden="false" customHeight="false" outlineLevel="0" collapsed="false">
      <c r="A721" s="9" t="n">
        <v>44826</v>
      </c>
      <c r="B721" s="10" t="n">
        <v>17629.8</v>
      </c>
      <c r="C721" s="11" t="n">
        <v>18.5596</v>
      </c>
      <c r="D721" s="11" t="n">
        <v>18.2191</v>
      </c>
      <c r="E721" s="11" t="n">
        <v>18.9002</v>
      </c>
      <c r="F721" s="12" t="n">
        <f aca="false">IF(C721="","",B721/C721)</f>
        <v>949.901937541757</v>
      </c>
      <c r="G721" s="12" t="n">
        <f aca="false">MEDIAN(F711:F731)</f>
        <v>944.604719483457</v>
      </c>
      <c r="H721" s="13" t="n">
        <f aca="false">B721/G721</f>
        <v>18.6636797767013</v>
      </c>
      <c r="I721" s="14" t="n">
        <f aca="false">B721/Summary!$C$8*100</f>
        <v>176.667234520147</v>
      </c>
      <c r="J721" s="14" t="n">
        <f aca="false">G721/Summary!$E$8*100</f>
        <v>160.541073173323</v>
      </c>
      <c r="K721" s="15" t="n">
        <f aca="false">Summary!$D$9</f>
        <v>16.9374488591431</v>
      </c>
      <c r="L721" s="16" t="str">
        <f aca="false">IF(OR(D721="",E721=""),"edge hidden",IF(AND(H721&gt;=D721-0.02,H721&lt;=E721+0.02),"yes","no"))</f>
        <v>yes</v>
      </c>
    </row>
    <row r="722" customFormat="false" ht="15" hidden="false" customHeight="false" outlineLevel="0" collapsed="false">
      <c r="A722" s="9" t="n">
        <v>44827</v>
      </c>
      <c r="B722" s="10" t="n">
        <v>17327.35</v>
      </c>
      <c r="C722" s="11" t="n">
        <v>18.3903</v>
      </c>
      <c r="D722" s="11" t="n">
        <v>17.9907</v>
      </c>
      <c r="E722" s="11" t="n">
        <v>18.7899</v>
      </c>
      <c r="F722" s="12" t="n">
        <f aca="false">IF(C722="","",B722/C722)</f>
        <v>942.200507876435</v>
      </c>
      <c r="G722" s="12" t="n">
        <f aca="false">MEDIAN(F712:F732)</f>
        <v>944.604719483457</v>
      </c>
      <c r="H722" s="13" t="n">
        <f aca="false">B722/G722</f>
        <v>18.3434929368924</v>
      </c>
      <c r="I722" s="14" t="n">
        <f aca="false">B722/Summary!$C$8*100</f>
        <v>173.636400076159</v>
      </c>
      <c r="J722" s="14" t="n">
        <f aca="false">G722/Summary!$E$8*100</f>
        <v>160.541073173323</v>
      </c>
      <c r="K722" s="15" t="n">
        <f aca="false">Summary!$D$9</f>
        <v>16.9374488591431</v>
      </c>
      <c r="L722" s="16" t="str">
        <f aca="false">IF(OR(D722="",E722=""),"edge hidden",IF(AND(H722&gt;=D722-0.02,H722&lt;=E722+0.02),"yes","no"))</f>
        <v>yes</v>
      </c>
    </row>
    <row r="723" customFormat="false" ht="15" hidden="false" customHeight="false" outlineLevel="0" collapsed="false">
      <c r="A723" s="9" t="n">
        <v>44830</v>
      </c>
      <c r="B723" s="10" t="n">
        <v>17016.3</v>
      </c>
      <c r="C723" s="11" t="n">
        <v>18.0596</v>
      </c>
      <c r="D723" s="11" t="n">
        <v>17.786</v>
      </c>
      <c r="E723" s="11" t="n">
        <v>18.3332</v>
      </c>
      <c r="F723" s="12" t="n">
        <f aca="false">IF(C723="","",B723/C723)</f>
        <v>942.23017121088</v>
      </c>
      <c r="G723" s="12" t="n">
        <f aca="false">MEDIAN(F713:F733)</f>
        <v>944.604719483457</v>
      </c>
      <c r="H723" s="13" t="n">
        <f aca="false">B723/G723</f>
        <v>18.0142017597637</v>
      </c>
      <c r="I723" s="14" t="n">
        <f aca="false">B723/Summary!$C$8*100</f>
        <v>170.519385515728</v>
      </c>
      <c r="J723" s="14" t="n">
        <f aca="false">G723/Summary!$E$8*100</f>
        <v>160.541073173323</v>
      </c>
      <c r="K723" s="15" t="n">
        <f aca="false">Summary!$D$9</f>
        <v>16.9374488591431</v>
      </c>
      <c r="L723" s="16" t="str">
        <f aca="false">IF(OR(D723="",E723=""),"edge hidden",IF(AND(H723&gt;=D723-0.02,H723&lt;=E723+0.02),"yes","no"))</f>
        <v>yes</v>
      </c>
    </row>
    <row r="724" customFormat="false" ht="15" hidden="false" customHeight="false" outlineLevel="0" collapsed="false">
      <c r="A724" s="9" t="n">
        <v>44831</v>
      </c>
      <c r="B724" s="10" t="n">
        <v>17007.4</v>
      </c>
      <c r="C724" s="11" t="n">
        <v>18.0478</v>
      </c>
      <c r="D724" s="11" t="n">
        <v>17.7781</v>
      </c>
      <c r="E724" s="11" t="n">
        <v>18.3175</v>
      </c>
      <c r="F724" s="12" t="n">
        <f aca="false">IF(C724="","",B724/C724)</f>
        <v>942.353084586487</v>
      </c>
      <c r="G724" s="12" t="n">
        <f aca="false">MEDIAN(F714:F734)</f>
        <v>942.749343832021</v>
      </c>
      <c r="H724" s="13" t="n">
        <f aca="false">B724/G724</f>
        <v>18.0402140943101</v>
      </c>
      <c r="I724" s="14" t="n">
        <f aca="false">B724/Summary!$C$8*100</f>
        <v>170.430199116153</v>
      </c>
      <c r="J724" s="14" t="n">
        <f aca="false">G724/Summary!$E$8*100</f>
        <v>160.225741276205</v>
      </c>
      <c r="K724" s="15" t="n">
        <f aca="false">Summary!$D$9</f>
        <v>16.9374488591431</v>
      </c>
      <c r="L724" s="16" t="str">
        <f aca="false">IF(OR(D724="",E724=""),"edge hidden",IF(AND(H724&gt;=D724-0.02,H724&lt;=E724+0.02),"yes","no"))</f>
        <v>yes</v>
      </c>
    </row>
    <row r="725" customFormat="false" ht="15" hidden="false" customHeight="false" outlineLevel="0" collapsed="false">
      <c r="A725" s="9" t="n">
        <v>44832</v>
      </c>
      <c r="B725" s="10" t="n">
        <v>16858.6</v>
      </c>
      <c r="C725" s="11" t="n">
        <v>18.0163</v>
      </c>
      <c r="D725" s="11" t="n">
        <v>17.7702</v>
      </c>
      <c r="E725" s="11" t="n">
        <v>18.2624</v>
      </c>
      <c r="F725" s="12" t="n">
        <f aca="false">IF(C725="","",B725/C725)</f>
        <v>935.741522954214</v>
      </c>
      <c r="G725" s="12" t="n">
        <f aca="false">MEDIAN(F715:F735)</f>
        <v>942.693984540081</v>
      </c>
      <c r="H725" s="13" t="n">
        <f aca="false">B725/G725</f>
        <v>17.8834280015322</v>
      </c>
      <c r="I725" s="14" t="n">
        <f aca="false">B725/Summary!$C$8*100</f>
        <v>168.939082682807</v>
      </c>
      <c r="J725" s="14" t="n">
        <f aca="false">G725/Summary!$E$8*100</f>
        <v>160.216332642144</v>
      </c>
      <c r="K725" s="15" t="n">
        <f aca="false">Summary!$D$9</f>
        <v>16.9374488591431</v>
      </c>
      <c r="L725" s="16" t="str">
        <f aca="false">IF(OR(D725="",E725=""),"edge hidden",IF(AND(H725&gt;=D725-0.02,H725&lt;=E725+0.02),"yes","no"))</f>
        <v>yes</v>
      </c>
    </row>
    <row r="726" customFormat="false" ht="15" hidden="false" customHeight="false" outlineLevel="0" collapsed="false">
      <c r="A726" s="9" t="n">
        <v>44833</v>
      </c>
      <c r="B726" s="10" t="n">
        <v>16818.1</v>
      </c>
      <c r="C726" s="11" t="n">
        <v>18.0242</v>
      </c>
      <c r="D726" s="11" t="n">
        <v>17.7702</v>
      </c>
      <c r="E726" s="11" t="n">
        <v>18.2781</v>
      </c>
      <c r="F726" s="12" t="n">
        <f aca="false">IF(C726="","",B726/C726)</f>
        <v>933.084408739361</v>
      </c>
      <c r="G726" s="12" t="n">
        <f aca="false">MEDIAN(F716:F736)</f>
        <v>942.353084586487</v>
      </c>
      <c r="H726" s="13" t="n">
        <f aca="false">B726/G726</f>
        <v>17.8469198807578</v>
      </c>
      <c r="I726" s="14" t="n">
        <f aca="false">B726/Summary!$C$8*100</f>
        <v>168.533234460021</v>
      </c>
      <c r="J726" s="14" t="n">
        <f aca="false">G726/Summary!$E$8*100</f>
        <v>160.158394709731</v>
      </c>
      <c r="K726" s="15" t="n">
        <f aca="false">Summary!$D$9</f>
        <v>16.9374488591431</v>
      </c>
      <c r="L726" s="16" t="str">
        <f aca="false">IF(OR(D726="",E726=""),"edge hidden",IF(AND(H726&gt;=D726-0.02,H726&lt;=E726+0.02),"yes","no"))</f>
        <v>yes</v>
      </c>
    </row>
    <row r="727" customFormat="false" ht="15" hidden="false" customHeight="false" outlineLevel="0" collapsed="false">
      <c r="A727" s="9" t="n">
        <v>44834</v>
      </c>
      <c r="B727" s="10" t="n">
        <v>17094.35</v>
      </c>
      <c r="C727" s="11" t="n">
        <v>18.0557</v>
      </c>
      <c r="D727" s="11" t="n">
        <v>17.7781</v>
      </c>
      <c r="E727" s="11" t="n">
        <v>18.3332</v>
      </c>
      <c r="F727" s="12" t="n">
        <f aca="false">IF(C727="","",B727/C727)</f>
        <v>946.756425948592</v>
      </c>
      <c r="G727" s="12" t="n">
        <f aca="false">MEDIAN(F717:F737)</f>
        <v>942.23017121088</v>
      </c>
      <c r="H727" s="13" t="n">
        <f aca="false">B727/G727</f>
        <v>18.142435386071</v>
      </c>
      <c r="I727" s="14" t="n">
        <f aca="false">B727/Summary!$C$8*100</f>
        <v>171.30152017717</v>
      </c>
      <c r="J727" s="14" t="n">
        <f aca="false">G727/Summary!$E$8*100</f>
        <v>160.137504865735</v>
      </c>
      <c r="K727" s="15" t="n">
        <f aca="false">Summary!$D$9</f>
        <v>16.9374488591431</v>
      </c>
      <c r="L727" s="16" t="str">
        <f aca="false">IF(OR(D727="",E727=""),"edge hidden",IF(AND(H727&gt;=D727-0.02,H727&lt;=E727+0.02),"yes","no"))</f>
        <v>yes</v>
      </c>
    </row>
    <row r="728" customFormat="false" ht="15" hidden="false" customHeight="false" outlineLevel="0" collapsed="false">
      <c r="A728" s="9" t="n">
        <v>44837</v>
      </c>
      <c r="B728" s="10" t="n">
        <v>16887.35</v>
      </c>
      <c r="C728" s="11" t="n">
        <v>18.2289</v>
      </c>
      <c r="D728" s="11" t="n">
        <v>18.0065</v>
      </c>
      <c r="E728" s="11" t="n">
        <v>18.4514</v>
      </c>
      <c r="F728" s="12" t="n">
        <f aca="false">IF(C728="","",B728/C728)</f>
        <v>926.405323415017</v>
      </c>
      <c r="G728" s="12" t="n">
        <f aca="false">MEDIAN(F718:F738)</f>
        <v>942.353084586487</v>
      </c>
      <c r="H728" s="13" t="n">
        <f aca="false">B728/G728</f>
        <v>17.9204061367405</v>
      </c>
      <c r="I728" s="14" t="n">
        <f aca="false">B728/Summary!$C$8*100</f>
        <v>169.227184816266</v>
      </c>
      <c r="J728" s="14" t="n">
        <f aca="false">G728/Summary!$E$8*100</f>
        <v>160.158394709731</v>
      </c>
      <c r="K728" s="15" t="n">
        <f aca="false">Summary!$D$9</f>
        <v>16.9374488591431</v>
      </c>
      <c r="L728" s="16" t="str">
        <f aca="false">IF(OR(D728="",E728=""),"edge hidden",IF(AND(H728&gt;=D728-0.02,H728&lt;=E728+0.02),"yes","no"))</f>
        <v>no</v>
      </c>
    </row>
    <row r="729" customFormat="false" ht="15" hidden="false" customHeight="false" outlineLevel="0" collapsed="false">
      <c r="A729" s="9" t="n">
        <v>44838</v>
      </c>
      <c r="B729" s="10" t="n">
        <v>17274.3</v>
      </c>
      <c r="C729" s="11" t="n">
        <v>18.2447</v>
      </c>
      <c r="D729" s="11" t="n">
        <v>18.0222</v>
      </c>
      <c r="E729" s="11" t="n">
        <v>18.4671</v>
      </c>
      <c r="F729" s="12" t="n">
        <f aca="false">IF(C729="","",B729/C729)</f>
        <v>946.811950867923</v>
      </c>
      <c r="G729" s="12" t="n">
        <f aca="false">MEDIAN(F719:F739)</f>
        <v>942.353084586487</v>
      </c>
      <c r="H729" s="13" t="n">
        <f aca="false">B729/G729</f>
        <v>18.3310271728777</v>
      </c>
      <c r="I729" s="14" t="n">
        <f aca="false">B729/Summary!$C$8*100</f>
        <v>173.104789009029</v>
      </c>
      <c r="J729" s="14" t="n">
        <f aca="false">G729/Summary!$E$8*100</f>
        <v>160.158394709731</v>
      </c>
      <c r="K729" s="15" t="n">
        <f aca="false">Summary!$D$9</f>
        <v>16.9374488591431</v>
      </c>
      <c r="L729" s="16" t="str">
        <f aca="false">IF(OR(D729="",E729=""),"edge hidden",IF(AND(H729&gt;=D729-0.02,H729&lt;=E729+0.02),"yes","no"))</f>
        <v>yes</v>
      </c>
    </row>
    <row r="730" customFormat="false" ht="15" hidden="false" customHeight="false" outlineLevel="0" collapsed="false">
      <c r="A730" s="9" t="n">
        <v>44840</v>
      </c>
      <c r="B730" s="10" t="n">
        <v>17331.8</v>
      </c>
      <c r="C730" s="11" t="n">
        <v>18.2958</v>
      </c>
      <c r="D730" s="11" t="n">
        <v>18.1246</v>
      </c>
      <c r="E730" s="11" t="n">
        <v>18.4671</v>
      </c>
      <c r="F730" s="12" t="n">
        <f aca="false">IF(C730="","",B730/C730)</f>
        <v>947.310311656227</v>
      </c>
      <c r="G730" s="12" t="n">
        <f aca="false">MEDIAN(F720:F740)</f>
        <v>942.23017121088</v>
      </c>
      <c r="H730" s="13" t="n">
        <f aca="false">B730/G730</f>
        <v>18.3944438732274</v>
      </c>
      <c r="I730" s="14" t="n">
        <f aca="false">B730/Summary!$C$8*100</f>
        <v>173.680993275947</v>
      </c>
      <c r="J730" s="14" t="n">
        <f aca="false">G730/Summary!$E$8*100</f>
        <v>160.137504865735</v>
      </c>
      <c r="K730" s="15" t="n">
        <f aca="false">Summary!$D$9</f>
        <v>16.9374488591431</v>
      </c>
      <c r="L730" s="16" t="str">
        <f aca="false">IF(OR(D730="",E730=""),"edge hidden",IF(AND(H730&gt;=D730-0.02,H730&lt;=E730+0.02),"yes","no"))</f>
        <v>yes</v>
      </c>
    </row>
    <row r="731" customFormat="false" ht="15" hidden="false" customHeight="false" outlineLevel="0" collapsed="false">
      <c r="A731" s="9" t="n">
        <v>44841</v>
      </c>
      <c r="B731" s="10" t="n">
        <v>17314.65</v>
      </c>
      <c r="C731" s="11" t="n">
        <v>18.2998</v>
      </c>
      <c r="D731" s="11" t="n">
        <v>18.1403</v>
      </c>
      <c r="E731" s="11" t="n">
        <v>18.4592</v>
      </c>
      <c r="F731" s="12" t="n">
        <f aca="false">IF(C731="","",B731/C731)</f>
        <v>946.166078317796</v>
      </c>
      <c r="G731" s="12" t="n">
        <f aca="false">MEDIAN(F721:F741)</f>
        <v>942.200507876435</v>
      </c>
      <c r="H731" s="13" t="n">
        <f aca="false">B731/G731</f>
        <v>18.3768209157777</v>
      </c>
      <c r="I731" s="14" t="n">
        <f aca="false">B731/Summary!$C$8*100</f>
        <v>173.509134090249</v>
      </c>
      <c r="J731" s="14" t="n">
        <f aca="false">G731/Summary!$E$8*100</f>
        <v>160.132463409296</v>
      </c>
      <c r="K731" s="15" t="n">
        <f aca="false">Summary!$D$9</f>
        <v>16.9374488591431</v>
      </c>
      <c r="L731" s="16" t="str">
        <f aca="false">IF(OR(D731="",E731=""),"edge hidden",IF(AND(H731&gt;=D731-0.02,H731&lt;=E731+0.02),"yes","no"))</f>
        <v>yes</v>
      </c>
    </row>
    <row r="732" customFormat="false" ht="15" hidden="false" customHeight="false" outlineLevel="0" collapsed="false">
      <c r="A732" s="9" t="n">
        <v>44844</v>
      </c>
      <c r="B732" s="10" t="n">
        <v>17241</v>
      </c>
      <c r="C732" s="11" t="n">
        <v>18.288</v>
      </c>
      <c r="D732" s="11" t="n">
        <v>18.1403</v>
      </c>
      <c r="E732" s="11" t="n">
        <v>18.4356</v>
      </c>
      <c r="F732" s="12" t="n">
        <f aca="false">IF(C732="","",B732/C732)</f>
        <v>942.749343832021</v>
      </c>
      <c r="G732" s="12" t="n">
        <f aca="false">MEDIAN(F722:F742)</f>
        <v>937.71041015316</v>
      </c>
      <c r="H732" s="13" t="n">
        <f aca="false">B732/G732</f>
        <v>18.3862734308175</v>
      </c>
      <c r="I732" s="14" t="n">
        <f aca="false">B732/Summary!$C$8*100</f>
        <v>172.771091581405</v>
      </c>
      <c r="J732" s="14" t="n">
        <f aca="false">G732/Summary!$E$8*100</f>
        <v>159.369345152231</v>
      </c>
      <c r="K732" s="15" t="n">
        <f aca="false">Summary!$D$9</f>
        <v>16.9374488591431</v>
      </c>
      <c r="L732" s="16" t="str">
        <f aca="false">IF(OR(D732="",E732=""),"edge hidden",IF(AND(H732&gt;=D732-0.02,H732&lt;=E732+0.02),"yes","no"))</f>
        <v>yes</v>
      </c>
    </row>
    <row r="733" customFormat="false" ht="15" hidden="false" customHeight="false" outlineLevel="0" collapsed="false">
      <c r="A733" s="9" t="n">
        <v>44845</v>
      </c>
      <c r="B733" s="10" t="n">
        <v>16983.55</v>
      </c>
      <c r="C733" s="11" t="n">
        <v>18.284</v>
      </c>
      <c r="D733" s="11" t="n">
        <v>18.1403</v>
      </c>
      <c r="E733" s="11" t="n">
        <v>18.4277</v>
      </c>
      <c r="F733" s="12" t="n">
        <f aca="false">IF(C733="","",B733/C733)</f>
        <v>928.874972653686</v>
      </c>
      <c r="G733" s="12" t="n">
        <f aca="false">MEDIAN(F723:F743)</f>
        <v>936.534675125793</v>
      </c>
      <c r="H733" s="13" t="n">
        <f aca="false">B733/G733</f>
        <v>18.1344593543414</v>
      </c>
      <c r="I733" s="14" t="n">
        <f aca="false">B733/Summary!$C$8*100</f>
        <v>170.191199607179</v>
      </c>
      <c r="J733" s="14" t="n">
        <f aca="false">G733/Summary!$E$8*100</f>
        <v>159.169522137198</v>
      </c>
      <c r="K733" s="15" t="n">
        <f aca="false">Summary!$D$9</f>
        <v>16.9374488591431</v>
      </c>
      <c r="L733" s="16" t="str">
        <f aca="false">IF(OR(D733="",E733=""),"edge hidden",IF(AND(H733&gt;=D733-0.02,H733&lt;=E733+0.02),"yes","no"))</f>
        <v>yes</v>
      </c>
    </row>
    <row r="734" customFormat="false" ht="15" hidden="false" customHeight="false" outlineLevel="0" collapsed="false">
      <c r="A734" s="9" t="n">
        <v>44846</v>
      </c>
      <c r="B734" s="10" t="n">
        <v>17123.6</v>
      </c>
      <c r="C734" s="11" t="n">
        <v>18.284</v>
      </c>
      <c r="D734" s="11" t="n">
        <v>18.1403</v>
      </c>
      <c r="E734" s="11" t="n">
        <v>18.4277</v>
      </c>
      <c r="F734" s="12" t="n">
        <f aca="false">IF(C734="","",B734/C734)</f>
        <v>936.534675125793</v>
      </c>
      <c r="G734" s="12" t="n">
        <f aca="false">MEDIAN(F724:F744)</f>
        <v>936.470084928381</v>
      </c>
      <c r="H734" s="13" t="n">
        <f aca="false">B734/G734</f>
        <v>18.2852610837105</v>
      </c>
      <c r="I734" s="14" t="n">
        <f aca="false">B734/Summary!$C$8*100</f>
        <v>171.594632782515</v>
      </c>
      <c r="J734" s="14" t="n">
        <f aca="false">G734/Summary!$E$8*100</f>
        <v>159.158544656994</v>
      </c>
      <c r="K734" s="15" t="n">
        <f aca="false">Summary!$D$9</f>
        <v>16.9374488591431</v>
      </c>
      <c r="L734" s="16" t="str">
        <f aca="false">IF(OR(D734="",E734=""),"edge hidden",IF(AND(H734&gt;=D734-0.02,H734&lt;=E734+0.02),"yes","no"))</f>
        <v>yes</v>
      </c>
    </row>
    <row r="735" customFormat="false" ht="15" hidden="false" customHeight="false" outlineLevel="0" collapsed="false">
      <c r="A735" s="9" t="n">
        <v>44847</v>
      </c>
      <c r="B735" s="10" t="n">
        <v>17014.35</v>
      </c>
      <c r="C735" s="11" t="n">
        <v>18.288</v>
      </c>
      <c r="D735" s="11" t="n">
        <v>18.1403</v>
      </c>
      <c r="E735" s="11" t="n">
        <v>18.4356</v>
      </c>
      <c r="F735" s="12" t="n">
        <f aca="false">IF(C735="","",B735/C735)</f>
        <v>930.355971128609</v>
      </c>
      <c r="G735" s="12" t="n">
        <f aca="false">MEDIAN(F725:F745)</f>
        <v>935.944984483635</v>
      </c>
      <c r="H735" s="13" t="n">
        <f aca="false">B735/G735</f>
        <v>18.1787928586282</v>
      </c>
      <c r="I735" s="14" t="n">
        <f aca="false">B735/Summary!$C$8*100</f>
        <v>170.499844675372</v>
      </c>
      <c r="J735" s="14" t="n">
        <f aca="false">G735/Summary!$E$8*100</f>
        <v>159.069300778381</v>
      </c>
      <c r="K735" s="15" t="n">
        <f aca="false">Summary!$D$9</f>
        <v>16.9374488591431</v>
      </c>
      <c r="L735" s="16" t="str">
        <f aca="false">IF(OR(D735="",E735=""),"edge hidden",IF(AND(H735&gt;=D735-0.02,H735&lt;=E735+0.02),"yes","no"))</f>
        <v>yes</v>
      </c>
    </row>
    <row r="736" customFormat="false" ht="15" hidden="false" customHeight="false" outlineLevel="0" collapsed="false">
      <c r="A736" s="9" t="n">
        <v>44848</v>
      </c>
      <c r="B736" s="10" t="n">
        <v>17185.7</v>
      </c>
      <c r="C736" s="11" t="n">
        <v>18.3273</v>
      </c>
      <c r="D736" s="11" t="n">
        <v>18.1482</v>
      </c>
      <c r="E736" s="11" t="n">
        <v>18.5065</v>
      </c>
      <c r="F736" s="12" t="n">
        <f aca="false">IF(C736="","",B736/C736)</f>
        <v>937.71041015316</v>
      </c>
      <c r="G736" s="12" t="n">
        <f aca="false">MEDIAN(F726:F746)</f>
        <v>935.944984483635</v>
      </c>
      <c r="H736" s="13" t="n">
        <f aca="false">B736/G736</f>
        <v>18.3618698587091</v>
      </c>
      <c r="I736" s="14" t="n">
        <f aca="false">B736/Summary!$C$8*100</f>
        <v>172.216933390787</v>
      </c>
      <c r="J736" s="14" t="n">
        <f aca="false">G736/Summary!$E$8*100</f>
        <v>159.069300778381</v>
      </c>
      <c r="K736" s="15" t="n">
        <f aca="false">Summary!$D$9</f>
        <v>16.9374488591431</v>
      </c>
      <c r="L736" s="16" t="str">
        <f aca="false">IF(OR(D736="",E736=""),"edge hidden",IF(AND(H736&gt;=D736-0.02,H736&lt;=E736+0.02),"yes","no"))</f>
        <v>yes</v>
      </c>
    </row>
    <row r="737" customFormat="false" ht="15" hidden="false" customHeight="false" outlineLevel="0" collapsed="false">
      <c r="A737" s="9" t="n">
        <v>44851</v>
      </c>
      <c r="B737" s="10" t="n">
        <v>17311.8</v>
      </c>
      <c r="C737" s="11" t="n">
        <v>18.4966</v>
      </c>
      <c r="D737" s="11" t="n">
        <v>18.2978</v>
      </c>
      <c r="E737" s="11" t="n">
        <v>18.6954</v>
      </c>
      <c r="F737" s="12" t="n">
        <f aca="false">IF(C737="","",B737/C737)</f>
        <v>935.944984483635</v>
      </c>
      <c r="G737" s="12" t="n">
        <f aca="false">MEDIAN(F727:F747)</f>
        <v>935.944984483635</v>
      </c>
      <c r="H737" s="13" t="n">
        <f aca="false">B737/G737</f>
        <v>18.4966</v>
      </c>
      <c r="I737" s="14" t="n">
        <f aca="false">B737/Summary!$C$8*100</f>
        <v>173.480574400497</v>
      </c>
      <c r="J737" s="14" t="n">
        <f aca="false">G737/Summary!$E$8*100</f>
        <v>159.069300778381</v>
      </c>
      <c r="K737" s="15" t="n">
        <f aca="false">Summary!$D$9</f>
        <v>16.9374488591431</v>
      </c>
      <c r="L737" s="16" t="str">
        <f aca="false">IF(OR(D737="",E737=""),"edge hidden",IF(AND(H737&gt;=D737-0.02,H737&lt;=E737+0.02),"yes","no"))</f>
        <v>yes</v>
      </c>
    </row>
    <row r="738" customFormat="false" ht="15" hidden="false" customHeight="false" outlineLevel="0" collapsed="false">
      <c r="A738" s="9" t="n">
        <v>44852</v>
      </c>
      <c r="B738" s="10" t="n">
        <v>17486.95</v>
      </c>
      <c r="C738" s="11" t="n">
        <v>18.5163</v>
      </c>
      <c r="D738" s="11" t="n">
        <v>18.3293</v>
      </c>
      <c r="E738" s="11" t="n">
        <v>18.7033</v>
      </c>
      <c r="F738" s="12" t="n">
        <f aca="false">IF(C738="","",B738/C738)</f>
        <v>944.408440131128</v>
      </c>
      <c r="G738" s="12" t="n">
        <f aca="false">MEDIAN(F728:F748)</f>
        <v>935.035890776612</v>
      </c>
      <c r="H738" s="13" t="n">
        <f aca="false">B738/G738</f>
        <v>18.7019024322969</v>
      </c>
      <c r="I738" s="14" t="n">
        <f aca="false">B738/Summary!$C$8*100</f>
        <v>175.235742702248</v>
      </c>
      <c r="J738" s="14" t="n">
        <f aca="false">G738/Summary!$E$8*100</f>
        <v>158.914795008581</v>
      </c>
      <c r="K738" s="15" t="n">
        <f aca="false">Summary!$D$9</f>
        <v>16.9374488591431</v>
      </c>
      <c r="L738" s="16" t="str">
        <f aca="false">IF(OR(D738="",E738=""),"edge hidden",IF(AND(H738&gt;=D738-0.02,H738&lt;=E738+0.02),"yes","no"))</f>
        <v>yes</v>
      </c>
    </row>
    <row r="739" customFormat="false" ht="15" hidden="false" customHeight="false" outlineLevel="0" collapsed="false">
      <c r="A739" s="9" t="n">
        <v>44853</v>
      </c>
      <c r="B739" s="10" t="n">
        <v>17512.25</v>
      </c>
      <c r="C739" s="11" t="n">
        <v>18.5636</v>
      </c>
      <c r="D739" s="11" t="n">
        <v>18.408</v>
      </c>
      <c r="E739" s="11" t="n">
        <v>18.7191</v>
      </c>
      <c r="F739" s="12" t="n">
        <f aca="false">IF(C739="","",B739/C739)</f>
        <v>943.364972311405</v>
      </c>
      <c r="G739" s="12" t="n">
        <f aca="false">MEDIAN(F729:F749)</f>
        <v>935.035890776612</v>
      </c>
      <c r="H739" s="13" t="n">
        <f aca="false">B739/G739</f>
        <v>18.72896021719</v>
      </c>
      <c r="I739" s="14" t="n">
        <f aca="false">B739/Summary!$C$8*100</f>
        <v>175.489272579692</v>
      </c>
      <c r="J739" s="14" t="n">
        <f aca="false">G739/Summary!$E$8*100</f>
        <v>158.914795008581</v>
      </c>
      <c r="K739" s="15" t="n">
        <f aca="false">Summary!$D$9</f>
        <v>16.9374488591431</v>
      </c>
      <c r="L739" s="16" t="str">
        <f aca="false">IF(OR(D739="",E739=""),"edge hidden",IF(AND(H739&gt;=D739-0.02,H739&lt;=E739+0.02),"yes","no"))</f>
        <v>yes</v>
      </c>
    </row>
    <row r="740" customFormat="false" ht="15" hidden="false" customHeight="false" outlineLevel="0" collapsed="false">
      <c r="A740" s="9" t="n">
        <v>44854</v>
      </c>
      <c r="B740" s="10" t="n">
        <v>17563.95</v>
      </c>
      <c r="C740" s="11" t="n">
        <v>18.8706</v>
      </c>
      <c r="D740" s="11" t="n">
        <v>18.6443</v>
      </c>
      <c r="E740" s="11" t="n">
        <v>19.097</v>
      </c>
      <c r="F740" s="12" t="n">
        <f aca="false">IF(C740="","",B740/C740)</f>
        <v>930.757368605132</v>
      </c>
      <c r="G740" s="12" t="n">
        <f aca="false">MEDIAN(F730:F750)</f>
        <v>934.148177557324</v>
      </c>
      <c r="H740" s="13" t="n">
        <f aca="false">B740/G740</f>
        <v>18.8021027305619</v>
      </c>
      <c r="I740" s="14" t="n">
        <f aca="false">B740/Summary!$C$8*100</f>
        <v>176.007355372729</v>
      </c>
      <c r="J740" s="14" t="n">
        <f aca="false">G740/Summary!$E$8*100</f>
        <v>158.763922977185</v>
      </c>
      <c r="K740" s="15" t="n">
        <f aca="false">Summary!$D$9</f>
        <v>16.9374488591431</v>
      </c>
      <c r="L740" s="16" t="str">
        <f aca="false">IF(OR(D740="",E740=""),"edge hidden",IF(AND(H740&gt;=D740-0.02,H740&lt;=E740+0.02),"yes","no"))</f>
        <v>yes</v>
      </c>
    </row>
    <row r="741" customFormat="false" ht="15" hidden="false" customHeight="false" outlineLevel="0" collapsed="false">
      <c r="A741" s="9" t="n">
        <v>44855</v>
      </c>
      <c r="B741" s="10" t="n">
        <v>17576.3</v>
      </c>
      <c r="C741" s="11" t="n">
        <v>18.8943</v>
      </c>
      <c r="D741" s="11" t="n">
        <v>18.6679</v>
      </c>
      <c r="E741" s="11" t="n">
        <v>19.1206</v>
      </c>
      <c r="F741" s="12" t="n">
        <f aca="false">IF(C741="","",B741/C741)</f>
        <v>930.243512593745</v>
      </c>
      <c r="G741" s="12" t="n">
        <f aca="false">MEDIAN(F731:F751)</f>
        <v>934.148177557324</v>
      </c>
      <c r="H741" s="13" t="n">
        <f aca="false">B741/G741</f>
        <v>18.8153233312083</v>
      </c>
      <c r="I741" s="14" t="n">
        <f aca="false">B741/Summary!$C$8*100</f>
        <v>176.131114028319</v>
      </c>
      <c r="J741" s="14" t="n">
        <f aca="false">G741/Summary!$E$8*100</f>
        <v>158.763922977185</v>
      </c>
      <c r="K741" s="15" t="n">
        <f aca="false">Summary!$D$9</f>
        <v>16.9374488591431</v>
      </c>
      <c r="L741" s="16" t="str">
        <f aca="false">IF(OR(D741="",E741=""),"edge hidden",IF(AND(H741&gt;=D741-0.02,H741&lt;=E741+0.02),"yes","no"))</f>
        <v>yes</v>
      </c>
    </row>
    <row r="742" customFormat="false" ht="15" hidden="false" customHeight="false" outlineLevel="0" collapsed="false">
      <c r="A742" s="9" t="n">
        <v>44858</v>
      </c>
      <c r="B742" s="10" t="n">
        <v>17730.75</v>
      </c>
      <c r="C742" s="11" t="n">
        <v>18.9336</v>
      </c>
      <c r="D742" s="11" t="n">
        <v>18.6836</v>
      </c>
      <c r="E742" s="11" t="n">
        <v>19.1836</v>
      </c>
      <c r="F742" s="12" t="n">
        <f aca="false">IF(C742="","",B742/C742)</f>
        <v>936.470084928381</v>
      </c>
      <c r="G742" s="12" t="n">
        <f aca="false">MEDIAN(F732:F752)</f>
        <v>934.148177557324</v>
      </c>
      <c r="H742" s="13" t="n">
        <f aca="false">B742/G742</f>
        <v>18.9806611263361</v>
      </c>
      <c r="I742" s="14" t="n">
        <f aca="false">B742/Summary!$C$8*100</f>
        <v>177.678848793979</v>
      </c>
      <c r="J742" s="14" t="n">
        <f aca="false">G742/Summary!$E$8*100</f>
        <v>158.763922977185</v>
      </c>
      <c r="K742" s="15" t="n">
        <f aca="false">Summary!$D$9</f>
        <v>16.9374488591431</v>
      </c>
      <c r="L742" s="16" t="str">
        <f aca="false">IF(OR(D742="",E742=""),"edge hidden",IF(AND(H742&gt;=D742-0.02,H742&lt;=E742+0.02),"yes","no"))</f>
        <v>yes</v>
      </c>
    </row>
    <row r="743" customFormat="false" ht="15" hidden="false" customHeight="false" outlineLevel="0" collapsed="false">
      <c r="A743" s="9" t="n">
        <v>44859</v>
      </c>
      <c r="B743" s="10" t="n">
        <v>17656.35</v>
      </c>
      <c r="C743" s="11" t="n">
        <v>18.9573</v>
      </c>
      <c r="D743" s="11" t="n">
        <v>18.7073</v>
      </c>
      <c r="E743" s="11" t="n">
        <v>19.2073</v>
      </c>
      <c r="F743" s="12" t="n">
        <f aca="false">IF(C743="","",B743/C743)</f>
        <v>931.374721083699</v>
      </c>
      <c r="G743" s="12" t="n">
        <f aca="false">MEDIAN(F733:F753)</f>
        <v>934.148177557324</v>
      </c>
      <c r="H743" s="13" t="n">
        <f aca="false">B743/G743</f>
        <v>18.9010163742642</v>
      </c>
      <c r="I743" s="14" t="n">
        <f aca="false">B743/Summary!$C$8*100</f>
        <v>176.933290577307</v>
      </c>
      <c r="J743" s="14" t="n">
        <f aca="false">G743/Summary!$E$8*100</f>
        <v>158.763922977185</v>
      </c>
      <c r="K743" s="15" t="n">
        <f aca="false">Summary!$D$9</f>
        <v>16.9374488591431</v>
      </c>
      <c r="L743" s="16" t="str">
        <f aca="false">IF(OR(D743="",E743=""),"edge hidden",IF(AND(H743&gt;=D743-0.02,H743&lt;=E743+0.02),"yes","no"))</f>
        <v>yes</v>
      </c>
    </row>
    <row r="744" customFormat="false" ht="15" hidden="false" customHeight="false" outlineLevel="0" collapsed="false">
      <c r="A744" s="9" t="n">
        <v>44861</v>
      </c>
      <c r="B744" s="10" t="n">
        <v>17736.95</v>
      </c>
      <c r="C744" s="11" t="n">
        <v>19.2132</v>
      </c>
      <c r="D744" s="11" t="n">
        <v>19.0852</v>
      </c>
      <c r="E744" s="11" t="n">
        <v>19.3411</v>
      </c>
      <c r="F744" s="12" t="n">
        <f aca="false">IF(C744="","",B744/C744)</f>
        <v>923.164803364354</v>
      </c>
      <c r="G744" s="12" t="n">
        <f aca="false">MEDIAN(F734:F754)</f>
        <v>935.035890776612</v>
      </c>
      <c r="H744" s="13" t="n">
        <f aca="false">B744/G744</f>
        <v>18.969271848237</v>
      </c>
      <c r="I744" s="14" t="n">
        <f aca="false">B744/Summary!$C$8*100</f>
        <v>177.740978645369</v>
      </c>
      <c r="J744" s="14" t="n">
        <f aca="false">G744/Summary!$E$8*100</f>
        <v>158.914795008581</v>
      </c>
      <c r="K744" s="15" t="n">
        <f aca="false">Summary!$D$9</f>
        <v>16.9374488591431</v>
      </c>
      <c r="L744" s="16" t="str">
        <f aca="false">IF(OR(D744="",E744=""),"edge hidden",IF(AND(H744&gt;=D744-0.02,H744&lt;=E744+0.02),"yes","no"))</f>
        <v>no</v>
      </c>
    </row>
    <row r="745" customFormat="false" ht="15" hidden="false" customHeight="false" outlineLevel="0" collapsed="false">
      <c r="A745" s="9" t="n">
        <v>44862</v>
      </c>
      <c r="B745" s="10" t="n">
        <v>17786.8</v>
      </c>
      <c r="C745" s="11" t="n">
        <v>19.3391</v>
      </c>
      <c r="D745" s="11" t="n">
        <v>19.1246</v>
      </c>
      <c r="E745" s="11" t="n">
        <v>19.5537</v>
      </c>
      <c r="F745" s="12" t="n">
        <f aca="false">IF(C745="","",B745/C745)</f>
        <v>919.732562528763</v>
      </c>
      <c r="G745" s="12" t="n">
        <f aca="false">MEDIAN(F735:F755)</f>
        <v>935.035890776612</v>
      </c>
      <c r="H745" s="13" t="n">
        <f aca="false">B745/G745</f>
        <v>19.0225853097755</v>
      </c>
      <c r="I745" s="14" t="n">
        <f aca="false">B745/Summary!$C$8*100</f>
        <v>178.240522692427</v>
      </c>
      <c r="J745" s="14" t="n">
        <f aca="false">G745/Summary!$E$8*100</f>
        <v>158.914795008581</v>
      </c>
      <c r="K745" s="15" t="n">
        <f aca="false">Summary!$D$9</f>
        <v>16.9374488591431</v>
      </c>
      <c r="L745" s="16" t="str">
        <f aca="false">IF(OR(D745="",E745=""),"edge hidden",IF(AND(H745&gt;=D745-0.02,H745&lt;=E745+0.02),"yes","no"))</f>
        <v>no</v>
      </c>
    </row>
    <row r="746" customFormat="false" ht="15" hidden="false" customHeight="false" outlineLevel="0" collapsed="false">
      <c r="A746" s="9" t="n">
        <v>44865</v>
      </c>
      <c r="B746" s="10" t="n">
        <v>18012.2</v>
      </c>
      <c r="C746" s="11" t="n">
        <v>19.3943</v>
      </c>
      <c r="D746" s="11" t="n">
        <v>19.2112</v>
      </c>
      <c r="E746" s="11" t="n">
        <v>19.5773</v>
      </c>
      <c r="F746" s="12" t="n">
        <f aca="false">IF(C746="","",B746/C746)</f>
        <v>928.73679380024</v>
      </c>
      <c r="G746" s="12" t="n">
        <f aca="false">MEDIAN(F736:F756)</f>
        <v>935.640404187188</v>
      </c>
      <c r="H746" s="13" t="n">
        <f aca="false">B746/G746</f>
        <v>19.2511994131416</v>
      </c>
      <c r="I746" s="14" t="n">
        <f aca="false">B746/Summary!$C$8*100</f>
        <v>180.499243418745</v>
      </c>
      <c r="J746" s="14" t="n">
        <f aca="false">G746/Summary!$E$8*100</f>
        <v>159.017535583214</v>
      </c>
      <c r="K746" s="15" t="n">
        <f aca="false">Summary!$D$9</f>
        <v>16.9374488591431</v>
      </c>
      <c r="L746" s="16" t="str">
        <f aca="false">IF(OR(D746="",E746=""),"edge hidden",IF(AND(H746&gt;=D746-0.02,H746&lt;=E746+0.02),"yes","no"))</f>
        <v>yes</v>
      </c>
    </row>
    <row r="747" customFormat="false" ht="15" hidden="false" customHeight="false" outlineLevel="0" collapsed="false">
      <c r="A747" s="9" t="n">
        <v>44866</v>
      </c>
      <c r="B747" s="10" t="n">
        <v>18145.4</v>
      </c>
      <c r="C747" s="11" t="n">
        <v>19.4061</v>
      </c>
      <c r="D747" s="11" t="n">
        <v>19.2348</v>
      </c>
      <c r="E747" s="11" t="n">
        <v>19.5773</v>
      </c>
      <c r="F747" s="12" t="n">
        <f aca="false">IF(C747="","",B747/C747)</f>
        <v>935.035890776612</v>
      </c>
      <c r="G747" s="12" t="n">
        <f aca="false">MEDIAN(F737:F757)</f>
        <v>935.640404187188</v>
      </c>
      <c r="H747" s="13" t="n">
        <f aca="false">B747/G747</f>
        <v>19.3935617987375</v>
      </c>
      <c r="I747" s="14" t="n">
        <f aca="false">B747/Summary!$C$8*100</f>
        <v>181.83403312924</v>
      </c>
      <c r="J747" s="14" t="n">
        <f aca="false">G747/Summary!$E$8*100</f>
        <v>159.017535583214</v>
      </c>
      <c r="K747" s="15" t="n">
        <f aca="false">Summary!$D$9</f>
        <v>16.9374488591431</v>
      </c>
      <c r="L747" s="16" t="str">
        <f aca="false">IF(OR(D747="",E747=""),"edge hidden",IF(AND(H747&gt;=D747-0.02,H747&lt;=E747+0.02),"yes","no"))</f>
        <v>yes</v>
      </c>
    </row>
    <row r="748" customFormat="false" ht="15" hidden="false" customHeight="false" outlineLevel="0" collapsed="false">
      <c r="A748" s="9" t="n">
        <v>44867</v>
      </c>
      <c r="B748" s="10" t="n">
        <v>18082.85</v>
      </c>
      <c r="C748" s="11" t="n">
        <v>19.4179</v>
      </c>
      <c r="D748" s="11" t="n">
        <v>19.2584</v>
      </c>
      <c r="E748" s="11" t="n">
        <v>19.5773</v>
      </c>
      <c r="F748" s="12" t="n">
        <f aca="false">IF(C748="","",B748/C748)</f>
        <v>931.246427265564</v>
      </c>
      <c r="G748" s="12" t="n">
        <f aca="false">MEDIAN(F738:F758)</f>
        <v>935.640404187188</v>
      </c>
      <c r="H748" s="13" t="n">
        <f aca="false">B748/G748</f>
        <v>19.3267091919881</v>
      </c>
      <c r="I748" s="14" t="n">
        <f aca="false">B748/Summary!$C$8*100</f>
        <v>181.207223096271</v>
      </c>
      <c r="J748" s="14" t="n">
        <f aca="false">G748/Summary!$E$8*100</f>
        <v>159.017535583214</v>
      </c>
      <c r="K748" s="15" t="n">
        <f aca="false">Summary!$D$9</f>
        <v>16.9374488591431</v>
      </c>
      <c r="L748" s="16" t="str">
        <f aca="false">IF(OR(D748="",E748=""),"edge hidden",IF(AND(H748&gt;=D748-0.02,H748&lt;=E748+0.02),"yes","no"))</f>
        <v>yes</v>
      </c>
    </row>
    <row r="749" customFormat="false" ht="15" hidden="false" customHeight="false" outlineLevel="0" collapsed="false">
      <c r="A749" s="9" t="n">
        <v>44868</v>
      </c>
      <c r="B749" s="10" t="n">
        <v>18052.7</v>
      </c>
      <c r="C749" s="11" t="n">
        <v>19.4021</v>
      </c>
      <c r="D749" s="11" t="n">
        <v>19.2584</v>
      </c>
      <c r="E749" s="11" t="n">
        <v>19.5458</v>
      </c>
      <c r="F749" s="12" t="n">
        <f aca="false">IF(C749="","",B749/C749)</f>
        <v>930.450827487746</v>
      </c>
      <c r="G749" s="12" t="n">
        <f aca="false">MEDIAN(F739:F759)</f>
        <v>935.640404187188</v>
      </c>
      <c r="H749" s="13" t="n">
        <f aca="false">B749/G749</f>
        <v>19.2944852736269</v>
      </c>
      <c r="I749" s="14" t="n">
        <f aca="false">B749/Summary!$C$8*100</f>
        <v>180.905091641531</v>
      </c>
      <c r="J749" s="14" t="n">
        <f aca="false">G749/Summary!$E$8*100</f>
        <v>159.017535583214</v>
      </c>
      <c r="K749" s="15" t="n">
        <f aca="false">Summary!$D$9</f>
        <v>16.9374488591431</v>
      </c>
      <c r="L749" s="16" t="str">
        <f aca="false">IF(OR(D749="",E749=""),"edge hidden",IF(AND(H749&gt;=D749-0.02,H749&lt;=E749+0.02),"yes","no"))</f>
        <v>yes</v>
      </c>
    </row>
    <row r="750" customFormat="false" ht="15" hidden="false" customHeight="false" outlineLevel="0" collapsed="false">
      <c r="A750" s="9" t="n">
        <v>44869</v>
      </c>
      <c r="B750" s="10" t="n">
        <v>18117.15</v>
      </c>
      <c r="C750" s="11" t="n">
        <v>19.3943</v>
      </c>
      <c r="D750" s="11" t="n">
        <v>19.2584</v>
      </c>
      <c r="E750" s="11" t="n">
        <v>19.5301</v>
      </c>
      <c r="F750" s="12" t="n">
        <f aca="false">IF(C750="","",B750/C750)</f>
        <v>934.148177557324</v>
      </c>
      <c r="G750" s="12" t="n">
        <f aca="false">MEDIAN(F740:F760)</f>
        <v>935.640404187188</v>
      </c>
      <c r="H750" s="13" t="n">
        <f aca="false">B750/G750</f>
        <v>19.3633685750657</v>
      </c>
      <c r="I750" s="14" t="n">
        <f aca="false">B750/Summary!$C$8*100</f>
        <v>181.550941467667</v>
      </c>
      <c r="J750" s="14" t="n">
        <f aca="false">G750/Summary!$E$8*100</f>
        <v>159.017535583214</v>
      </c>
      <c r="K750" s="15" t="n">
        <f aca="false">Summary!$D$9</f>
        <v>16.9374488591431</v>
      </c>
      <c r="L750" s="16" t="str">
        <f aca="false">IF(OR(D750="",E750=""),"edge hidden",IF(AND(H750&gt;=D750-0.02,H750&lt;=E750+0.02),"yes","no"))</f>
        <v>yes</v>
      </c>
    </row>
    <row r="751" customFormat="false" ht="15" hidden="false" customHeight="false" outlineLevel="0" collapsed="false">
      <c r="A751" s="9" t="n">
        <v>44872</v>
      </c>
      <c r="B751" s="10" t="n">
        <v>18202.8</v>
      </c>
      <c r="C751" s="11" t="n">
        <v>19.2132</v>
      </c>
      <c r="D751" s="11" t="n">
        <v>19.0616</v>
      </c>
      <c r="E751" s="11" t="n">
        <v>19.3647</v>
      </c>
      <c r="F751" s="12" t="n">
        <f aca="false">IF(C751="","",B751/C751)</f>
        <v>947.411154831054</v>
      </c>
      <c r="G751" s="12" t="n">
        <f aca="false">MEDIAN(F741:F761)</f>
        <v>936.470084928381</v>
      </c>
      <c r="H751" s="13" t="n">
        <f aca="false">B751/G751</f>
        <v>19.4376737633772</v>
      </c>
      <c r="I751" s="14" t="n">
        <f aca="false">B751/Summary!$C$8*100</f>
        <v>182.409235301781</v>
      </c>
      <c r="J751" s="14" t="n">
        <f aca="false">G751/Summary!$E$8*100</f>
        <v>159.158544656994</v>
      </c>
      <c r="K751" s="15" t="n">
        <f aca="false">Summary!$D$9</f>
        <v>16.9374488591431</v>
      </c>
      <c r="L751" s="16" t="str">
        <f aca="false">IF(OR(D751="",E751=""),"edge hidden",IF(AND(H751&gt;=D751-0.02,H751&lt;=E751+0.02),"yes","no"))</f>
        <v>no</v>
      </c>
    </row>
    <row r="752" customFormat="false" ht="15" hidden="false" customHeight="false" outlineLevel="0" collapsed="false">
      <c r="A752" s="9" t="n">
        <v>44874</v>
      </c>
      <c r="B752" s="10" t="n">
        <v>18157</v>
      </c>
      <c r="C752" s="11" t="n">
        <v>19.2565</v>
      </c>
      <c r="D752" s="11" t="n">
        <v>19.0458</v>
      </c>
      <c r="E752" s="11" t="n">
        <v>19.4671</v>
      </c>
      <c r="F752" s="12" t="n">
        <f aca="false">IF(C752="","",B752/C752)</f>
        <v>942.902396593358</v>
      </c>
      <c r="G752" s="12" t="n">
        <f aca="false">MEDIAN(F742:F762)</f>
        <v>941.515450020738</v>
      </c>
      <c r="H752" s="13" t="n">
        <f aca="false">B752/G752</f>
        <v>19.2848667534878</v>
      </c>
      <c r="I752" s="14" t="n">
        <f aca="false">B752/Summary!$C$8*100</f>
        <v>181.950276077001</v>
      </c>
      <c r="J752" s="14" t="n">
        <f aca="false">G752/Summary!$E$8*100</f>
        <v>160.016033837147</v>
      </c>
      <c r="K752" s="15" t="n">
        <f aca="false">Summary!$D$9</f>
        <v>16.9374488591431</v>
      </c>
      <c r="L752" s="16" t="str">
        <f aca="false">IF(OR(D752="",E752=""),"edge hidden",IF(AND(H752&gt;=D752-0.02,H752&lt;=E752+0.02),"yes","no"))</f>
        <v>yes</v>
      </c>
    </row>
    <row r="753" customFormat="false" ht="15" hidden="false" customHeight="false" outlineLevel="0" collapsed="false">
      <c r="A753" s="9" t="n">
        <v>44875</v>
      </c>
      <c r="B753" s="10" t="n">
        <v>18028.2</v>
      </c>
      <c r="C753" s="11" t="n">
        <v>19.2683</v>
      </c>
      <c r="D753" s="11" t="n">
        <v>19.0537</v>
      </c>
      <c r="E753" s="11" t="n">
        <v>19.4828</v>
      </c>
      <c r="F753" s="12" t="n">
        <f aca="false">IF(C753="","",B753/C753)</f>
        <v>935.640404187188</v>
      </c>
      <c r="G753" s="12" t="n">
        <f aca="false">MEDIAN(F743:F763)</f>
        <v>942.01919074075</v>
      </c>
      <c r="H753" s="13" t="n">
        <f aca="false">B753/G753</f>
        <v>19.1378266782693</v>
      </c>
      <c r="I753" s="14" t="n">
        <f aca="false">B753/Summary!$C$8*100</f>
        <v>180.659578519105</v>
      </c>
      <c r="J753" s="14" t="n">
        <f aca="false">G753/Summary!$E$8*100</f>
        <v>160.101647506149</v>
      </c>
      <c r="K753" s="15" t="n">
        <f aca="false">Summary!$D$9</f>
        <v>16.9374488591431</v>
      </c>
      <c r="L753" s="16" t="str">
        <f aca="false">IF(OR(D753="",E753=""),"edge hidden",IF(AND(H753&gt;=D753-0.02,H753&lt;=E753+0.02),"yes","no"))</f>
        <v>yes</v>
      </c>
    </row>
    <row r="754" customFormat="false" ht="15" hidden="false" customHeight="false" outlineLevel="0" collapsed="false">
      <c r="A754" s="9" t="n">
        <v>44876</v>
      </c>
      <c r="B754" s="10" t="n">
        <v>18349.7</v>
      </c>
      <c r="C754" s="11" t="n">
        <v>19.288</v>
      </c>
      <c r="D754" s="11" t="n">
        <v>19.0537</v>
      </c>
      <c r="E754" s="11" t="n">
        <v>19.5222</v>
      </c>
      <c r="F754" s="12" t="n">
        <f aca="false">IF(C754="","",B754/C754)</f>
        <v>951.353172957279</v>
      </c>
      <c r="G754" s="12" t="n">
        <f aca="false">MEDIAN(F744:F764)</f>
        <v>942.902396593358</v>
      </c>
      <c r="H754" s="13" t="n">
        <f aca="false">B754/G754</f>
        <v>19.4608689789062</v>
      </c>
      <c r="I754" s="14" t="n">
        <f aca="false">B754/Summary!$C$8*100</f>
        <v>183.881311941959</v>
      </c>
      <c r="J754" s="14" t="n">
        <f aca="false">G754/Summary!$E$8*100</f>
        <v>160.251753484328</v>
      </c>
      <c r="K754" s="15" t="n">
        <f aca="false">Summary!$D$9</f>
        <v>16.9374488591431</v>
      </c>
      <c r="L754" s="16" t="str">
        <f aca="false">IF(OR(D754="",E754=""),"edge hidden",IF(AND(H754&gt;=D754-0.02,H754&lt;=E754+0.02),"yes","no"))</f>
        <v>yes</v>
      </c>
    </row>
    <row r="755" customFormat="false" ht="15" hidden="false" customHeight="false" outlineLevel="0" collapsed="false">
      <c r="A755" s="9" t="n">
        <v>44879</v>
      </c>
      <c r="B755" s="10" t="n">
        <v>18329.15</v>
      </c>
      <c r="C755" s="11" t="n">
        <v>19.4573</v>
      </c>
      <c r="D755" s="11" t="n">
        <v>19.3608</v>
      </c>
      <c r="E755" s="11" t="n">
        <v>19.5537</v>
      </c>
      <c r="F755" s="12" t="n">
        <f aca="false">IF(C755="","",B755/C755)</f>
        <v>942.01919074075</v>
      </c>
      <c r="G755" s="12" t="n">
        <f aca="false">MEDIAN(F745:F765)</f>
        <v>945.456226785375</v>
      </c>
      <c r="H755" s="13" t="n">
        <f aca="false">B755/G755</f>
        <v>19.3865664858124</v>
      </c>
      <c r="I755" s="14" t="n">
        <f aca="false">B755/Summary!$C$8*100</f>
        <v>183.675381547434</v>
      </c>
      <c r="J755" s="14" t="n">
        <f aca="false">G755/Summary!$E$8*100</f>
        <v>160.685791798209</v>
      </c>
      <c r="K755" s="15" t="n">
        <f aca="false">Summary!$D$9</f>
        <v>16.9374488591431</v>
      </c>
      <c r="L755" s="16" t="str">
        <f aca="false">IF(OR(D755="",E755=""),"edge hidden",IF(AND(H755&gt;=D755-0.02,H755&lt;=E755+0.02),"yes","no"))</f>
        <v>yes</v>
      </c>
    </row>
    <row r="756" customFormat="false" ht="15" hidden="false" customHeight="false" outlineLevel="0" collapsed="false">
      <c r="A756" s="9" t="n">
        <v>44880</v>
      </c>
      <c r="B756" s="10" t="n">
        <v>18403.4</v>
      </c>
      <c r="C756" s="11" t="n">
        <v>19.4651</v>
      </c>
      <c r="D756" s="11" t="n">
        <v>19.3765</v>
      </c>
      <c r="E756" s="11" t="n">
        <v>19.5537</v>
      </c>
      <c r="F756" s="12" t="n">
        <f aca="false">IF(C756="","",B756/C756)</f>
        <v>945.456226785375</v>
      </c>
      <c r="G756" s="12" t="n">
        <f aca="false">MEDIAN(F746:F766)</f>
        <v>945.692233528061</v>
      </c>
      <c r="H756" s="13" t="n">
        <f aca="false">B756/G756</f>
        <v>19.4602422939893</v>
      </c>
      <c r="I756" s="14" t="n">
        <f aca="false">B756/Summary!$C$8*100</f>
        <v>184.419436622541</v>
      </c>
      <c r="J756" s="14" t="n">
        <f aca="false">G756/Summary!$E$8*100</f>
        <v>160.725902518562</v>
      </c>
      <c r="K756" s="15" t="n">
        <f aca="false">Summary!$D$9</f>
        <v>16.9374488591431</v>
      </c>
      <c r="L756" s="16" t="str">
        <f aca="false">IF(OR(D756="",E756=""),"edge hidden",IF(AND(H756&gt;=D756-0.02,H756&lt;=E756+0.02),"yes","no"))</f>
        <v>yes</v>
      </c>
    </row>
    <row r="757" customFormat="false" ht="15" hidden="false" customHeight="false" outlineLevel="0" collapsed="false">
      <c r="A757" s="9" t="n">
        <v>44881</v>
      </c>
      <c r="B757" s="10" t="n">
        <v>18409.65</v>
      </c>
      <c r="C757" s="11" t="n">
        <v>19.4651</v>
      </c>
      <c r="D757" s="11" t="n">
        <v>19.3765</v>
      </c>
      <c r="E757" s="11" t="n">
        <v>19.5537</v>
      </c>
      <c r="F757" s="12" t="n">
        <f aca="false">IF(C757="","",B757/C757)</f>
        <v>945.777314270155</v>
      </c>
      <c r="G757" s="12" t="n">
        <f aca="false">MEDIAN(F747:F767)</f>
        <v>945.777314270155</v>
      </c>
      <c r="H757" s="13" t="n">
        <f aca="false">B757/G757</f>
        <v>19.4651</v>
      </c>
      <c r="I757" s="14" t="n">
        <f aca="false">B757/Summary!$C$8*100</f>
        <v>184.482067521119</v>
      </c>
      <c r="J757" s="14" t="n">
        <f aca="false">G757/Summary!$E$8*100</f>
        <v>160.740362486166</v>
      </c>
      <c r="K757" s="15" t="n">
        <f aca="false">Summary!$D$9</f>
        <v>16.9374488591431</v>
      </c>
      <c r="L757" s="16" t="str">
        <f aca="false">IF(OR(D757="",E757=""),"edge hidden",IF(AND(H757&gt;=D757-0.02,H757&lt;=E757+0.02),"yes","no"))</f>
        <v>yes</v>
      </c>
    </row>
    <row r="758" customFormat="false" ht="15" hidden="false" customHeight="false" outlineLevel="0" collapsed="false">
      <c r="A758" s="9" t="n">
        <v>44882</v>
      </c>
      <c r="B758" s="10" t="n">
        <v>18343.9</v>
      </c>
      <c r="C758" s="11" t="n">
        <v>19.3549</v>
      </c>
      <c r="D758" s="11" t="n">
        <v>19.1639</v>
      </c>
      <c r="E758" s="11" t="n">
        <v>19.5458</v>
      </c>
      <c r="F758" s="12" t="n">
        <f aca="false">IF(C758="","",B758/C758)</f>
        <v>947.76516541031</v>
      </c>
      <c r="G758" s="12" t="n">
        <f aca="false">MEDIAN(F748:F768)</f>
        <v>946.308220703803</v>
      </c>
      <c r="H758" s="13" t="n">
        <f aca="false">B758/G758</f>
        <v>19.3846989793209</v>
      </c>
      <c r="I758" s="14" t="n">
        <f aca="false">B758/Summary!$C$8*100</f>
        <v>183.823190468078</v>
      </c>
      <c r="J758" s="14" t="n">
        <f aca="false">G758/Summary!$E$8*100</f>
        <v>160.830593126406</v>
      </c>
      <c r="K758" s="15" t="n">
        <f aca="false">Summary!$D$9</f>
        <v>16.9374488591431</v>
      </c>
      <c r="L758" s="16" t="str">
        <f aca="false">IF(OR(D758="",E758=""),"edge hidden",IF(AND(H758&gt;=D758-0.02,H758&lt;=E758+0.02),"yes","no"))</f>
        <v>yes</v>
      </c>
    </row>
    <row r="759" customFormat="false" ht="15" hidden="false" customHeight="false" outlineLevel="0" collapsed="false">
      <c r="A759" s="9" t="n">
        <v>44883</v>
      </c>
      <c r="B759" s="10" t="n">
        <v>18307.65</v>
      </c>
      <c r="C759" s="11" t="n">
        <v>19.3431</v>
      </c>
      <c r="D759" s="11" t="n">
        <v>19.1482</v>
      </c>
      <c r="E759" s="11" t="n">
        <v>19.538</v>
      </c>
      <c r="F759" s="12" t="n">
        <f aca="false">IF(C759="","",B759/C759)</f>
        <v>946.469283620516</v>
      </c>
      <c r="G759" s="12" t="n">
        <f aca="false">MEDIAN(F749:F769)</f>
        <v>946.469283620516</v>
      </c>
      <c r="H759" s="13" t="n">
        <f aca="false">B759/G759</f>
        <v>19.3431</v>
      </c>
      <c r="I759" s="14" t="n">
        <f aca="false">B759/Summary!$C$8*100</f>
        <v>183.459931256326</v>
      </c>
      <c r="J759" s="14" t="n">
        <f aca="false">G759/Summary!$E$8*100</f>
        <v>160.857966707084</v>
      </c>
      <c r="K759" s="15" t="n">
        <f aca="false">Summary!$D$9</f>
        <v>16.9374488591431</v>
      </c>
      <c r="L759" s="16" t="str">
        <f aca="false">IF(OR(D759="",E759=""),"edge hidden",IF(AND(H759&gt;=D759-0.02,H759&lt;=E759+0.02),"yes","no"))</f>
        <v>yes</v>
      </c>
    </row>
    <row r="760" customFormat="false" ht="15" hidden="false" customHeight="false" outlineLevel="0" collapsed="false">
      <c r="A760" s="9" t="n">
        <v>44886</v>
      </c>
      <c r="B760" s="10" t="n">
        <v>18159.95</v>
      </c>
      <c r="C760" s="11" t="n">
        <v>19.288</v>
      </c>
      <c r="D760" s="11" t="n">
        <v>19.1403</v>
      </c>
      <c r="E760" s="11" t="n">
        <v>19.4356</v>
      </c>
      <c r="F760" s="12" t="n">
        <f aca="false">IF(C760="","",B760/C760)</f>
        <v>941.515450020738</v>
      </c>
      <c r="G760" s="12" t="n">
        <f aca="false">MEDIAN(F750:F770)</f>
        <v>947.411154831054</v>
      </c>
      <c r="H760" s="13" t="n">
        <f aca="false">B760/G760</f>
        <v>19.1679714846068</v>
      </c>
      <c r="I760" s="14" t="n">
        <f aca="false">B760/Summary!$C$8*100</f>
        <v>181.97983786113</v>
      </c>
      <c r="J760" s="14" t="n">
        <f aca="false">G760/Summary!$E$8*100</f>
        <v>161.018043204492</v>
      </c>
      <c r="K760" s="15" t="n">
        <f aca="false">Summary!$D$9</f>
        <v>16.9374488591431</v>
      </c>
      <c r="L760" s="16" t="str">
        <f aca="false">IF(OR(D760="",E760=""),"edge hidden",IF(AND(H760&gt;=D760-0.02,H760&lt;=E760+0.02),"yes","no"))</f>
        <v>yes</v>
      </c>
    </row>
    <row r="761" customFormat="false" ht="15" hidden="false" customHeight="false" outlineLevel="0" collapsed="false">
      <c r="A761" s="9" t="n">
        <v>44887</v>
      </c>
      <c r="B761" s="10" t="n">
        <v>18244.2</v>
      </c>
      <c r="C761" s="11" t="n">
        <v>19.2919</v>
      </c>
      <c r="D761" s="11" t="n">
        <v>19.1403</v>
      </c>
      <c r="E761" s="11" t="n">
        <v>19.4435</v>
      </c>
      <c r="F761" s="12" t="n">
        <f aca="false">IF(C761="","",B761/C761)</f>
        <v>945.692233528061</v>
      </c>
      <c r="G761" s="12" t="n">
        <f aca="false">MEDIAN(F751:F771)</f>
        <v>947.76516541031</v>
      </c>
      <c r="H761" s="13" t="n">
        <f aca="false">B761/G761</f>
        <v>19.2497051652048</v>
      </c>
      <c r="I761" s="14" t="n">
        <f aca="false">B761/Summary!$C$8*100</f>
        <v>182.824102373962</v>
      </c>
      <c r="J761" s="14" t="n">
        <f aca="false">G761/Summary!$E$8*100</f>
        <v>161.078209364089</v>
      </c>
      <c r="K761" s="15" t="n">
        <f aca="false">Summary!$D$9</f>
        <v>16.9374488591431</v>
      </c>
      <c r="L761" s="16" t="str">
        <f aca="false">IF(OR(D761="",E761=""),"edge hidden",IF(AND(H761&gt;=D761-0.02,H761&lt;=E761+0.02),"yes","no"))</f>
        <v>yes</v>
      </c>
    </row>
    <row r="762" customFormat="false" ht="15" hidden="false" customHeight="false" outlineLevel="0" collapsed="false">
      <c r="A762" s="9" t="n">
        <v>44888</v>
      </c>
      <c r="B762" s="10" t="n">
        <v>18267.25</v>
      </c>
      <c r="C762" s="11" t="n">
        <v>19.3037</v>
      </c>
      <c r="D762" s="11" t="n">
        <v>19.1561</v>
      </c>
      <c r="E762" s="11" t="n">
        <v>19.4514</v>
      </c>
      <c r="F762" s="12" t="n">
        <f aca="false">IF(C762="","",B762/C762)</f>
        <v>946.308220703803</v>
      </c>
      <c r="G762" s="12" t="n">
        <f aca="false">MEDIAN(F752:F772)</f>
        <v>948.269256311493</v>
      </c>
      <c r="H762" s="13" t="n">
        <f aca="false">B762/G762</f>
        <v>19.2637796474122</v>
      </c>
      <c r="I762" s="14" t="n">
        <f aca="false">B762/Summary!$C$8*100</f>
        <v>183.055085127917</v>
      </c>
      <c r="J762" s="14" t="n">
        <f aca="false">G762/Summary!$E$8*100</f>
        <v>161.163882548421</v>
      </c>
      <c r="K762" s="15" t="n">
        <f aca="false">Summary!$D$9</f>
        <v>16.9374488591431</v>
      </c>
      <c r="L762" s="16" t="str">
        <f aca="false">IF(OR(D762="",E762=""),"edge hidden",IF(AND(H762&gt;=D762-0.02,H762&lt;=E762+0.02),"yes","no"))</f>
        <v>yes</v>
      </c>
    </row>
    <row r="763" customFormat="false" ht="15" hidden="false" customHeight="false" outlineLevel="0" collapsed="false">
      <c r="A763" s="9" t="n">
        <v>44889</v>
      </c>
      <c r="B763" s="10" t="n">
        <v>18484.1</v>
      </c>
      <c r="C763" s="11" t="n">
        <v>19.3313</v>
      </c>
      <c r="D763" s="11" t="n">
        <v>19.2033</v>
      </c>
      <c r="E763" s="11" t="n">
        <v>19.4592</v>
      </c>
      <c r="F763" s="12" t="n">
        <f aca="false">IF(C763="","",B763/C763)</f>
        <v>956.174701132361</v>
      </c>
      <c r="G763" s="12" t="n">
        <f aca="false">MEDIAN(F753:F773)</f>
        <v>950.71540912619</v>
      </c>
      <c r="H763" s="13" t="n">
        <f aca="false">B763/G763</f>
        <v>19.4423061018743</v>
      </c>
      <c r="I763" s="14" t="n">
        <f aca="false">B763/Summary!$C$8*100</f>
        <v>185.228126784981</v>
      </c>
      <c r="J763" s="14" t="n">
        <f aca="false">G763/Summary!$E$8*100</f>
        <v>161.579620464946</v>
      </c>
      <c r="K763" s="15" t="n">
        <f aca="false">Summary!$D$9</f>
        <v>16.9374488591431</v>
      </c>
      <c r="L763" s="16" t="str">
        <f aca="false">IF(OR(D763="",E763=""),"edge hidden",IF(AND(H763&gt;=D763-0.02,H763&lt;=E763+0.02),"yes","no"))</f>
        <v>yes</v>
      </c>
    </row>
    <row r="764" customFormat="false" ht="15" hidden="false" customHeight="false" outlineLevel="0" collapsed="false">
      <c r="A764" s="9" t="n">
        <v>44890</v>
      </c>
      <c r="B764" s="10" t="n">
        <v>18512.75</v>
      </c>
      <c r="C764" s="11" t="n">
        <v>19.3785</v>
      </c>
      <c r="D764" s="11" t="n">
        <v>19.2584</v>
      </c>
      <c r="E764" s="11" t="n">
        <v>19.4986</v>
      </c>
      <c r="F764" s="12" t="n">
        <f aca="false">IF(C764="","",B764/C764)</f>
        <v>955.324199499445</v>
      </c>
      <c r="G764" s="12" t="n">
        <f aca="false">MEDIAN(F754:F774)</f>
        <v>951.353172957279</v>
      </c>
      <c r="H764" s="13" t="n">
        <f aca="false">B764/G764</f>
        <v>19.4593874559257</v>
      </c>
      <c r="I764" s="14" t="n">
        <f aca="false">B764/Summary!$C$8*100</f>
        <v>185.515226824062</v>
      </c>
      <c r="J764" s="14" t="n">
        <f aca="false">G764/Summary!$E$8*100</f>
        <v>161.688012142186</v>
      </c>
      <c r="K764" s="15" t="n">
        <f aca="false">Summary!$D$9</f>
        <v>16.9374488591431</v>
      </c>
      <c r="L764" s="16" t="str">
        <f aca="false">IF(OR(D764="",E764=""),"edge hidden",IF(AND(H764&gt;=D764-0.02,H764&lt;=E764+0.02),"yes","no"))</f>
        <v>yes</v>
      </c>
    </row>
    <row r="765" customFormat="false" ht="15" hidden="false" customHeight="false" outlineLevel="0" collapsed="false">
      <c r="A765" s="9" t="n">
        <v>44893</v>
      </c>
      <c r="B765" s="10" t="n">
        <v>18562.75</v>
      </c>
      <c r="C765" s="11" t="n">
        <v>19.5754</v>
      </c>
      <c r="D765" s="11" t="n">
        <v>19.4474</v>
      </c>
      <c r="E765" s="11" t="n">
        <v>19.7033</v>
      </c>
      <c r="F765" s="12" t="n">
        <f aca="false">IF(C765="","",B765/C765)</f>
        <v>948.269256311493</v>
      </c>
      <c r="G765" s="12" t="n">
        <f aca="false">MEDIAN(F755:F775)</f>
        <v>953.931323026685</v>
      </c>
      <c r="H765" s="13" t="n">
        <f aca="false">B765/G765</f>
        <v>19.4592100625264</v>
      </c>
      <c r="I765" s="14" t="n">
        <f aca="false">B765/Summary!$C$8*100</f>
        <v>186.016274012687</v>
      </c>
      <c r="J765" s="14" t="n">
        <f aca="false">G765/Summary!$E$8*100</f>
        <v>162.126183760861</v>
      </c>
      <c r="K765" s="15" t="n">
        <f aca="false">Summary!$D$9</f>
        <v>16.9374488591431</v>
      </c>
      <c r="L765" s="16" t="str">
        <f aca="false">IF(OR(D765="",E765=""),"edge hidden",IF(AND(H765&gt;=D765-0.02,H765&lt;=E765+0.02),"yes","no"))</f>
        <v>yes</v>
      </c>
    </row>
    <row r="766" customFormat="false" ht="15" hidden="false" customHeight="false" outlineLevel="0" collapsed="false">
      <c r="A766" s="9" t="n">
        <v>44894</v>
      </c>
      <c r="B766" s="10" t="n">
        <v>18618.05</v>
      </c>
      <c r="C766" s="11" t="n">
        <v>19.5832</v>
      </c>
      <c r="D766" s="11" t="n">
        <v>19.4632</v>
      </c>
      <c r="E766" s="11" t="n">
        <v>19.7033</v>
      </c>
      <c r="F766" s="12" t="n">
        <f aca="false">IF(C766="","",B766/C766)</f>
        <v>950.71540912619</v>
      </c>
      <c r="G766" s="12" t="n">
        <f aca="false">MEDIAN(F756:F776)</f>
        <v>954.880075991451</v>
      </c>
      <c r="H766" s="13" t="n">
        <f aca="false">B766/G766</f>
        <v>19.4977887465805</v>
      </c>
      <c r="I766" s="14" t="n">
        <f aca="false">B766/Summary!$C$8*100</f>
        <v>186.570432203305</v>
      </c>
      <c r="J766" s="14" t="n">
        <f aca="false">G766/Summary!$E$8*100</f>
        <v>162.287429852479</v>
      </c>
      <c r="K766" s="15" t="n">
        <f aca="false">Summary!$D$9</f>
        <v>16.9374488591431</v>
      </c>
      <c r="L766" s="16" t="str">
        <f aca="false">IF(OR(D766="",E766=""),"edge hidden",IF(AND(H766&gt;=D766-0.02,H766&lt;=E766+0.02),"yes","no"))</f>
        <v>yes</v>
      </c>
    </row>
    <row r="767" customFormat="false" ht="15" hidden="false" customHeight="false" outlineLevel="0" collapsed="false">
      <c r="A767" s="9" t="n">
        <v>44895</v>
      </c>
      <c r="B767" s="10" t="n">
        <v>18758.35</v>
      </c>
      <c r="C767" s="11" t="n">
        <v>19.6029</v>
      </c>
      <c r="D767" s="11" t="n">
        <v>19.4868</v>
      </c>
      <c r="E767" s="11" t="n">
        <v>19.7191</v>
      </c>
      <c r="F767" s="12" t="n">
        <f aca="false">IF(C767="","",B767/C767)</f>
        <v>956.917088798086</v>
      </c>
      <c r="G767" s="12" t="n">
        <f aca="false">MEDIAN(F757:F777)</f>
        <v>955.072657665075</v>
      </c>
      <c r="H767" s="13" t="n">
        <f aca="false">B767/G767</f>
        <v>19.6407570140891</v>
      </c>
      <c r="I767" s="14" t="n">
        <f aca="false">B767/Summary!$C$8*100</f>
        <v>187.976370614584</v>
      </c>
      <c r="J767" s="14" t="n">
        <f aca="false">G767/Summary!$E$8*100</f>
        <v>162.320160229449</v>
      </c>
      <c r="K767" s="15" t="n">
        <f aca="false">Summary!$D$9</f>
        <v>16.9374488591431</v>
      </c>
      <c r="L767" s="16" t="str">
        <f aca="false">IF(OR(D767="",E767=""),"edge hidden",IF(AND(H767&gt;=D767-0.02,H767&lt;=E767+0.02),"yes","no"))</f>
        <v>yes</v>
      </c>
    </row>
    <row r="768" customFormat="false" ht="15" hidden="false" customHeight="false" outlineLevel="0" collapsed="false">
      <c r="A768" s="9" t="n">
        <v>44896</v>
      </c>
      <c r="B768" s="10" t="n">
        <v>18812.5</v>
      </c>
      <c r="C768" s="11" t="n">
        <v>19.6029</v>
      </c>
      <c r="D768" s="11" t="n">
        <v>19.4947</v>
      </c>
      <c r="E768" s="11" t="n">
        <v>19.7112</v>
      </c>
      <c r="F768" s="12" t="n">
        <f aca="false">IF(C768="","",B768/C768)</f>
        <v>959.67943518561</v>
      </c>
      <c r="G768" s="12" t="n">
        <f aca="false">MEDIAN(F758:F778)</f>
        <v>955.324199499445</v>
      </c>
      <c r="H768" s="13" t="n">
        <f aca="false">B768/G768</f>
        <v>19.6922678289287</v>
      </c>
      <c r="I768" s="14" t="n">
        <f aca="false">B768/Summary!$C$8*100</f>
        <v>188.519004719865</v>
      </c>
      <c r="J768" s="14" t="n">
        <f aca="false">G768/Summary!$E$8*100</f>
        <v>162.362911229106</v>
      </c>
      <c r="K768" s="15" t="n">
        <f aca="false">Summary!$D$9</f>
        <v>16.9374488591431</v>
      </c>
      <c r="L768" s="16" t="str">
        <f aca="false">IF(OR(D768="",E768=""),"edge hidden",IF(AND(H768&gt;=D768-0.02,H768&lt;=E768+0.02),"yes","no"))</f>
        <v>yes</v>
      </c>
    </row>
    <row r="769" customFormat="false" ht="15" hidden="false" customHeight="false" outlineLevel="0" collapsed="false">
      <c r="A769" s="9" t="n">
        <v>44897</v>
      </c>
      <c r="B769" s="10" t="n">
        <v>18696.1</v>
      </c>
      <c r="C769" s="11" t="n">
        <v>19.599</v>
      </c>
      <c r="D769" s="11" t="n">
        <v>19.4868</v>
      </c>
      <c r="E769" s="11" t="n">
        <v>19.7112</v>
      </c>
      <c r="F769" s="12" t="n">
        <f aca="false">IF(C769="","",B769/C769)</f>
        <v>953.931323026685</v>
      </c>
      <c r="G769" s="12" t="n">
        <f aca="false">MEDIAN(F759:F779)</f>
        <v>955.324199499445</v>
      </c>
      <c r="H769" s="13" t="n">
        <f aca="false">B769/G769</f>
        <v>19.5704243750928</v>
      </c>
      <c r="I769" s="14" t="n">
        <f aca="false">B769/Summary!$C$8*100</f>
        <v>187.352566864747</v>
      </c>
      <c r="J769" s="14" t="n">
        <f aca="false">G769/Summary!$E$8*100</f>
        <v>162.362911229106</v>
      </c>
      <c r="K769" s="15" t="n">
        <f aca="false">Summary!$D$9</f>
        <v>16.9374488591431</v>
      </c>
      <c r="L769" s="16" t="str">
        <f aca="false">IF(OR(D769="",E769=""),"edge hidden",IF(AND(H769&gt;=D769-0.02,H769&lt;=E769+0.02),"yes","no"))</f>
        <v>yes</v>
      </c>
    </row>
    <row r="770" customFormat="false" ht="15" hidden="false" customHeight="false" outlineLevel="0" collapsed="false">
      <c r="A770" s="9" t="n">
        <v>44900</v>
      </c>
      <c r="B770" s="10" t="n">
        <v>18701.05</v>
      </c>
      <c r="C770" s="11" t="n">
        <v>19.4848</v>
      </c>
      <c r="D770" s="11" t="n">
        <v>19.3844</v>
      </c>
      <c r="E770" s="11" t="n">
        <v>19.5852</v>
      </c>
      <c r="F770" s="12" t="n">
        <f aca="false">IF(C770="","",B770/C770)</f>
        <v>959.776338479225</v>
      </c>
      <c r="G770" s="12" t="n">
        <f aca="false">MEDIAN(F760:F780)</f>
        <v>956.174701132361</v>
      </c>
      <c r="H770" s="13" t="n">
        <f aca="false">B770/G770</f>
        <v>19.5581936834901</v>
      </c>
      <c r="I770" s="14" t="n">
        <f aca="false">B770/Summary!$C$8*100</f>
        <v>187.402170536421</v>
      </c>
      <c r="J770" s="14" t="n">
        <f aca="false">G770/Summary!$E$8*100</f>
        <v>162.507458934688</v>
      </c>
      <c r="K770" s="15" t="n">
        <f aca="false">Summary!$D$9</f>
        <v>16.9374488591431</v>
      </c>
      <c r="L770" s="16" t="str">
        <f aca="false">IF(OR(D770="",E770=""),"edge hidden",IF(AND(H770&gt;=D770-0.02,H770&lt;=E770+0.02),"yes","no"))</f>
        <v>yes</v>
      </c>
    </row>
    <row r="771" customFormat="false" ht="15" hidden="false" customHeight="false" outlineLevel="0" collapsed="false">
      <c r="A771" s="9" t="n">
        <v>44901</v>
      </c>
      <c r="B771" s="10" t="n">
        <v>18642.75</v>
      </c>
      <c r="C771" s="11" t="n">
        <v>19.4454</v>
      </c>
      <c r="D771" s="11" t="n">
        <v>19.3293</v>
      </c>
      <c r="E771" s="11" t="n">
        <v>19.5616</v>
      </c>
      <c r="F771" s="12" t="n">
        <f aca="false">IF(C771="","",B771/C771)</f>
        <v>958.722885618193</v>
      </c>
      <c r="G771" s="12" t="n">
        <f aca="false">MEDIAN(F761:F781)</f>
        <v>956.917088798086</v>
      </c>
      <c r="H771" s="13" t="n">
        <f aca="false">B771/G771</f>
        <v>19.4820953855217</v>
      </c>
      <c r="I771" s="14" t="n">
        <f aca="false">B771/Summary!$C$8*100</f>
        <v>186.817949514485</v>
      </c>
      <c r="J771" s="14" t="n">
        <f aca="false">G771/Summary!$E$8*100</f>
        <v>162.633632041923</v>
      </c>
      <c r="K771" s="15" t="n">
        <f aca="false">Summary!$D$9</f>
        <v>16.9374488591431</v>
      </c>
      <c r="L771" s="16" t="str">
        <f aca="false">IF(OR(D771="",E771=""),"edge hidden",IF(AND(H771&gt;=D771-0.02,H771&lt;=E771+0.02),"yes","no"))</f>
        <v>yes</v>
      </c>
    </row>
    <row r="772" customFormat="false" ht="15" hidden="false" customHeight="false" outlineLevel="0" collapsed="false">
      <c r="A772" s="9" t="n">
        <v>44902</v>
      </c>
      <c r="B772" s="10" t="n">
        <v>18560.5</v>
      </c>
      <c r="C772" s="11" t="n">
        <v>19.4336</v>
      </c>
      <c r="D772" s="11" t="n">
        <v>19.3214</v>
      </c>
      <c r="E772" s="11" t="n">
        <v>19.5458</v>
      </c>
      <c r="F772" s="12" t="n">
        <f aca="false">IF(C772="","",B772/C772)</f>
        <v>955.072657665075</v>
      </c>
      <c r="G772" s="12" t="n">
        <f aca="false">MEDIAN(F762:F782)</f>
        <v>958.061495239582</v>
      </c>
      <c r="H772" s="13" t="n">
        <f aca="false">B772/G772</f>
        <v>19.3729735431634</v>
      </c>
      <c r="I772" s="14" t="n">
        <f aca="false">B772/Summary!$C$8*100</f>
        <v>185.993726889198</v>
      </c>
      <c r="J772" s="14" t="n">
        <f aca="false">G772/Summary!$E$8*100</f>
        <v>162.828130581339</v>
      </c>
      <c r="K772" s="15" t="n">
        <f aca="false">Summary!$D$9</f>
        <v>16.9374488591431</v>
      </c>
      <c r="L772" s="16" t="str">
        <f aca="false">IF(OR(D772="",E772=""),"edge hidden",IF(AND(H772&gt;=D772-0.02,H772&lt;=E772+0.02),"yes","no"))</f>
        <v>yes</v>
      </c>
    </row>
    <row r="773" customFormat="false" ht="15" hidden="false" customHeight="false" outlineLevel="0" collapsed="false">
      <c r="A773" s="9" t="n">
        <v>44903</v>
      </c>
      <c r="B773" s="10" t="n">
        <v>18609.35</v>
      </c>
      <c r="C773" s="11" t="n">
        <v>19.4218</v>
      </c>
      <c r="D773" s="11" t="n">
        <v>19.3136</v>
      </c>
      <c r="E773" s="11" t="n">
        <v>19.5301</v>
      </c>
      <c r="F773" s="12" t="n">
        <f aca="false">IF(C773="","",B773/C773)</f>
        <v>958.168140955009</v>
      </c>
      <c r="G773" s="12" t="n">
        <f aca="false">MEDIAN(F763:F783)</f>
        <v>958.168140955009</v>
      </c>
      <c r="H773" s="13" t="n">
        <f aca="false">B773/G773</f>
        <v>19.4218</v>
      </c>
      <c r="I773" s="14" t="n">
        <f aca="false">B773/Summary!$C$8*100</f>
        <v>186.483249992484</v>
      </c>
      <c r="J773" s="14" t="n">
        <f aca="false">G773/Summary!$E$8*100</f>
        <v>162.846255641748</v>
      </c>
      <c r="K773" s="15" t="n">
        <f aca="false">Summary!$D$9</f>
        <v>16.9374488591431</v>
      </c>
      <c r="L773" s="16" t="str">
        <f aca="false">IF(OR(D773="",E773=""),"edge hidden",IF(AND(H773&gt;=D773-0.02,H773&lt;=E773+0.02),"yes","no"))</f>
        <v>yes</v>
      </c>
    </row>
    <row r="774" customFormat="false" ht="15" hidden="false" customHeight="false" outlineLevel="0" collapsed="false">
      <c r="A774" s="9" t="n">
        <v>44904</v>
      </c>
      <c r="B774" s="10" t="n">
        <v>18496.6</v>
      </c>
      <c r="C774" s="11" t="n">
        <v>19.3706</v>
      </c>
      <c r="D774" s="11" t="n">
        <v>19.2978</v>
      </c>
      <c r="E774" s="11" t="n">
        <v>19.4435</v>
      </c>
      <c r="F774" s="12" t="n">
        <f aca="false">IF(C774="","",B774/C774)</f>
        <v>954.880075991451</v>
      </c>
      <c r="G774" s="12" t="n">
        <f aca="false">MEDIAN(F764:F784)</f>
        <v>958.168140955009</v>
      </c>
      <c r="H774" s="13" t="n">
        <f aca="false">B774/G774</f>
        <v>19.3041275423376</v>
      </c>
      <c r="I774" s="14" t="n">
        <f aca="false">B774/Summary!$C$8*100</f>
        <v>185.353388582137</v>
      </c>
      <c r="J774" s="14" t="n">
        <f aca="false">G774/Summary!$E$8*100</f>
        <v>162.846255641748</v>
      </c>
      <c r="K774" s="15" t="n">
        <f aca="false">Summary!$D$9</f>
        <v>16.9374488591431</v>
      </c>
      <c r="L774" s="16" t="str">
        <f aca="false">IF(OR(D774="",E774=""),"edge hidden",IF(AND(H774&gt;=D774-0.02,H774&lt;=E774+0.02),"yes","no"))</f>
        <v>yes</v>
      </c>
    </row>
    <row r="775" customFormat="false" ht="15" hidden="false" customHeight="false" outlineLevel="0" collapsed="false">
      <c r="A775" s="9" t="n">
        <v>44907</v>
      </c>
      <c r="B775" s="10" t="n">
        <v>18497.15</v>
      </c>
      <c r="C775" s="11" t="n">
        <v>19.2722</v>
      </c>
      <c r="D775" s="11" t="n">
        <v>19.1088</v>
      </c>
      <c r="E775" s="11" t="n">
        <v>19.4356</v>
      </c>
      <c r="F775" s="12" t="n">
        <f aca="false">IF(C775="","",B775/C775)</f>
        <v>959.784041261506</v>
      </c>
      <c r="G775" s="12" t="n">
        <f aca="false">MEDIAN(F765:F785)</f>
        <v>958.722885618193</v>
      </c>
      <c r="H775" s="13" t="n">
        <f aca="false">B775/G775</f>
        <v>19.2935312982259</v>
      </c>
      <c r="I775" s="14" t="n">
        <f aca="false">B775/Summary!$C$8*100</f>
        <v>185.358900101212</v>
      </c>
      <c r="J775" s="14" t="n">
        <f aca="false">G775/Summary!$E$8*100</f>
        <v>162.940537727924</v>
      </c>
      <c r="K775" s="15" t="n">
        <f aca="false">Summary!$D$9</f>
        <v>16.9374488591431</v>
      </c>
      <c r="L775" s="16" t="str">
        <f aca="false">IF(OR(D775="",E775=""),"edge hidden",IF(AND(H775&gt;=D775-0.02,H775&lt;=E775+0.02),"yes","no"))</f>
        <v>yes</v>
      </c>
    </row>
    <row r="776" customFormat="false" ht="15" hidden="false" customHeight="false" outlineLevel="0" collapsed="false">
      <c r="A776" s="9" t="n">
        <v>44908</v>
      </c>
      <c r="B776" s="10" t="n">
        <v>18608</v>
      </c>
      <c r="C776" s="11" t="n">
        <v>19.2368</v>
      </c>
      <c r="D776" s="11" t="n">
        <v>19.038</v>
      </c>
      <c r="E776" s="11" t="n">
        <v>19.4356</v>
      </c>
      <c r="F776" s="12" t="n">
        <f aca="false">IF(C776="","",B776/C776)</f>
        <v>967.312650752724</v>
      </c>
      <c r="G776" s="12" t="n">
        <f aca="false">MEDIAN(F766:F786)</f>
        <v>959.67943518561</v>
      </c>
      <c r="H776" s="13" t="n">
        <f aca="false">B776/G776</f>
        <v>19.3898080106312</v>
      </c>
      <c r="I776" s="14" t="n">
        <f aca="false">B776/Summary!$C$8*100</f>
        <v>186.469721718391</v>
      </c>
      <c r="J776" s="14" t="n">
        <f aca="false">G776/Summary!$E$8*100</f>
        <v>163.103108897567</v>
      </c>
      <c r="K776" s="15" t="n">
        <f aca="false">Summary!$D$9</f>
        <v>16.9374488591431</v>
      </c>
      <c r="L776" s="16" t="str">
        <f aca="false">IF(OR(D776="",E776=""),"edge hidden",IF(AND(H776&gt;=D776-0.02,H776&lt;=E776+0.02),"yes","no"))</f>
        <v>yes</v>
      </c>
    </row>
    <row r="777" customFormat="false" ht="15" hidden="false" customHeight="false" outlineLevel="0" collapsed="false">
      <c r="A777" s="9" t="n">
        <v>44909</v>
      </c>
      <c r="B777" s="10" t="n">
        <v>18660.3</v>
      </c>
      <c r="C777" s="11" t="n">
        <v>19.2289</v>
      </c>
      <c r="D777" s="11" t="n">
        <v>19.0222</v>
      </c>
      <c r="E777" s="11" t="n">
        <v>19.4356</v>
      </c>
      <c r="F777" s="12" t="n">
        <f aca="false">IF(C777="","",B777/C777)</f>
        <v>970.429925788787</v>
      </c>
      <c r="G777" s="12" t="n">
        <f aca="false">MEDIAN(F767:F787)</f>
        <v>959.776338479225</v>
      </c>
      <c r="H777" s="13" t="n">
        <f aca="false">B777/G777</f>
        <v>19.4423421914812</v>
      </c>
      <c r="I777" s="14" t="n">
        <f aca="false">B777/Summary!$C$8*100</f>
        <v>186.993817077692</v>
      </c>
      <c r="J777" s="14" t="n">
        <f aca="false">G777/Summary!$E$8*100</f>
        <v>163.119578176653</v>
      </c>
      <c r="K777" s="15" t="n">
        <f aca="false">Summary!$D$9</f>
        <v>16.9374488591431</v>
      </c>
      <c r="L777" s="16" t="str">
        <f aca="false">IF(OR(D777="",E777=""),"edge hidden",IF(AND(H777&gt;=D777-0.02,H777&lt;=E777+0.02),"yes","no"))</f>
        <v>yes</v>
      </c>
    </row>
    <row r="778" customFormat="false" ht="15" hidden="false" customHeight="false" outlineLevel="0" collapsed="false">
      <c r="A778" s="9" t="n">
        <v>44910</v>
      </c>
      <c r="B778" s="10" t="n">
        <v>18414.9</v>
      </c>
      <c r="C778" s="11" t="n">
        <v>19.221</v>
      </c>
      <c r="D778" s="11" t="n">
        <v>19.0143</v>
      </c>
      <c r="E778" s="11" t="n">
        <v>19.4277</v>
      </c>
      <c r="F778" s="12" t="n">
        <f aca="false">IF(C778="","",B778/C778)</f>
        <v>958.061495239582</v>
      </c>
      <c r="G778" s="12" t="n">
        <f aca="false">MEDIAN(F768:F788)</f>
        <v>959.784041261506</v>
      </c>
      <c r="H778" s="13" t="n">
        <f aca="false">B778/G778</f>
        <v>19.1865036386687</v>
      </c>
      <c r="I778" s="14" t="n">
        <f aca="false">B778/Summary!$C$8*100</f>
        <v>184.534677475925</v>
      </c>
      <c r="J778" s="14" t="n">
        <f aca="false">G778/Summary!$E$8*100</f>
        <v>163.120887309361</v>
      </c>
      <c r="K778" s="15" t="n">
        <f aca="false">Summary!$D$9</f>
        <v>16.9374488591431</v>
      </c>
      <c r="L778" s="16" t="str">
        <f aca="false">IF(OR(D778="",E778=""),"edge hidden",IF(AND(H778&gt;=D778-0.02,H778&lt;=E778+0.02),"yes","no"))</f>
        <v>yes</v>
      </c>
    </row>
    <row r="779" customFormat="false" ht="15" hidden="false" customHeight="false" outlineLevel="0" collapsed="false">
      <c r="A779" s="9" t="n">
        <v>44911</v>
      </c>
      <c r="B779" s="10" t="n">
        <v>18269</v>
      </c>
      <c r="C779" s="11" t="n">
        <v>19.2171</v>
      </c>
      <c r="D779" s="11" t="n">
        <v>19.0065</v>
      </c>
      <c r="E779" s="11" t="n">
        <v>19.4277</v>
      </c>
      <c r="F779" s="12" t="n">
        <f aca="false">IF(C779="","",B779/C779)</f>
        <v>950.66373178055</v>
      </c>
      <c r="G779" s="12" t="n">
        <f aca="false">MEDIAN(F769:F789)</f>
        <v>964.674477709755</v>
      </c>
      <c r="H779" s="13" t="n">
        <f aca="false">B779/G779</f>
        <v>18.9379945485576</v>
      </c>
      <c r="I779" s="14" t="n">
        <f aca="false">B779/Summary!$C$8*100</f>
        <v>183.072621779519</v>
      </c>
      <c r="J779" s="14" t="n">
        <f aca="false">G779/Summary!$E$8*100</f>
        <v>163.952045464189</v>
      </c>
      <c r="K779" s="15" t="n">
        <f aca="false">Summary!$D$9</f>
        <v>16.9374488591431</v>
      </c>
      <c r="L779" s="16" t="str">
        <f aca="false">IF(OR(D779="",E779=""),"edge hidden",IF(AND(H779&gt;=D779-0.02,H779&lt;=E779+0.02),"yes","no"))</f>
        <v>no</v>
      </c>
    </row>
    <row r="780" customFormat="false" ht="15" hidden="false" customHeight="false" outlineLevel="0" collapsed="false">
      <c r="A780" s="9" t="n">
        <v>44914</v>
      </c>
      <c r="B780" s="10" t="n">
        <v>18420.45</v>
      </c>
      <c r="C780" s="11" t="n">
        <v>18.9179</v>
      </c>
      <c r="D780" s="11" t="n">
        <v>18.6915</v>
      </c>
      <c r="E780" s="11" t="n">
        <v>19.1443</v>
      </c>
      <c r="F780" s="12" t="n">
        <f aca="false">IF(C780="","",B780/C780)</f>
        <v>973.704798101269</v>
      </c>
      <c r="G780" s="12" t="n">
        <f aca="false">MEDIAN(F770:F790)</f>
        <v>965.516132490085</v>
      </c>
      <c r="H780" s="13" t="n">
        <f aca="false">B780/G780</f>
        <v>19.0783451256203</v>
      </c>
      <c r="I780" s="14" t="n">
        <f aca="false">B780/Summary!$C$8*100</f>
        <v>184.590293713862</v>
      </c>
      <c r="J780" s="14" t="n">
        <f aca="false">G780/Summary!$E$8*100</f>
        <v>164.095089595653</v>
      </c>
      <c r="K780" s="15" t="n">
        <f aca="false">Summary!$D$9</f>
        <v>16.9374488591431</v>
      </c>
      <c r="L780" s="16" t="str">
        <f aca="false">IF(OR(D780="",E780=""),"edge hidden",IF(AND(H780&gt;=D780-0.02,H780&lt;=E780+0.02),"yes","no"))</f>
        <v>yes</v>
      </c>
    </row>
    <row r="781" customFormat="false" ht="15" hidden="false" customHeight="false" outlineLevel="0" collapsed="false">
      <c r="A781" s="9" t="n">
        <v>44915</v>
      </c>
      <c r="B781" s="10" t="n">
        <v>18385.3</v>
      </c>
      <c r="C781" s="11" t="n">
        <v>18.8076</v>
      </c>
      <c r="D781" s="11" t="n">
        <v>18.4789</v>
      </c>
      <c r="E781" s="11" t="n">
        <v>19.1364</v>
      </c>
      <c r="F781" s="12" t="n">
        <f aca="false">IF(C781="","",B781/C781)</f>
        <v>977.546311065739</v>
      </c>
      <c r="G781" s="12" t="n">
        <f aca="false">MEDIAN(F771:F791)</f>
        <v>965.849331052892</v>
      </c>
      <c r="H781" s="13" t="n">
        <f aca="false">B781/G781</f>
        <v>19.0353706410479</v>
      </c>
      <c r="I781" s="14" t="n">
        <f aca="false">B781/Summary!$C$8*100</f>
        <v>184.238057540259</v>
      </c>
      <c r="J781" s="14" t="n">
        <f aca="false">G781/Summary!$E$8*100</f>
        <v>164.151718631852</v>
      </c>
      <c r="K781" s="15" t="n">
        <f aca="false">Summary!$D$9</f>
        <v>16.9374488591431</v>
      </c>
      <c r="L781" s="16" t="str">
        <f aca="false">IF(OR(D781="",E781=""),"edge hidden",IF(AND(H781&gt;=D781-0.02,H781&lt;=E781+0.02),"yes","no"))</f>
        <v>yes</v>
      </c>
    </row>
    <row r="782" customFormat="false" ht="15" hidden="false" customHeight="false" outlineLevel="0" collapsed="false">
      <c r="A782" s="9" t="n">
        <v>44916</v>
      </c>
      <c r="B782" s="10" t="n">
        <v>18199.1</v>
      </c>
      <c r="C782" s="11" t="n">
        <v>18.8037</v>
      </c>
      <c r="D782" s="11" t="n">
        <v>18.4789</v>
      </c>
      <c r="E782" s="11" t="n">
        <v>19.1285</v>
      </c>
      <c r="F782" s="12" t="n">
        <f aca="false">IF(C782="","",B782/C782)</f>
        <v>967.846753564458</v>
      </c>
      <c r="G782" s="12" t="n">
        <f aca="false">MEDIAN(F772:F792)</f>
        <v>967.01297176733</v>
      </c>
      <c r="H782" s="13" t="n">
        <f aca="false">B782/G782</f>
        <v>18.8199130015175</v>
      </c>
      <c r="I782" s="14" t="n">
        <f aca="false">B782/Summary!$C$8*100</f>
        <v>182.372157809823</v>
      </c>
      <c r="J782" s="14" t="n">
        <f aca="false">G782/Summary!$E$8*100</f>
        <v>164.349486147968</v>
      </c>
      <c r="K782" s="15" t="n">
        <f aca="false">Summary!$D$9</f>
        <v>16.9374488591431</v>
      </c>
      <c r="L782" s="16" t="str">
        <f aca="false">IF(OR(D782="",E782=""),"edge hidden",IF(AND(H782&gt;=D782-0.02,H782&lt;=E782+0.02),"yes","no"))</f>
        <v>yes</v>
      </c>
    </row>
    <row r="783" customFormat="false" ht="15" hidden="false" customHeight="false" outlineLevel="0" collapsed="false">
      <c r="A783" s="9" t="n">
        <v>44917</v>
      </c>
      <c r="B783" s="10" t="n">
        <v>18127.35</v>
      </c>
      <c r="C783" s="11" t="n">
        <v>18.7683</v>
      </c>
      <c r="D783" s="11" t="n">
        <v>18.471</v>
      </c>
      <c r="E783" s="11" t="n">
        <v>19.0655</v>
      </c>
      <c r="F783" s="12" t="n">
        <f aca="false">IF(C783="","",B783/C783)</f>
        <v>965.849331052892</v>
      </c>
      <c r="G783" s="12" t="n">
        <f aca="false">MEDIAN(F773:F793)</f>
        <v>967.01297176733</v>
      </c>
      <c r="H783" s="13" t="n">
        <f aca="false">B783/G783</f>
        <v>18.7457154446131</v>
      </c>
      <c r="I783" s="14" t="n">
        <f aca="false">B783/Summary!$C$8*100</f>
        <v>181.653155094147</v>
      </c>
      <c r="J783" s="14" t="n">
        <f aca="false">G783/Summary!$E$8*100</f>
        <v>164.349486147968</v>
      </c>
      <c r="K783" s="15" t="n">
        <f aca="false">Summary!$D$9</f>
        <v>16.9374488591431</v>
      </c>
      <c r="L783" s="16" t="str">
        <f aca="false">IF(OR(D783="",E783=""),"edge hidden",IF(AND(H783&gt;=D783-0.02,H783&lt;=E783+0.02),"yes","no"))</f>
        <v>yes</v>
      </c>
    </row>
    <row r="784" customFormat="false" ht="15" hidden="false" customHeight="false" outlineLevel="0" collapsed="false">
      <c r="A784" s="9" t="n">
        <v>44918</v>
      </c>
      <c r="B784" s="10" t="n">
        <v>17806.8</v>
      </c>
      <c r="C784" s="11" t="n">
        <v>18.6856</v>
      </c>
      <c r="D784" s="11" t="n">
        <v>18.471</v>
      </c>
      <c r="E784" s="11" t="n">
        <v>18.9002</v>
      </c>
      <c r="F784" s="12" t="n">
        <f aca="false">IF(C784="","",B784/C784)</f>
        <v>952.969131309672</v>
      </c>
      <c r="G784" s="12" t="n">
        <f aca="false">MEDIAN(F774:F794)</f>
        <v>967.01297176733</v>
      </c>
      <c r="H784" s="13" t="n">
        <f aca="false">B784/G784</f>
        <v>18.4142307496206</v>
      </c>
      <c r="I784" s="14" t="n">
        <f aca="false">B784/Summary!$C$8*100</f>
        <v>178.440941567877</v>
      </c>
      <c r="J784" s="14" t="n">
        <f aca="false">G784/Summary!$E$8*100</f>
        <v>164.349486147968</v>
      </c>
      <c r="K784" s="15" t="n">
        <f aca="false">Summary!$D$9</f>
        <v>16.9374488591431</v>
      </c>
      <c r="L784" s="16" t="str">
        <f aca="false">IF(OR(D784="",E784=""),"edge hidden",IF(AND(H784&gt;=D784-0.02,H784&lt;=E784+0.02),"yes","no"))</f>
        <v>no</v>
      </c>
    </row>
    <row r="785" customFormat="false" ht="15" hidden="false" customHeight="false" outlineLevel="0" collapsed="false">
      <c r="A785" s="9" t="n">
        <v>44921</v>
      </c>
      <c r="B785" s="10" t="n">
        <v>18014.6</v>
      </c>
      <c r="C785" s="11" t="n">
        <v>18.658</v>
      </c>
      <c r="D785" s="11" t="n">
        <v>18.4789</v>
      </c>
      <c r="E785" s="11" t="n">
        <v>18.8372</v>
      </c>
      <c r="F785" s="12" t="n">
        <f aca="false">IF(C785="","",B785/C785)</f>
        <v>965.516132490085</v>
      </c>
      <c r="G785" s="12" t="n">
        <f aca="false">MEDIAN(F775:F795)</f>
        <v>967.312650752724</v>
      </c>
      <c r="H785" s="13" t="n">
        <f aca="false">B785/G785</f>
        <v>18.6233478761823</v>
      </c>
      <c r="I785" s="14" t="n">
        <f aca="false">B785/Summary!$C$8*100</f>
        <v>180.523293683799</v>
      </c>
      <c r="J785" s="14" t="n">
        <f aca="false">G785/Summary!$E$8*100</f>
        <v>164.400418336777</v>
      </c>
      <c r="K785" s="15" t="n">
        <f aca="false">Summary!$D$9</f>
        <v>16.9374488591431</v>
      </c>
      <c r="L785" s="16" t="str">
        <f aca="false">IF(OR(D785="",E785=""),"edge hidden",IF(AND(H785&gt;=D785-0.02,H785&lt;=E785+0.02),"yes","no"))</f>
        <v>yes</v>
      </c>
    </row>
    <row r="786" customFormat="false" ht="15" hidden="false" customHeight="false" outlineLevel="0" collapsed="false">
      <c r="A786" s="9" t="n">
        <v>44922</v>
      </c>
      <c r="B786" s="10" t="n">
        <v>18132.3</v>
      </c>
      <c r="C786" s="11" t="n">
        <v>18.6659</v>
      </c>
      <c r="D786" s="11" t="n">
        <v>18.4947</v>
      </c>
      <c r="E786" s="11" t="n">
        <v>18.8372</v>
      </c>
      <c r="F786" s="12" t="n">
        <f aca="false">IF(C786="","",B786/C786)</f>
        <v>971.413111609941</v>
      </c>
      <c r="G786" s="12" t="n">
        <f aca="false">MEDIAN(F776:F796)</f>
        <v>967.312650752724</v>
      </c>
      <c r="H786" s="13" t="n">
        <f aca="false">B786/G786</f>
        <v>18.7450251848667</v>
      </c>
      <c r="I786" s="14" t="n">
        <f aca="false">B786/Summary!$C$8*100</f>
        <v>181.702758765821</v>
      </c>
      <c r="J786" s="14" t="n">
        <f aca="false">G786/Summary!$E$8*100</f>
        <v>164.400418336777</v>
      </c>
      <c r="K786" s="15" t="n">
        <f aca="false">Summary!$D$9</f>
        <v>16.9374488591431</v>
      </c>
      <c r="L786" s="16" t="str">
        <f aca="false">IF(OR(D786="",E786=""),"edge hidden",IF(AND(H786&gt;=D786-0.02,H786&lt;=E786+0.02),"yes","no"))</f>
        <v>yes</v>
      </c>
    </row>
    <row r="787" customFormat="false" ht="15" hidden="false" customHeight="false" outlineLevel="0" collapsed="false">
      <c r="A787" s="9" t="n">
        <v>44923</v>
      </c>
      <c r="B787" s="10" t="n">
        <v>18122.5</v>
      </c>
      <c r="C787" s="11" t="n">
        <v>18.7407</v>
      </c>
      <c r="D787" s="11" t="n">
        <v>18.6443</v>
      </c>
      <c r="E787" s="11" t="n">
        <v>18.8372</v>
      </c>
      <c r="F787" s="12" t="n">
        <f aca="false">IF(C787="","",B787/C787)</f>
        <v>967.01297176733</v>
      </c>
      <c r="G787" s="12" t="n">
        <f aca="false">MEDIAN(F777:F797)</f>
        <v>967.01297176733</v>
      </c>
      <c r="H787" s="13" t="n">
        <f aca="false">B787/G787</f>
        <v>18.7407</v>
      </c>
      <c r="I787" s="14" t="n">
        <f aca="false">B787/Summary!$C$8*100</f>
        <v>181.60455351685</v>
      </c>
      <c r="J787" s="14" t="n">
        <f aca="false">G787/Summary!$E$8*100</f>
        <v>164.349486147968</v>
      </c>
      <c r="K787" s="15" t="n">
        <f aca="false">Summary!$D$9</f>
        <v>16.9374488591431</v>
      </c>
      <c r="L787" s="16" t="str">
        <f aca="false">IF(OR(D787="",E787=""),"edge hidden",IF(AND(H787&gt;=D787-0.02,H787&lt;=E787+0.02),"yes","no"))</f>
        <v>yes</v>
      </c>
    </row>
    <row r="788" customFormat="false" ht="15" hidden="false" customHeight="false" outlineLevel="0" collapsed="false">
      <c r="A788" s="9" t="n">
        <v>44924</v>
      </c>
      <c r="B788" s="10" t="n">
        <v>18191</v>
      </c>
      <c r="C788" s="11" t="n">
        <v>18.7643</v>
      </c>
      <c r="D788" s="11" t="n">
        <v>18.6915</v>
      </c>
      <c r="E788" s="11" t="n">
        <v>18.8372</v>
      </c>
      <c r="F788" s="12" t="n">
        <f aca="false">IF(C788="","",B788/C788)</f>
        <v>969.447301524704</v>
      </c>
      <c r="G788" s="12" t="n">
        <f aca="false">MEDIAN(F778:F798)</f>
        <v>966.86384464678</v>
      </c>
      <c r="H788" s="13" t="n">
        <f aca="false">B788/G788</f>
        <v>18.8144381452651</v>
      </c>
      <c r="I788" s="14" t="n">
        <f aca="false">B788/Summary!$C$8*100</f>
        <v>182.290988165265</v>
      </c>
      <c r="J788" s="14" t="n">
        <f aca="false">G788/Summary!$E$8*100</f>
        <v>164.324141125358</v>
      </c>
      <c r="K788" s="15" t="n">
        <f aca="false">Summary!$D$9</f>
        <v>16.9374488591431</v>
      </c>
      <c r="L788" s="16" t="str">
        <f aca="false">IF(OR(D788="",E788=""),"edge hidden",IF(AND(H788&gt;=D788-0.02,H788&lt;=E788+0.02),"yes","no"))</f>
        <v>yes</v>
      </c>
    </row>
    <row r="789" customFormat="false" ht="15" hidden="false" customHeight="false" outlineLevel="0" collapsed="false">
      <c r="A789" s="9" t="n">
        <v>44925</v>
      </c>
      <c r="B789" s="10" t="n">
        <v>18105.3</v>
      </c>
      <c r="C789" s="11" t="n">
        <v>18.7683</v>
      </c>
      <c r="D789" s="11" t="n">
        <v>18.6994</v>
      </c>
      <c r="E789" s="11" t="n">
        <v>18.8372</v>
      </c>
      <c r="F789" s="12" t="n">
        <f aca="false">IF(C789="","",B789/C789)</f>
        <v>964.674477709755</v>
      </c>
      <c r="G789" s="12" t="n">
        <f aca="false">MEDIAN(F779:F799)</f>
        <v>967.01297176733</v>
      </c>
      <c r="H789" s="13" t="n">
        <f aca="false">B789/G789</f>
        <v>18.7229132685888</v>
      </c>
      <c r="I789" s="14" t="n">
        <f aca="false">B789/Summary!$C$8*100</f>
        <v>181.432193283963</v>
      </c>
      <c r="J789" s="14" t="n">
        <f aca="false">G789/Summary!$E$8*100</f>
        <v>164.349486147968</v>
      </c>
      <c r="K789" s="15" t="n">
        <f aca="false">Summary!$D$9</f>
        <v>16.9374488591431</v>
      </c>
      <c r="L789" s="16" t="str">
        <f aca="false">IF(OR(D789="",E789=""),"edge hidden",IF(AND(H789&gt;=D789-0.02,H789&lt;=E789+0.02),"yes","no"))</f>
        <v>yes</v>
      </c>
    </row>
    <row r="790" customFormat="false" ht="15" hidden="false" customHeight="false" outlineLevel="0" collapsed="false">
      <c r="A790" s="9" t="n">
        <v>44928</v>
      </c>
      <c r="B790" s="10" t="n">
        <v>18197.45</v>
      </c>
      <c r="C790" s="11" t="n">
        <v>18.6423</v>
      </c>
      <c r="D790" s="11" t="n">
        <v>18.4632</v>
      </c>
      <c r="E790" s="11" t="n">
        <v>18.8214</v>
      </c>
      <c r="F790" s="12" t="n">
        <f aca="false">IF(C790="","",B790/C790)</f>
        <v>976.137601047081</v>
      </c>
      <c r="G790" s="12" t="n">
        <f aca="false">MEDIAN(F780:F800)</f>
        <v>967.053959847605</v>
      </c>
      <c r="H790" s="13" t="n">
        <f aca="false">B790/G790</f>
        <v>18.81740911631</v>
      </c>
      <c r="I790" s="14" t="n">
        <f aca="false">B790/Summary!$C$8*100</f>
        <v>182.355623252598</v>
      </c>
      <c r="J790" s="14" t="n">
        <f aca="false">G790/Summary!$E$8*100</f>
        <v>164.356452310913</v>
      </c>
      <c r="K790" s="15" t="n">
        <f aca="false">Summary!$D$9</f>
        <v>16.9374488591431</v>
      </c>
      <c r="L790" s="16" t="str">
        <f aca="false">IF(OR(D790="",E790=""),"edge hidden",IF(AND(H790&gt;=D790-0.02,H790&lt;=E790+0.02),"yes","no"))</f>
        <v>yes</v>
      </c>
    </row>
    <row r="791" customFormat="false" ht="15" hidden="false" customHeight="false" outlineLevel="0" collapsed="false">
      <c r="A791" s="9" t="n">
        <v>44929</v>
      </c>
      <c r="B791" s="10" t="n">
        <v>18232.55</v>
      </c>
      <c r="C791" s="11" t="n">
        <v>18.6305</v>
      </c>
      <c r="D791" s="11" t="n">
        <v>18.4395</v>
      </c>
      <c r="E791" s="11" t="n">
        <v>18.8214</v>
      </c>
      <c r="F791" s="12" t="n">
        <f aca="false">IF(C791="","",B791/C791)</f>
        <v>978.63986473793</v>
      </c>
      <c r="G791" s="12" t="n">
        <f aca="false">MEDIAN(F781:F801)</f>
        <v>967.053959847605</v>
      </c>
      <c r="H791" s="13" t="n">
        <f aca="false">B791/G791</f>
        <v>18.8537049192924</v>
      </c>
      <c r="I791" s="14" t="n">
        <f aca="false">B791/Summary!$C$8*100</f>
        <v>182.707358379012</v>
      </c>
      <c r="J791" s="14" t="n">
        <f aca="false">G791/Summary!$E$8*100</f>
        <v>164.356452310913</v>
      </c>
      <c r="K791" s="15" t="n">
        <f aca="false">Summary!$D$9</f>
        <v>16.9374488591431</v>
      </c>
      <c r="L791" s="16" t="str">
        <f aca="false">IF(OR(D791="",E791=""),"edge hidden",IF(AND(H791&gt;=D791-0.02,H791&lt;=E791+0.02),"yes","no"))</f>
        <v>no</v>
      </c>
    </row>
    <row r="792" customFormat="false" ht="15" hidden="false" customHeight="false" outlineLevel="0" collapsed="false">
      <c r="A792" s="9" t="n">
        <v>44930</v>
      </c>
      <c r="B792" s="10" t="n">
        <v>18042.95</v>
      </c>
      <c r="C792" s="11" t="n">
        <v>18.6265</v>
      </c>
      <c r="D792" s="11" t="n">
        <v>18.4317</v>
      </c>
      <c r="E792" s="11" t="n">
        <v>18.8214</v>
      </c>
      <c r="F792" s="12" t="n">
        <f aca="false">IF(C792="","",B792/C792)</f>
        <v>968.670979518428</v>
      </c>
      <c r="G792" s="12" t="n">
        <f aca="false">MEDIAN(F782:F802)</f>
        <v>967.053959847605</v>
      </c>
      <c r="H792" s="13" t="n">
        <f aca="false">B792/G792</f>
        <v>18.6576455390797</v>
      </c>
      <c r="I792" s="14" t="n">
        <f aca="false">B792/Summary!$C$8*100</f>
        <v>180.807387439749</v>
      </c>
      <c r="J792" s="14" t="n">
        <f aca="false">G792/Summary!$E$8*100</f>
        <v>164.356452310913</v>
      </c>
      <c r="K792" s="15" t="n">
        <f aca="false">Summary!$D$9</f>
        <v>16.9374488591431</v>
      </c>
      <c r="L792" s="16" t="str">
        <f aca="false">IF(OR(D792="",E792=""),"edge hidden",IF(AND(H792&gt;=D792-0.02,H792&lt;=E792+0.02),"yes","no"))</f>
        <v>yes</v>
      </c>
    </row>
    <row r="793" customFormat="false" ht="15" hidden="false" customHeight="false" outlineLevel="0" collapsed="false">
      <c r="A793" s="9" t="n">
        <v>44931</v>
      </c>
      <c r="B793" s="10" t="n">
        <v>17992.15</v>
      </c>
      <c r="C793" s="11" t="n">
        <v>18.6108</v>
      </c>
      <c r="D793" s="11" t="n">
        <v>18.4238</v>
      </c>
      <c r="E793" s="11" t="n">
        <v>18.7978</v>
      </c>
      <c r="F793" s="12" t="n">
        <f aca="false">IF(C793="","",B793/C793)</f>
        <v>966.758548799622</v>
      </c>
      <c r="G793" s="12" t="n">
        <f aca="false">MEDIAN(F783:F803)</f>
        <v>967.053959847605</v>
      </c>
      <c r="H793" s="13" t="n">
        <f aca="false">B793/G793</f>
        <v>18.605114861259</v>
      </c>
      <c r="I793" s="14" t="n">
        <f aca="false">B793/Summary!$C$8*100</f>
        <v>180.298323496107</v>
      </c>
      <c r="J793" s="14" t="n">
        <f aca="false">G793/Summary!$E$8*100</f>
        <v>164.356452310913</v>
      </c>
      <c r="K793" s="15" t="n">
        <f aca="false">Summary!$D$9</f>
        <v>16.9374488591431</v>
      </c>
      <c r="L793" s="16" t="str">
        <f aca="false">IF(OR(D793="",E793=""),"edge hidden",IF(AND(H793&gt;=D793-0.02,H793&lt;=E793+0.02),"yes","no"))</f>
        <v>yes</v>
      </c>
    </row>
    <row r="794" customFormat="false" ht="15" hidden="false" customHeight="false" outlineLevel="0" collapsed="false">
      <c r="A794" s="9" t="n">
        <v>44932</v>
      </c>
      <c r="B794" s="10" t="n">
        <v>17859.45</v>
      </c>
      <c r="C794" s="11" t="n">
        <v>18.5399</v>
      </c>
      <c r="D794" s="11" t="n">
        <v>18.4159</v>
      </c>
      <c r="E794" s="11" t="n">
        <v>18.6639</v>
      </c>
      <c r="F794" s="12" t="n">
        <f aca="false">IF(C794="","",B794/C794)</f>
        <v>963.298076041403</v>
      </c>
      <c r="G794" s="12" t="n">
        <f aca="false">MEDIAN(F784:F804)</f>
        <v>968.670979518428</v>
      </c>
      <c r="H794" s="13" t="n">
        <f aca="false">B794/G794</f>
        <v>18.4370651930532</v>
      </c>
      <c r="I794" s="14" t="n">
        <f aca="false">B794/Summary!$C$8*100</f>
        <v>178.968544257498</v>
      </c>
      <c r="J794" s="14" t="n">
        <f aca="false">G794/Summary!$E$8*100</f>
        <v>164.631274221011</v>
      </c>
      <c r="K794" s="15" t="n">
        <f aca="false">Summary!$D$9</f>
        <v>16.9374488591431</v>
      </c>
      <c r="L794" s="16" t="str">
        <f aca="false">IF(OR(D794="",E794=""),"edge hidden",IF(AND(H794&gt;=D794-0.02,H794&lt;=E794+0.02),"yes","no"))</f>
        <v>yes</v>
      </c>
    </row>
    <row r="795" customFormat="false" ht="15" hidden="false" customHeight="false" outlineLevel="0" collapsed="false">
      <c r="A795" s="9" t="n">
        <v>44935</v>
      </c>
      <c r="B795" s="10" t="n">
        <v>18101.2</v>
      </c>
      <c r="C795" s="11" t="n">
        <v>18.5321</v>
      </c>
      <c r="D795" s="11" t="n">
        <v>18.4159</v>
      </c>
      <c r="E795" s="11" t="n">
        <v>18.6482</v>
      </c>
      <c r="F795" s="12" t="n">
        <f aca="false">IF(C795="","",B795/C795)</f>
        <v>976.748452684801</v>
      </c>
      <c r="G795" s="12" t="n">
        <f aca="false">MEDIAN(F785:F805)</f>
        <v>969.447301524704</v>
      </c>
      <c r="H795" s="13" t="n">
        <f aca="false">B795/G795</f>
        <v>18.6716699005002</v>
      </c>
      <c r="I795" s="14" t="n">
        <f aca="false">B795/Summary!$C$8*100</f>
        <v>181.391107414496</v>
      </c>
      <c r="J795" s="14" t="n">
        <f aca="false">G795/Summary!$E$8*100</f>
        <v>164.763214667046</v>
      </c>
      <c r="K795" s="15" t="n">
        <f aca="false">Summary!$D$9</f>
        <v>16.9374488591431</v>
      </c>
      <c r="L795" s="16" t="str">
        <f aca="false">IF(OR(D795="",E795=""),"edge hidden",IF(AND(H795&gt;=D795-0.02,H795&lt;=E795+0.02),"yes","no"))</f>
        <v>no</v>
      </c>
    </row>
    <row r="796" customFormat="false" ht="15" hidden="false" customHeight="false" outlineLevel="0" collapsed="false">
      <c r="A796" s="9" t="n">
        <v>44936</v>
      </c>
      <c r="B796" s="10" t="n">
        <v>17914.15</v>
      </c>
      <c r="C796" s="11" t="n">
        <v>18.5281</v>
      </c>
      <c r="D796" s="11" t="n">
        <v>18.4159</v>
      </c>
      <c r="E796" s="11" t="n">
        <v>18.6403</v>
      </c>
      <c r="F796" s="12" t="n">
        <f aca="false">IF(C796="","",B796/C796)</f>
        <v>966.86384464678</v>
      </c>
      <c r="G796" s="12" t="n">
        <f aca="false">MEDIAN(F786:F806)</f>
        <v>970.390985976384</v>
      </c>
      <c r="H796" s="13" t="n">
        <f aca="false">B796/G796</f>
        <v>18.4607547461658</v>
      </c>
      <c r="I796" s="14" t="n">
        <f aca="false">B796/Summary!$C$8*100</f>
        <v>179.516689881853</v>
      </c>
      <c r="J796" s="14" t="n">
        <f aca="false">G796/Summary!$E$8*100</f>
        <v>164.923599335347</v>
      </c>
      <c r="K796" s="15" t="n">
        <f aca="false">Summary!$D$9</f>
        <v>16.9374488591431</v>
      </c>
      <c r="L796" s="16" t="str">
        <f aca="false">IF(OR(D796="",E796=""),"edge hidden",IF(AND(H796&gt;=D796-0.02,H796&lt;=E796+0.02),"yes","no"))</f>
        <v>yes</v>
      </c>
    </row>
    <row r="797" customFormat="false" ht="15" hidden="false" customHeight="false" outlineLevel="0" collapsed="false">
      <c r="A797" s="9" t="n">
        <v>44937</v>
      </c>
      <c r="B797" s="10" t="n">
        <v>17895.7</v>
      </c>
      <c r="C797" s="11" t="n">
        <v>18.5202</v>
      </c>
      <c r="D797" s="11" t="n">
        <v>18.4238</v>
      </c>
      <c r="E797" s="11" t="n">
        <v>18.6167</v>
      </c>
      <c r="F797" s="12" t="n">
        <f aca="false">IF(C797="","",B797/C797)</f>
        <v>966.280061770391</v>
      </c>
      <c r="G797" s="12" t="n">
        <f aca="false">MEDIAN(F787:F807)</f>
        <v>970.390985976384</v>
      </c>
      <c r="H797" s="13" t="n">
        <f aca="false">B797/G797</f>
        <v>18.4417417913191</v>
      </c>
      <c r="I797" s="14" t="n">
        <f aca="false">B797/Summary!$C$8*100</f>
        <v>179.331803469251</v>
      </c>
      <c r="J797" s="14" t="n">
        <f aca="false">G797/Summary!$E$8*100</f>
        <v>164.923599335347</v>
      </c>
      <c r="K797" s="15" t="n">
        <f aca="false">Summary!$D$9</f>
        <v>16.9374488591431</v>
      </c>
      <c r="L797" s="16" t="str">
        <f aca="false">IF(OR(D797="",E797=""),"edge hidden",IF(AND(H797&gt;=D797-0.02,H797&lt;=E797+0.02),"yes","no"))</f>
        <v>yes</v>
      </c>
    </row>
    <row r="798" customFormat="false" ht="15" hidden="false" customHeight="false" outlineLevel="0" collapsed="false">
      <c r="A798" s="9" t="n">
        <v>44938</v>
      </c>
      <c r="B798" s="10" t="n">
        <v>17858.2</v>
      </c>
      <c r="C798" s="11" t="n">
        <v>18.5124</v>
      </c>
      <c r="D798" s="11" t="n">
        <v>18.4238</v>
      </c>
      <c r="E798" s="11" t="n">
        <v>18.601</v>
      </c>
      <c r="F798" s="12" t="n">
        <f aca="false">IF(C798="","",B798/C798)</f>
        <v>964.661524167585</v>
      </c>
      <c r="G798" s="12" t="n">
        <f aca="false">MEDIAN(F788:F808)</f>
        <v>970.390985976384</v>
      </c>
      <c r="H798" s="13" t="n">
        <f aca="false">B798/G798</f>
        <v>18.403097574151</v>
      </c>
      <c r="I798" s="14" t="n">
        <f aca="false">B798/Summary!$C$8*100</f>
        <v>178.956018077783</v>
      </c>
      <c r="J798" s="14" t="n">
        <f aca="false">G798/Summary!$E$8*100</f>
        <v>164.923599335347</v>
      </c>
      <c r="K798" s="15" t="n">
        <f aca="false">Summary!$D$9</f>
        <v>16.9374488591431</v>
      </c>
      <c r="L798" s="16" t="str">
        <f aca="false">IF(OR(D798="",E798=""),"edge hidden",IF(AND(H798&gt;=D798-0.02,H798&lt;=E798+0.02),"yes","no"))</f>
        <v>no</v>
      </c>
    </row>
    <row r="799" customFormat="false" ht="15" hidden="false" customHeight="false" outlineLevel="0" collapsed="false">
      <c r="A799" s="9" t="n">
        <v>44939</v>
      </c>
      <c r="B799" s="10" t="n">
        <v>17956.6</v>
      </c>
      <c r="C799" s="11" t="n">
        <v>18.5045</v>
      </c>
      <c r="D799" s="11" t="n">
        <v>18.4317</v>
      </c>
      <c r="E799" s="11" t="n">
        <v>18.5773</v>
      </c>
      <c r="F799" s="12" t="n">
        <f aca="false">IF(C799="","",B799/C799)</f>
        <v>970.390985976384</v>
      </c>
      <c r="G799" s="12" t="n">
        <f aca="false">MEDIAN(F789:F809)</f>
        <v>974.70853652475</v>
      </c>
      <c r="H799" s="13" t="n">
        <f aca="false">B799/G799</f>
        <v>18.4225328158332</v>
      </c>
      <c r="I799" s="14" t="n">
        <f aca="false">B799/Summary!$C$8*100</f>
        <v>179.942078944995</v>
      </c>
      <c r="J799" s="14" t="n">
        <f aca="false">G799/Summary!$E$8*100</f>
        <v>165.657392195173</v>
      </c>
      <c r="K799" s="15" t="n">
        <f aca="false">Summary!$D$9</f>
        <v>16.9374488591431</v>
      </c>
      <c r="L799" s="16" t="str">
        <f aca="false">IF(OR(D799="",E799=""),"edge hidden",IF(AND(H799&gt;=D799-0.02,H799&lt;=E799+0.02),"yes","no"))</f>
        <v>yes</v>
      </c>
    </row>
    <row r="800" customFormat="false" ht="15" hidden="false" customHeight="false" outlineLevel="0" collapsed="false">
      <c r="A800" s="9" t="n">
        <v>44942</v>
      </c>
      <c r="B800" s="10" t="n">
        <v>17894.85</v>
      </c>
      <c r="C800" s="11" t="n">
        <v>18.5045</v>
      </c>
      <c r="D800" s="11" t="n">
        <v>18.4159</v>
      </c>
      <c r="E800" s="11" t="n">
        <v>18.5931</v>
      </c>
      <c r="F800" s="12" t="n">
        <f aca="false">IF(C800="","",B800/C800)</f>
        <v>967.053959847605</v>
      </c>
      <c r="G800" s="12" t="n">
        <f aca="false">MEDIAN(F790:F810)</f>
        <v>975.437540385157</v>
      </c>
      <c r="H800" s="13" t="n">
        <f aca="false">B800/G800</f>
        <v>18.3454596108062</v>
      </c>
      <c r="I800" s="14" t="n">
        <f aca="false">B800/Summary!$C$8*100</f>
        <v>179.323285667044</v>
      </c>
      <c r="J800" s="14" t="n">
        <f aca="false">G800/Summary!$E$8*100</f>
        <v>165.781290646751</v>
      </c>
      <c r="K800" s="15" t="n">
        <f aca="false">Summary!$D$9</f>
        <v>16.9374488591431</v>
      </c>
      <c r="L800" s="16" t="str">
        <f aca="false">IF(OR(D800="",E800=""),"edge hidden",IF(AND(H800&gt;=D800-0.02,H800&lt;=E800+0.02),"yes","no"))</f>
        <v>no</v>
      </c>
    </row>
    <row r="801" customFormat="false" ht="15" hidden="false" customHeight="false" outlineLevel="0" collapsed="false">
      <c r="A801" s="9" t="n">
        <v>44943</v>
      </c>
      <c r="B801" s="10" t="n">
        <v>18053.3</v>
      </c>
      <c r="C801" s="11" t="n">
        <v>18.4927</v>
      </c>
      <c r="D801" s="11" t="n">
        <v>18.3923</v>
      </c>
      <c r="E801" s="11" t="n">
        <v>18.5931</v>
      </c>
      <c r="F801" s="12" t="n">
        <f aca="false">IF(C801="","",B801/C801)</f>
        <v>976.23927279413</v>
      </c>
      <c r="G801" s="12" t="n">
        <f aca="false">MEDIAN(F791:F811)</f>
        <v>974.70853652475</v>
      </c>
      <c r="H801" s="13" t="n">
        <f aca="false">B801/G801</f>
        <v>18.5217419602866</v>
      </c>
      <c r="I801" s="14" t="n">
        <f aca="false">B801/Summary!$C$8*100</f>
        <v>180.911104207794</v>
      </c>
      <c r="J801" s="14" t="n">
        <f aca="false">G801/Summary!$E$8*100</f>
        <v>165.657392195173</v>
      </c>
      <c r="K801" s="15" t="n">
        <f aca="false">Summary!$D$9</f>
        <v>16.9374488591431</v>
      </c>
      <c r="L801" s="16" t="str">
        <f aca="false">IF(OR(D801="",E801=""),"edge hidden",IF(AND(H801&gt;=D801-0.02,H801&lt;=E801+0.02),"yes","no"))</f>
        <v>yes</v>
      </c>
    </row>
    <row r="802" customFormat="false" ht="15" hidden="false" customHeight="false" outlineLevel="0" collapsed="false">
      <c r="A802" s="9" t="n">
        <v>44944</v>
      </c>
      <c r="B802" s="10" t="n">
        <v>18165.35</v>
      </c>
      <c r="C802" s="11" t="n">
        <v>18.4927</v>
      </c>
      <c r="D802" s="11" t="n">
        <v>18.3923</v>
      </c>
      <c r="E802" s="11" t="n">
        <v>18.5931</v>
      </c>
      <c r="F802" s="12" t="n">
        <f aca="false">IF(C802="","",B802/C802)</f>
        <v>982.298420457802</v>
      </c>
      <c r="G802" s="12" t="n">
        <f aca="false">MEDIAN(F792:F812)</f>
        <v>972.905356521547</v>
      </c>
      <c r="H802" s="13" t="n">
        <f aca="false">B802/G802</f>
        <v>18.6712406075623</v>
      </c>
      <c r="I802" s="14" t="n">
        <f aca="false">B802/Summary!$C$8*100</f>
        <v>182.033950957501</v>
      </c>
      <c r="J802" s="14" t="n">
        <f aca="false">G802/Summary!$E$8*100</f>
        <v>165.350931252444</v>
      </c>
      <c r="K802" s="15" t="n">
        <f aca="false">Summary!$D$9</f>
        <v>16.9374488591431</v>
      </c>
      <c r="L802" s="16" t="str">
        <f aca="false">IF(OR(D802="",E802=""),"edge hidden",IF(AND(H802&gt;=D802-0.02,H802&lt;=E802+0.02),"yes","no"))</f>
        <v>no</v>
      </c>
    </row>
    <row r="803" customFormat="false" ht="15" hidden="false" customHeight="false" outlineLevel="0" collapsed="false">
      <c r="A803" s="9" t="n">
        <v>44945</v>
      </c>
      <c r="B803" s="10" t="n">
        <v>18107.85</v>
      </c>
      <c r="C803" s="11" t="n">
        <v>18.4888</v>
      </c>
      <c r="D803" s="11" t="n">
        <v>18.3844</v>
      </c>
      <c r="E803" s="11" t="n">
        <v>18.5931</v>
      </c>
      <c r="F803" s="12" t="n">
        <f aca="false">IF(C803="","",B803/C803)</f>
        <v>979.395634113625</v>
      </c>
      <c r="G803" s="12" t="n">
        <f aca="false">MEDIAN(F793:F813)</f>
        <v>974.70853652475</v>
      </c>
      <c r="H803" s="13" t="n">
        <f aca="false">B803/G803</f>
        <v>18.5777074083727</v>
      </c>
      <c r="I803" s="14" t="n">
        <f aca="false">B803/Summary!$C$8*100</f>
        <v>181.457746690583</v>
      </c>
      <c r="J803" s="14" t="n">
        <f aca="false">G803/Summary!$E$8*100</f>
        <v>165.657392195173</v>
      </c>
      <c r="K803" s="15" t="n">
        <f aca="false">Summary!$D$9</f>
        <v>16.9374488591431</v>
      </c>
      <c r="L803" s="16" t="str">
        <f aca="false">IF(OR(D803="",E803=""),"edge hidden",IF(AND(H803&gt;=D803-0.02,H803&lt;=E803+0.02),"yes","no"))</f>
        <v>yes</v>
      </c>
    </row>
    <row r="804" customFormat="false" ht="15" hidden="false" customHeight="false" outlineLevel="0" collapsed="false">
      <c r="A804" s="9" t="n">
        <v>44946</v>
      </c>
      <c r="B804" s="10" t="n">
        <v>18027.65</v>
      </c>
      <c r="C804" s="11" t="n">
        <v>18.4809</v>
      </c>
      <c r="D804" s="11" t="n">
        <v>18.3765</v>
      </c>
      <c r="E804" s="11" t="n">
        <v>18.5852</v>
      </c>
      <c r="F804" s="12" t="n">
        <f aca="false">IF(C804="","",B804/C804)</f>
        <v>975.474679263456</v>
      </c>
      <c r="G804" s="12" t="n">
        <f aca="false">MEDIAN(F794:F814)</f>
        <v>975.437540385157</v>
      </c>
      <c r="H804" s="13" t="n">
        <f aca="false">B804/G804</f>
        <v>18.4816036431012</v>
      </c>
      <c r="I804" s="14" t="n">
        <f aca="false">B804/Summary!$C$8*100</f>
        <v>180.65406700003</v>
      </c>
      <c r="J804" s="14" t="n">
        <f aca="false">G804/Summary!$E$8*100</f>
        <v>165.781290646751</v>
      </c>
      <c r="K804" s="15" t="n">
        <f aca="false">Summary!$D$9</f>
        <v>16.9374488591431</v>
      </c>
      <c r="L804" s="16" t="str">
        <f aca="false">IF(OR(D804="",E804=""),"edge hidden",IF(AND(H804&gt;=D804-0.02,H804&lt;=E804+0.02),"yes","no"))</f>
        <v>yes</v>
      </c>
    </row>
    <row r="805" customFormat="false" ht="15" hidden="false" customHeight="false" outlineLevel="0" collapsed="false">
      <c r="A805" s="9" t="n">
        <v>44949</v>
      </c>
      <c r="B805" s="10" t="n">
        <v>18118.55</v>
      </c>
      <c r="C805" s="11" t="n">
        <v>18.3549</v>
      </c>
      <c r="D805" s="11" t="n">
        <v>18.1403</v>
      </c>
      <c r="E805" s="11" t="n">
        <v>18.5695</v>
      </c>
      <c r="F805" s="12" t="n">
        <f aca="false">IF(C805="","",B805/C805)</f>
        <v>987.123329465156</v>
      </c>
      <c r="G805" s="12" t="n">
        <f aca="false">MEDIAN(F795:F815)</f>
        <v>975.437540385157</v>
      </c>
      <c r="H805" s="13" t="n">
        <f aca="false">B805/G805</f>
        <v>18.5747925929176</v>
      </c>
      <c r="I805" s="14" t="n">
        <f aca="false">B805/Summary!$C$8*100</f>
        <v>181.564970788949</v>
      </c>
      <c r="J805" s="14" t="n">
        <f aca="false">G805/Summary!$E$8*100</f>
        <v>165.781290646751</v>
      </c>
      <c r="K805" s="15" t="n">
        <f aca="false">Summary!$D$9</f>
        <v>16.9374488591431</v>
      </c>
      <c r="L805" s="16" t="str">
        <f aca="false">IF(OR(D805="",E805=""),"edge hidden",IF(AND(H805&gt;=D805-0.02,H805&lt;=E805+0.02),"yes","no"))</f>
        <v>yes</v>
      </c>
    </row>
    <row r="806" customFormat="false" ht="15" hidden="false" customHeight="false" outlineLevel="0" collapsed="false">
      <c r="A806" s="9" t="n">
        <v>44950</v>
      </c>
      <c r="B806" s="10" t="n">
        <v>18118.3</v>
      </c>
      <c r="C806" s="11" t="n">
        <v>18.3037</v>
      </c>
      <c r="D806" s="11" t="n">
        <v>18.0458</v>
      </c>
      <c r="E806" s="11" t="n">
        <v>18.5616</v>
      </c>
      <c r="F806" s="12" t="n">
        <f aca="false">IF(C806="","",B806/C806)</f>
        <v>989.870900419041</v>
      </c>
      <c r="G806" s="12" t="n">
        <f aca="false">MEDIAN(F796:F816)</f>
        <v>975.437540385157</v>
      </c>
      <c r="H806" s="13" t="n">
        <f aca="false">B806/G806</f>
        <v>18.5745362976761</v>
      </c>
      <c r="I806" s="14" t="n">
        <f aca="false">B806/Summary!$C$8*100</f>
        <v>181.562465553006</v>
      </c>
      <c r="J806" s="14" t="n">
        <f aca="false">G806/Summary!$E$8*100</f>
        <v>165.781290646751</v>
      </c>
      <c r="K806" s="15" t="n">
        <f aca="false">Summary!$D$9</f>
        <v>16.9374488591431</v>
      </c>
      <c r="L806" s="16" t="str">
        <f aca="false">IF(OR(D806="",E806=""),"edge hidden",IF(AND(H806&gt;=D806-0.02,H806&lt;=E806+0.02),"yes","no"))</f>
        <v>yes</v>
      </c>
    </row>
    <row r="807" customFormat="false" ht="15" hidden="false" customHeight="false" outlineLevel="0" collapsed="false">
      <c r="A807" s="9" t="n">
        <v>44951</v>
      </c>
      <c r="B807" s="10" t="n">
        <v>17891.95</v>
      </c>
      <c r="C807" s="11" t="n">
        <v>18.2919</v>
      </c>
      <c r="D807" s="11" t="n">
        <v>18.038</v>
      </c>
      <c r="E807" s="11" t="n">
        <v>18.5458</v>
      </c>
      <c r="F807" s="12" t="n">
        <f aca="false">IF(C807="","",B807/C807)</f>
        <v>978.135130850267</v>
      </c>
      <c r="G807" s="12" t="n">
        <f aca="false">MEDIAN(F797:F817)</f>
        <v>975.474679263456</v>
      </c>
      <c r="H807" s="13" t="n">
        <f aca="false">B807/G807</f>
        <v>18.3417882394544</v>
      </c>
      <c r="I807" s="14" t="n">
        <f aca="false">B807/Summary!$C$8*100</f>
        <v>179.294224930104</v>
      </c>
      <c r="J807" s="14" t="n">
        <f aca="false">G807/Summary!$E$8*100</f>
        <v>165.787602615404</v>
      </c>
      <c r="K807" s="15" t="n">
        <f aca="false">Summary!$D$9</f>
        <v>16.9374488591431</v>
      </c>
      <c r="L807" s="16" t="str">
        <f aca="false">IF(OR(D807="",E807=""),"edge hidden",IF(AND(H807&gt;=D807-0.02,H807&lt;=E807+0.02),"yes","no"))</f>
        <v>yes</v>
      </c>
    </row>
    <row r="808" customFormat="false" ht="15" hidden="false" customHeight="false" outlineLevel="0" collapsed="false">
      <c r="A808" s="9" t="n">
        <v>44953</v>
      </c>
      <c r="B808" s="10" t="n">
        <v>17604.35</v>
      </c>
      <c r="C808" s="11" t="n">
        <v>18.1817</v>
      </c>
      <c r="D808" s="11" t="n">
        <v>18.0301</v>
      </c>
      <c r="E808" s="11" t="n">
        <v>18.3332</v>
      </c>
      <c r="F808" s="12" t="n">
        <f aca="false">IF(C808="","",B808/C808)</f>
        <v>968.245543596033</v>
      </c>
      <c r="G808" s="12" t="n">
        <f aca="false">MEDIAN(F798:F818)</f>
        <v>976.23927279413</v>
      </c>
      <c r="H808" s="13" t="n">
        <f aca="false">B808/G808</f>
        <v>18.032822987764</v>
      </c>
      <c r="I808" s="14" t="n">
        <f aca="false">B808/Summary!$C$8*100</f>
        <v>176.412201501137</v>
      </c>
      <c r="J808" s="14" t="n">
        <f aca="false">G808/Summary!$E$8*100</f>
        <v>165.917549738707</v>
      </c>
      <c r="K808" s="15" t="n">
        <f aca="false">Summary!$D$9</f>
        <v>16.9374488591431</v>
      </c>
      <c r="L808" s="16" t="str">
        <f aca="false">IF(OR(D808="",E808=""),"edge hidden",IF(AND(H808&gt;=D808-0.02,H808&lt;=E808+0.02),"yes","no"))</f>
        <v>yes</v>
      </c>
    </row>
    <row r="809" customFormat="false" ht="15" hidden="false" customHeight="false" outlineLevel="0" collapsed="false">
      <c r="A809" s="9" t="n">
        <v>44956</v>
      </c>
      <c r="B809" s="10" t="n">
        <v>17648.95</v>
      </c>
      <c r="C809" s="11" t="n">
        <v>18.1069</v>
      </c>
      <c r="D809" s="11" t="n">
        <v>17.9986</v>
      </c>
      <c r="E809" s="11" t="n">
        <v>18.2151</v>
      </c>
      <c r="F809" s="12" t="n">
        <f aca="false">IF(C809="","",B809/C809)</f>
        <v>974.70853652475</v>
      </c>
      <c r="G809" s="12" t="n">
        <f aca="false">MEDIAN(F799:F819)</f>
        <v>976.23927279413</v>
      </c>
      <c r="H809" s="13" t="n">
        <f aca="false">B809/G809</f>
        <v>18.0785085089707</v>
      </c>
      <c r="I809" s="14" t="n">
        <f aca="false">B809/Summary!$C$8*100</f>
        <v>176.85913559339</v>
      </c>
      <c r="J809" s="14" t="n">
        <f aca="false">G809/Summary!$E$8*100</f>
        <v>165.917549738707</v>
      </c>
      <c r="K809" s="15" t="n">
        <f aca="false">Summary!$D$9</f>
        <v>16.9374488591431</v>
      </c>
      <c r="L809" s="16" t="str">
        <f aca="false">IF(OR(D809="",E809=""),"edge hidden",IF(AND(H809&gt;=D809-0.02,H809&lt;=E809+0.02),"yes","no"))</f>
        <v>yes</v>
      </c>
    </row>
    <row r="810" customFormat="false" ht="15" hidden="false" customHeight="false" outlineLevel="0" collapsed="false">
      <c r="A810" s="9" t="n">
        <v>44957</v>
      </c>
      <c r="B810" s="10" t="n">
        <v>17662.15</v>
      </c>
      <c r="C810" s="11" t="n">
        <v>18.1069</v>
      </c>
      <c r="D810" s="11" t="n">
        <v>17.9986</v>
      </c>
      <c r="E810" s="11" t="n">
        <v>18.2151</v>
      </c>
      <c r="F810" s="12" t="n">
        <f aca="false">IF(C810="","",B810/C810)</f>
        <v>975.437540385157</v>
      </c>
      <c r="G810" s="12" t="n">
        <f aca="false">MEDIAN(F800:F820)</f>
        <v>977.909159469115</v>
      </c>
      <c r="H810" s="13" t="n">
        <f aca="false">B810/G810</f>
        <v>18.061135667845</v>
      </c>
      <c r="I810" s="14" t="n">
        <f aca="false">B810/Summary!$C$8*100</f>
        <v>176.991412051187</v>
      </c>
      <c r="J810" s="14" t="n">
        <f aca="false">G810/Summary!$E$8*100</f>
        <v>166.201356704045</v>
      </c>
      <c r="K810" s="15" t="n">
        <f aca="false">Summary!$D$9</f>
        <v>16.9374488591431</v>
      </c>
      <c r="L810" s="16" t="str">
        <f aca="false">IF(OR(D810="",E810=""),"edge hidden",IF(AND(H810&gt;=D810-0.02,H810&lt;=E810+0.02),"yes","no"))</f>
        <v>yes</v>
      </c>
    </row>
    <row r="811" customFormat="false" ht="15" hidden="false" customHeight="false" outlineLevel="0" collapsed="false">
      <c r="A811" s="9" t="n">
        <v>44958</v>
      </c>
      <c r="B811" s="10" t="n">
        <v>17616.3</v>
      </c>
      <c r="C811" s="11" t="n">
        <v>18.1069</v>
      </c>
      <c r="D811" s="11" t="n">
        <v>17.9986</v>
      </c>
      <c r="E811" s="11" t="n">
        <v>18.2151</v>
      </c>
      <c r="F811" s="12" t="n">
        <f aca="false">IF(C811="","",B811/C811)</f>
        <v>972.905356521547</v>
      </c>
      <c r="G811" s="12" t="n">
        <f aca="false">MEDIAN(F801:F821)</f>
        <v>978.135130850267</v>
      </c>
      <c r="H811" s="13" t="n">
        <f aca="false">B811/G811</f>
        <v>18.010088222357</v>
      </c>
      <c r="I811" s="14" t="n">
        <f aca="false">B811/Summary!$C$8*100</f>
        <v>176.531951779219</v>
      </c>
      <c r="J811" s="14" t="n">
        <f aca="false">G811/Summary!$E$8*100</f>
        <v>166.239761856262</v>
      </c>
      <c r="K811" s="15" t="n">
        <f aca="false">Summary!$D$9</f>
        <v>16.9374488591431</v>
      </c>
      <c r="L811" s="16" t="str">
        <f aca="false">IF(OR(D811="",E811=""),"edge hidden",IF(AND(H811&gt;=D811-0.02,H811&lt;=E811+0.02),"yes","no"))</f>
        <v>yes</v>
      </c>
    </row>
    <row r="812" customFormat="false" ht="15" hidden="false" customHeight="false" outlineLevel="0" collapsed="false">
      <c r="A812" s="9" t="n">
        <v>44959</v>
      </c>
      <c r="B812" s="10" t="n">
        <v>17610.4</v>
      </c>
      <c r="C812" s="11" t="n">
        <v>18.1108</v>
      </c>
      <c r="D812" s="11" t="n">
        <v>17.9986</v>
      </c>
      <c r="E812" s="11" t="n">
        <v>18.223</v>
      </c>
      <c r="F812" s="12" t="n">
        <f aca="false">IF(C812="","",B812/C812)</f>
        <v>972.370077522804</v>
      </c>
      <c r="G812" s="12" t="n">
        <f aca="false">MEDIAN(F802:F822)</f>
        <v>979.395634113625</v>
      </c>
      <c r="H812" s="13" t="n">
        <f aca="false">B812/G812</f>
        <v>17.9808847278943</v>
      </c>
      <c r="I812" s="14" t="n">
        <f aca="false">B812/Summary!$C$8*100</f>
        <v>176.472828210961</v>
      </c>
      <c r="J812" s="14" t="n">
        <f aca="false">G812/Summary!$E$8*100</f>
        <v>166.453991726666</v>
      </c>
      <c r="K812" s="15" t="n">
        <f aca="false">Summary!$D$9</f>
        <v>16.9374488591431</v>
      </c>
      <c r="L812" s="16" t="str">
        <f aca="false">IF(OR(D812="",E812=""),"edge hidden",IF(AND(H812&gt;=D812-0.02,H812&lt;=E812+0.02),"yes","no"))</f>
        <v>yes</v>
      </c>
    </row>
    <row r="813" customFormat="false" ht="15" hidden="false" customHeight="false" outlineLevel="0" collapsed="false">
      <c r="A813" s="9" t="n">
        <v>44960</v>
      </c>
      <c r="B813" s="10" t="n">
        <v>17854.05</v>
      </c>
      <c r="C813" s="11" t="n">
        <v>18.1147</v>
      </c>
      <c r="D813" s="11" t="n">
        <v>18.0065</v>
      </c>
      <c r="E813" s="11" t="n">
        <v>18.223</v>
      </c>
      <c r="F813" s="12" t="n">
        <f aca="false">IF(C813="","",B813/C813)</f>
        <v>985.611133499313</v>
      </c>
      <c r="G813" s="12" t="n">
        <f aca="false">MEDIAN(F803:F823)</f>
        <v>979.395634113625</v>
      </c>
      <c r="H813" s="13" t="n">
        <f aca="false">B813/G813</f>
        <v>18.2296605969234</v>
      </c>
      <c r="I813" s="14" t="n">
        <f aca="false">B813/Summary!$C$8*100</f>
        <v>178.914431161127</v>
      </c>
      <c r="J813" s="14" t="n">
        <f aca="false">G813/Summary!$E$8*100</f>
        <v>166.453991726666</v>
      </c>
      <c r="K813" s="15" t="n">
        <f aca="false">Summary!$D$9</f>
        <v>16.9374488591431</v>
      </c>
      <c r="L813" s="16" t="str">
        <f aca="false">IF(OR(D813="",E813=""),"edge hidden",IF(AND(H813&gt;=D813-0.02,H813&lt;=E813+0.02),"yes","no"))</f>
        <v>yes</v>
      </c>
    </row>
    <row r="814" customFormat="false" ht="15" hidden="false" customHeight="false" outlineLevel="0" collapsed="false">
      <c r="A814" s="9" t="n">
        <v>44963</v>
      </c>
      <c r="B814" s="10" t="n">
        <v>17764.6</v>
      </c>
      <c r="C814" s="11" t="n">
        <v>18.1659</v>
      </c>
      <c r="D814" s="11" t="n">
        <v>18.0773</v>
      </c>
      <c r="E814" s="11" t="n">
        <v>18.2545</v>
      </c>
      <c r="F814" s="12" t="n">
        <f aca="false">IF(C814="","",B814/C814)</f>
        <v>977.909159469115</v>
      </c>
      <c r="G814" s="12" t="n">
        <f aca="false">MEDIAN(F804:F824)</f>
        <v>981.26655456274</v>
      </c>
      <c r="H814" s="13" t="n">
        <f aca="false">B814/G814</f>
        <v>18.103745529079</v>
      </c>
      <c r="I814" s="14" t="n">
        <f aca="false">B814/Summary!$C$8*100</f>
        <v>178.018057740678</v>
      </c>
      <c r="J814" s="14" t="n">
        <f aca="false">G814/Summary!$E$8*100</f>
        <v>166.771965552677</v>
      </c>
      <c r="K814" s="15" t="n">
        <f aca="false">Summary!$D$9</f>
        <v>16.9374488591431</v>
      </c>
      <c r="L814" s="16" t="str">
        <f aca="false">IF(OR(D814="",E814=""),"edge hidden",IF(AND(H814&gt;=D814-0.02,H814&lt;=E814+0.02),"yes","no"))</f>
        <v>yes</v>
      </c>
    </row>
    <row r="815" customFormat="false" ht="15" hidden="false" customHeight="false" outlineLevel="0" collapsed="false">
      <c r="A815" s="9" t="n">
        <v>44964</v>
      </c>
      <c r="B815" s="10" t="n">
        <v>17721.5</v>
      </c>
      <c r="C815" s="11" t="n">
        <v>18.1777</v>
      </c>
      <c r="D815" s="11" t="n">
        <v>18.0931</v>
      </c>
      <c r="E815" s="11" t="n">
        <v>18.2624</v>
      </c>
      <c r="F815" s="12" t="n">
        <f aca="false">IF(C815="","",B815/C815)</f>
        <v>974.903315600984</v>
      </c>
      <c r="G815" s="12" t="n">
        <f aca="false">MEDIAN(F805:F825)</f>
        <v>982.742933564268</v>
      </c>
      <c r="H815" s="13" t="n">
        <f aca="false">B815/G815</f>
        <v>18.0326913526884</v>
      </c>
      <c r="I815" s="14" t="n">
        <f aca="false">B815/Summary!$C$8*100</f>
        <v>177.586155064084</v>
      </c>
      <c r="J815" s="14" t="n">
        <f aca="false">G815/Summary!$E$8*100</f>
        <v>167.022884761979</v>
      </c>
      <c r="K815" s="15" t="n">
        <f aca="false">Summary!$D$9</f>
        <v>16.9374488591431</v>
      </c>
      <c r="L815" s="16" t="str">
        <f aca="false">IF(OR(D815="",E815=""),"edge hidden",IF(AND(H815&gt;=D815-0.02,H815&lt;=E815+0.02),"yes","no"))</f>
        <v>no</v>
      </c>
    </row>
    <row r="816" customFormat="false" ht="15" hidden="false" customHeight="false" outlineLevel="0" collapsed="false">
      <c r="A816" s="9" t="n">
        <v>44965</v>
      </c>
      <c r="B816" s="10" t="n">
        <v>17871.7</v>
      </c>
      <c r="C816" s="11" t="n">
        <v>18.1817</v>
      </c>
      <c r="D816" s="11" t="n">
        <v>18.101</v>
      </c>
      <c r="E816" s="11" t="n">
        <v>18.2624</v>
      </c>
      <c r="F816" s="12" t="n">
        <f aca="false">IF(C816="","",B816/C816)</f>
        <v>982.94988917428</v>
      </c>
      <c r="G816" s="12" t="n">
        <f aca="false">MEDIAN(F806:F826)</f>
        <v>981.26655456274</v>
      </c>
      <c r="H816" s="13" t="n">
        <f aca="false">B816/G816</f>
        <v>18.2128901845266</v>
      </c>
      <c r="I816" s="14" t="n">
        <f aca="false">B816/Summary!$C$8*100</f>
        <v>179.091300818711</v>
      </c>
      <c r="J816" s="14" t="n">
        <f aca="false">G816/Summary!$E$8*100</f>
        <v>166.771965552677</v>
      </c>
      <c r="K816" s="15" t="n">
        <f aca="false">Summary!$D$9</f>
        <v>16.9374488591431</v>
      </c>
      <c r="L816" s="16" t="str">
        <f aca="false">IF(OR(D816="",E816=""),"edge hidden",IF(AND(H816&gt;=D816-0.02,H816&lt;=E816+0.02),"yes","no"))</f>
        <v>yes</v>
      </c>
    </row>
    <row r="817" customFormat="false" ht="15" hidden="false" customHeight="false" outlineLevel="0" collapsed="false">
      <c r="A817" s="9" t="n">
        <v>44966</v>
      </c>
      <c r="B817" s="10" t="n">
        <v>17893.45</v>
      </c>
      <c r="C817" s="11" t="n">
        <v>18.1856</v>
      </c>
      <c r="D817" s="11" t="n">
        <v>18.101</v>
      </c>
      <c r="E817" s="11" t="n">
        <v>18.2702</v>
      </c>
      <c r="F817" s="12" t="n">
        <f aca="false">IF(C817="","",B817/C817)</f>
        <v>983.935091500968</v>
      </c>
      <c r="G817" s="12" t="n">
        <f aca="false">MEDIAN(F807:F827)</f>
        <v>978.135130850267</v>
      </c>
      <c r="H817" s="13" t="n">
        <f aca="false">B817/G817</f>
        <v>18.2934335304425</v>
      </c>
      <c r="I817" s="14" t="n">
        <f aca="false">B817/Summary!$C$8*100</f>
        <v>179.309256345763</v>
      </c>
      <c r="J817" s="14" t="n">
        <f aca="false">G817/Summary!$E$8*100</f>
        <v>166.239761856262</v>
      </c>
      <c r="K817" s="15" t="n">
        <f aca="false">Summary!$D$9</f>
        <v>16.9374488591431</v>
      </c>
      <c r="L817" s="16" t="str">
        <f aca="false">IF(OR(D817="",E817=""),"edge hidden",IF(AND(H817&gt;=D817-0.02,H817&lt;=E817+0.02),"yes","no"))</f>
        <v>no</v>
      </c>
    </row>
    <row r="818" customFormat="false" ht="15" hidden="false" customHeight="false" outlineLevel="0" collapsed="false">
      <c r="A818" s="9" t="n">
        <v>44967</v>
      </c>
      <c r="B818" s="10" t="n">
        <v>17856.5</v>
      </c>
      <c r="C818" s="11" t="n">
        <v>18.1974</v>
      </c>
      <c r="D818" s="11" t="n">
        <v>18.1167</v>
      </c>
      <c r="E818" s="11" t="n">
        <v>18.2781</v>
      </c>
      <c r="F818" s="12" t="n">
        <f aca="false">IF(C818="","",B818/C818)</f>
        <v>981.26655456274</v>
      </c>
      <c r="G818" s="12" t="n">
        <f aca="false">MEDIAN(F808:F828)</f>
        <v>981.26655456274</v>
      </c>
      <c r="H818" s="13" t="n">
        <f aca="false">B818/G818</f>
        <v>18.1974</v>
      </c>
      <c r="I818" s="14" t="n">
        <f aca="false">B818/Summary!$C$8*100</f>
        <v>178.938982473369</v>
      </c>
      <c r="J818" s="14" t="n">
        <f aca="false">G818/Summary!$E$8*100</f>
        <v>166.771965552677</v>
      </c>
      <c r="K818" s="15" t="n">
        <f aca="false">Summary!$D$9</f>
        <v>16.9374488591431</v>
      </c>
      <c r="L818" s="16" t="str">
        <f aca="false">IF(OR(D818="",E818=""),"edge hidden",IF(AND(H818&gt;=D818-0.02,H818&lt;=E818+0.02),"yes","no"))</f>
        <v>yes</v>
      </c>
    </row>
    <row r="819" customFormat="false" ht="15" hidden="false" customHeight="false" outlineLevel="0" collapsed="false">
      <c r="A819" s="9" t="n">
        <v>44970</v>
      </c>
      <c r="B819" s="10" t="n">
        <v>17770.9</v>
      </c>
      <c r="C819" s="11" t="n">
        <v>18.2368</v>
      </c>
      <c r="D819" s="11" t="n">
        <v>18.1246</v>
      </c>
      <c r="E819" s="11" t="n">
        <v>18.349</v>
      </c>
      <c r="F819" s="12" t="n">
        <f aca="false">IF(C819="","",B819/C819)</f>
        <v>974.452754869276</v>
      </c>
      <c r="G819" s="12" t="n">
        <f aca="false">MEDIAN(F809:F829)</f>
        <v>981.26655456274</v>
      </c>
      <c r="H819" s="13" t="n">
        <f aca="false">B819/G819</f>
        <v>18.1101658029289</v>
      </c>
      <c r="I819" s="14" t="n">
        <f aca="false">B819/Summary!$C$8*100</f>
        <v>178.081189686445</v>
      </c>
      <c r="J819" s="14" t="n">
        <f aca="false">G819/Summary!$E$8*100</f>
        <v>166.771965552677</v>
      </c>
      <c r="K819" s="15" t="n">
        <f aca="false">Summary!$D$9</f>
        <v>16.9374488591431</v>
      </c>
      <c r="L819" s="16" t="str">
        <f aca="false">IF(OR(D819="",E819=""),"edge hidden",IF(AND(H819&gt;=D819-0.02,H819&lt;=E819+0.02),"yes","no"))</f>
        <v>yes</v>
      </c>
    </row>
    <row r="820" customFormat="false" ht="15" hidden="false" customHeight="false" outlineLevel="0" collapsed="false">
      <c r="A820" s="9" t="n">
        <v>44971</v>
      </c>
      <c r="B820" s="10" t="n">
        <v>17929.85</v>
      </c>
      <c r="C820" s="11" t="n">
        <v>18.2447</v>
      </c>
      <c r="D820" s="11" t="n">
        <v>18.1325</v>
      </c>
      <c r="E820" s="11" t="n">
        <v>18.3569</v>
      </c>
      <c r="F820" s="12" t="n">
        <f aca="false">IF(C820="","",B820/C820)</f>
        <v>982.742933564268</v>
      </c>
      <c r="G820" s="12" t="n">
        <f aca="false">MEDIAN(F810:F830)</f>
        <v>981.26655456274</v>
      </c>
      <c r="H820" s="13" t="n">
        <f aca="false">B820/G820</f>
        <v>18.2721503312519</v>
      </c>
      <c r="I820" s="14" t="n">
        <f aca="false">B820/Summary!$C$8*100</f>
        <v>179.674018699081</v>
      </c>
      <c r="J820" s="14" t="n">
        <f aca="false">G820/Summary!$E$8*100</f>
        <v>166.771965552677</v>
      </c>
      <c r="K820" s="15" t="n">
        <f aca="false">Summary!$D$9</f>
        <v>16.9374488591431</v>
      </c>
      <c r="L820" s="16" t="str">
        <f aca="false">IF(OR(D820="",E820=""),"edge hidden",IF(AND(H820&gt;=D820-0.02,H820&lt;=E820+0.02),"yes","no"))</f>
        <v>yes</v>
      </c>
    </row>
    <row r="821" customFormat="false" ht="15" hidden="false" customHeight="false" outlineLevel="0" collapsed="false">
      <c r="A821" s="9" t="n">
        <v>44972</v>
      </c>
      <c r="B821" s="10" t="n">
        <v>18015.85</v>
      </c>
      <c r="C821" s="11" t="n">
        <v>18.2447</v>
      </c>
      <c r="D821" s="11" t="n">
        <v>18.1325</v>
      </c>
      <c r="E821" s="11" t="n">
        <v>18.3569</v>
      </c>
      <c r="F821" s="12" t="n">
        <f aca="false">IF(C821="","",B821/C821)</f>
        <v>987.456631240853</v>
      </c>
      <c r="G821" s="12" t="n">
        <f aca="false">MEDIAN(F811:F831)</f>
        <v>982.357875064033</v>
      </c>
      <c r="H821" s="13" t="n">
        <f aca="false">B821/G821</f>
        <v>18.3393959139643</v>
      </c>
      <c r="I821" s="14" t="n">
        <f aca="false">B821/Summary!$C$8*100</f>
        <v>180.535819863515</v>
      </c>
      <c r="J821" s="14" t="n">
        <f aca="false">G821/Summary!$E$8*100</f>
        <v>166.957441827398</v>
      </c>
      <c r="K821" s="15" t="n">
        <f aca="false">Summary!$D$9</f>
        <v>16.9374488591431</v>
      </c>
      <c r="L821" s="16" t="str">
        <f aca="false">IF(OR(D821="",E821=""),"edge hidden",IF(AND(H821&gt;=D821-0.02,H821&lt;=E821+0.02),"yes","no"))</f>
        <v>yes</v>
      </c>
    </row>
    <row r="822" customFormat="false" ht="15" hidden="false" customHeight="false" outlineLevel="0" collapsed="false">
      <c r="A822" s="9" t="n">
        <v>44973</v>
      </c>
      <c r="B822" s="10" t="n">
        <v>18035.85</v>
      </c>
      <c r="C822" s="11" t="n">
        <v>18.2407</v>
      </c>
      <c r="D822" s="11" t="n">
        <v>18.1325</v>
      </c>
      <c r="E822" s="11" t="n">
        <v>18.349</v>
      </c>
      <c r="F822" s="12" t="n">
        <f aca="false">IF(C822="","",B822/C822)</f>
        <v>988.769619586968</v>
      </c>
      <c r="G822" s="12" t="n">
        <f aca="false">MEDIAN(F812:F832)</f>
        <v>982.357875064033</v>
      </c>
      <c r="H822" s="13" t="n">
        <f aca="false">B822/G822</f>
        <v>18.3597550931471</v>
      </c>
      <c r="I822" s="14" t="n">
        <f aca="false">B822/Summary!$C$8*100</f>
        <v>180.736238738964</v>
      </c>
      <c r="J822" s="14" t="n">
        <f aca="false">G822/Summary!$E$8*100</f>
        <v>166.957441827398</v>
      </c>
      <c r="K822" s="15" t="n">
        <f aca="false">Summary!$D$9</f>
        <v>16.9374488591431</v>
      </c>
      <c r="L822" s="16" t="str">
        <f aca="false">IF(OR(D822="",E822=""),"edge hidden",IF(AND(H822&gt;=D822-0.02,H822&lt;=E822+0.02),"yes","no"))</f>
        <v>yes</v>
      </c>
    </row>
    <row r="823" customFormat="false" ht="15" hidden="false" customHeight="false" outlineLevel="0" collapsed="false">
      <c r="A823" s="9" t="n">
        <v>44974</v>
      </c>
      <c r="B823" s="10" t="n">
        <v>17944.2</v>
      </c>
      <c r="C823" s="11" t="n">
        <v>18.2407</v>
      </c>
      <c r="D823" s="11" t="n">
        <v>18.1325</v>
      </c>
      <c r="E823" s="11" t="n">
        <v>18.349</v>
      </c>
      <c r="F823" s="12" t="n">
        <f aca="false">IF(C823="","",B823/C823)</f>
        <v>983.745141359707</v>
      </c>
      <c r="G823" s="12" t="n">
        <f aca="false">MEDIAN(F813:F833)</f>
        <v>982.742933564268</v>
      </c>
      <c r="H823" s="13" t="n">
        <f aca="false">B823/G823</f>
        <v>18.2593019874678</v>
      </c>
      <c r="I823" s="14" t="n">
        <f aca="false">B823/Summary!$C$8*100</f>
        <v>179.817819242216</v>
      </c>
      <c r="J823" s="14" t="n">
        <f aca="false">G823/Summary!$E$8*100</f>
        <v>167.022884761979</v>
      </c>
      <c r="K823" s="15" t="n">
        <f aca="false">Summary!$D$9</f>
        <v>16.9374488591431</v>
      </c>
      <c r="L823" s="16" t="str">
        <f aca="false">IF(OR(D823="",E823=""),"edge hidden",IF(AND(H823&gt;=D823-0.02,H823&lt;=E823+0.02),"yes","no"))</f>
        <v>yes</v>
      </c>
    </row>
    <row r="824" customFormat="false" ht="15" hidden="false" customHeight="false" outlineLevel="0" collapsed="false">
      <c r="A824" s="9" t="n">
        <v>44977</v>
      </c>
      <c r="B824" s="10" t="n">
        <v>17844.6</v>
      </c>
      <c r="C824" s="11" t="n">
        <v>18.0399</v>
      </c>
      <c r="D824" s="11" t="n">
        <v>17.8175</v>
      </c>
      <c r="E824" s="11" t="n">
        <v>18.2624</v>
      </c>
      <c r="F824" s="12" t="n">
        <f aca="false">IF(C824="","",B824/C824)</f>
        <v>989.173997638568</v>
      </c>
      <c r="G824" s="12" t="n">
        <f aca="false">MEDIAN(F814:F834)</f>
        <v>982.742933564268</v>
      </c>
      <c r="H824" s="13" t="n">
        <f aca="false">B824/G824</f>
        <v>18.15795300128</v>
      </c>
      <c r="I824" s="14" t="n">
        <f aca="false">B824/Summary!$C$8*100</f>
        <v>178.819733242477</v>
      </c>
      <c r="J824" s="14" t="n">
        <f aca="false">G824/Summary!$E$8*100</f>
        <v>167.022884761979</v>
      </c>
      <c r="K824" s="15" t="n">
        <f aca="false">Summary!$D$9</f>
        <v>16.9374488591431</v>
      </c>
      <c r="L824" s="16" t="str">
        <f aca="false">IF(OR(D824="",E824=""),"edge hidden",IF(AND(H824&gt;=D824-0.02,H824&lt;=E824+0.02),"yes","no"))</f>
        <v>yes</v>
      </c>
    </row>
    <row r="825" customFormat="false" ht="15" hidden="false" customHeight="false" outlineLevel="0" collapsed="false">
      <c r="A825" s="9" t="n">
        <v>44978</v>
      </c>
      <c r="B825" s="10" t="n">
        <v>17826.7</v>
      </c>
      <c r="C825" s="11" t="n">
        <v>18.0006</v>
      </c>
      <c r="D825" s="11" t="n">
        <v>17.7781</v>
      </c>
      <c r="E825" s="11" t="n">
        <v>18.223</v>
      </c>
      <c r="F825" s="12" t="n">
        <f aca="false">IF(C825="","",B825/C825)</f>
        <v>990.339210915192</v>
      </c>
      <c r="G825" s="12" t="n">
        <f aca="false">MEDIAN(F815:F835)</f>
        <v>982.94988917428</v>
      </c>
      <c r="H825" s="13" t="n">
        <f aca="false">B825/G825</f>
        <v>18.1359194363155</v>
      </c>
      <c r="I825" s="14" t="n">
        <f aca="false">B825/Summary!$C$8*100</f>
        <v>178.640358348949</v>
      </c>
      <c r="J825" s="14" t="n">
        <f aca="false">G825/Summary!$E$8*100</f>
        <v>167.058058073149</v>
      </c>
      <c r="K825" s="15" t="n">
        <f aca="false">Summary!$D$9</f>
        <v>16.9374488591431</v>
      </c>
      <c r="L825" s="16" t="str">
        <f aca="false">IF(OR(D825="",E825=""),"edge hidden",IF(AND(H825&gt;=D825-0.02,H825&lt;=E825+0.02),"yes","no"))</f>
        <v>yes</v>
      </c>
    </row>
    <row r="826" customFormat="false" ht="15" hidden="false" customHeight="false" outlineLevel="0" collapsed="false">
      <c r="A826" s="9" t="n">
        <v>44979</v>
      </c>
      <c r="B826" s="10" t="n">
        <v>17554.3</v>
      </c>
      <c r="C826" s="11" t="n">
        <v>17.9691</v>
      </c>
      <c r="D826" s="11" t="n">
        <v>17.7702</v>
      </c>
      <c r="E826" s="11" t="n">
        <v>18.1679</v>
      </c>
      <c r="F826" s="12" t="n">
        <f aca="false">IF(C826="","",B826/C826)</f>
        <v>976.915927898448</v>
      </c>
      <c r="G826" s="12" t="n">
        <f aca="false">MEDIAN(F816:F836)</f>
        <v>983.628530397319</v>
      </c>
      <c r="H826" s="13" t="n">
        <f aca="false">B826/G826</f>
        <v>17.846472990072</v>
      </c>
      <c r="I826" s="14" t="n">
        <f aca="false">B826/Summary!$C$8*100</f>
        <v>175.910653265325</v>
      </c>
      <c r="J826" s="14" t="n">
        <f aca="false">G826/Summary!$E$8*100</f>
        <v>167.173397101209</v>
      </c>
      <c r="K826" s="15" t="n">
        <f aca="false">Summary!$D$9</f>
        <v>16.9374488591431</v>
      </c>
      <c r="L826" s="16" t="str">
        <f aca="false">IF(OR(D826="",E826=""),"edge hidden",IF(AND(H826&gt;=D826-0.02,H826&lt;=E826+0.02),"yes","no"))</f>
        <v>yes</v>
      </c>
    </row>
    <row r="827" customFormat="false" ht="15" hidden="false" customHeight="false" outlineLevel="0" collapsed="false">
      <c r="A827" s="9" t="n">
        <v>44980</v>
      </c>
      <c r="B827" s="10" t="n">
        <v>17511.25</v>
      </c>
      <c r="C827" s="11" t="n">
        <v>17.9258</v>
      </c>
      <c r="D827" s="11" t="n">
        <v>17.7309</v>
      </c>
      <c r="E827" s="11" t="n">
        <v>18.1206</v>
      </c>
      <c r="F827" s="12" t="n">
        <f aca="false">IF(C827="","",B827/C827)</f>
        <v>976.874114404936</v>
      </c>
      <c r="G827" s="12" t="n">
        <f aca="false">MEDIAN(F817:F837)</f>
        <v>983.628530397319</v>
      </c>
      <c r="H827" s="13" t="n">
        <f aca="false">B827/G827</f>
        <v>17.8027064677828</v>
      </c>
      <c r="I827" s="14" t="n">
        <f aca="false">B827/Summary!$C$8*100</f>
        <v>175.479251635919</v>
      </c>
      <c r="J827" s="14" t="n">
        <f aca="false">G827/Summary!$E$8*100</f>
        <v>167.173397101209</v>
      </c>
      <c r="K827" s="15" t="n">
        <f aca="false">Summary!$D$9</f>
        <v>16.9374488591431</v>
      </c>
      <c r="L827" s="16" t="str">
        <f aca="false">IF(OR(D827="",E827=""),"edge hidden",IF(AND(H827&gt;=D827-0.02,H827&lt;=E827+0.02),"yes","no"))</f>
        <v>yes</v>
      </c>
    </row>
    <row r="828" customFormat="false" ht="15" hidden="false" customHeight="false" outlineLevel="0" collapsed="false">
      <c r="A828" s="9" t="n">
        <v>44981</v>
      </c>
      <c r="B828" s="10" t="n">
        <v>17465.8</v>
      </c>
      <c r="C828" s="11" t="n">
        <v>17.7565</v>
      </c>
      <c r="D828" s="11" t="n">
        <v>17.5576</v>
      </c>
      <c r="E828" s="11" t="n">
        <v>17.9553</v>
      </c>
      <c r="F828" s="12" t="n">
        <f aca="false">IF(C828="","",B828/C828)</f>
        <v>983.628530397319</v>
      </c>
      <c r="G828" s="12" t="n">
        <f aca="false">MEDIAN(F818:F838)</f>
        <v>982.742933564268</v>
      </c>
      <c r="H828" s="13" t="n">
        <f aca="false">B828/G828</f>
        <v>17.7725012345335</v>
      </c>
      <c r="I828" s="14" t="n">
        <f aca="false">B828/Summary!$C$8*100</f>
        <v>175.02379974146</v>
      </c>
      <c r="J828" s="14" t="n">
        <f aca="false">G828/Summary!$E$8*100</f>
        <v>167.022884761979</v>
      </c>
      <c r="K828" s="15" t="n">
        <f aca="false">Summary!$D$9</f>
        <v>16.9374488591431</v>
      </c>
      <c r="L828" s="16" t="str">
        <f aca="false">IF(OR(D828="",E828=""),"edge hidden",IF(AND(H828&gt;=D828-0.02,H828&lt;=E828+0.02),"yes","no"))</f>
        <v>yes</v>
      </c>
    </row>
    <row r="829" customFormat="false" ht="15" hidden="false" customHeight="false" outlineLevel="0" collapsed="false">
      <c r="A829" s="9" t="n">
        <v>44984</v>
      </c>
      <c r="B829" s="10" t="n">
        <v>17392.7</v>
      </c>
      <c r="C829" s="11" t="n">
        <v>17.7368</v>
      </c>
      <c r="D829" s="11" t="n">
        <v>17.5183</v>
      </c>
      <c r="E829" s="11" t="n">
        <v>17.9553</v>
      </c>
      <c r="F829" s="12" t="n">
        <f aca="false">IF(C829="","",B829/C829)</f>
        <v>980.599657209869</v>
      </c>
      <c r="G829" s="12" t="n">
        <f aca="false">MEDIAN(F819:F839)</f>
        <v>982.742933564268</v>
      </c>
      <c r="H829" s="13" t="n">
        <f aca="false">B829/G829</f>
        <v>17.6981175910563</v>
      </c>
      <c r="I829" s="14" t="n">
        <f aca="false">B829/Summary!$C$8*100</f>
        <v>174.291268751691</v>
      </c>
      <c r="J829" s="14" t="n">
        <f aca="false">G829/Summary!$E$8*100</f>
        <v>167.022884761979</v>
      </c>
      <c r="K829" s="15" t="n">
        <f aca="false">Summary!$D$9</f>
        <v>16.9374488591431</v>
      </c>
      <c r="L829" s="16" t="str">
        <f aca="false">IF(OR(D829="",E829=""),"edge hidden",IF(AND(H829&gt;=D829-0.02,H829&lt;=E829+0.02),"yes","no"))</f>
        <v>yes</v>
      </c>
    </row>
    <row r="830" customFormat="false" ht="15" hidden="false" customHeight="false" outlineLevel="0" collapsed="false">
      <c r="A830" s="9" t="n">
        <v>44985</v>
      </c>
      <c r="B830" s="10" t="n">
        <v>17303.95</v>
      </c>
      <c r="C830" s="11" t="n">
        <v>17.7447</v>
      </c>
      <c r="D830" s="11" t="n">
        <v>17.5183</v>
      </c>
      <c r="E830" s="11" t="n">
        <v>17.971</v>
      </c>
      <c r="F830" s="12" t="n">
        <f aca="false">IF(C830="","",B830/C830)</f>
        <v>975.161597547437</v>
      </c>
      <c r="G830" s="12" t="n">
        <f aca="false">MEDIAN(F820:F840)</f>
        <v>982.742933564268</v>
      </c>
      <c r="H830" s="13" t="n">
        <f aca="false">B830/G830</f>
        <v>17.6078091319782</v>
      </c>
      <c r="I830" s="14" t="n">
        <f aca="false">B830/Summary!$C$8*100</f>
        <v>173.401909991883</v>
      </c>
      <c r="J830" s="14" t="n">
        <f aca="false">G830/Summary!$E$8*100</f>
        <v>167.022884761979</v>
      </c>
      <c r="K830" s="15" t="n">
        <f aca="false">Summary!$D$9</f>
        <v>16.9374488591431</v>
      </c>
      <c r="L830" s="16" t="str">
        <f aca="false">IF(OR(D830="",E830=""),"edge hidden",IF(AND(H830&gt;=D830-0.02,H830&lt;=E830+0.02),"yes","no"))</f>
        <v>yes</v>
      </c>
    </row>
    <row r="831" customFormat="false" ht="15" hidden="false" customHeight="false" outlineLevel="0" collapsed="false">
      <c r="A831" s="9" t="n">
        <v>44986</v>
      </c>
      <c r="B831" s="10" t="n">
        <v>17450.9</v>
      </c>
      <c r="C831" s="11" t="n">
        <v>17.7643</v>
      </c>
      <c r="D831" s="11" t="n">
        <v>17.534</v>
      </c>
      <c r="E831" s="11" t="n">
        <v>17.9947</v>
      </c>
      <c r="F831" s="12" t="n">
        <f aca="false">IF(C831="","",B831/C831)</f>
        <v>982.357875064033</v>
      </c>
      <c r="G831" s="12" t="n">
        <f aca="false">MEDIAN(F821:F841)</f>
        <v>982.357875064033</v>
      </c>
      <c r="H831" s="13" t="n">
        <f aca="false">B831/G831</f>
        <v>17.7643</v>
      </c>
      <c r="I831" s="14" t="n">
        <f aca="false">B831/Summary!$C$8*100</f>
        <v>174.87448767925</v>
      </c>
      <c r="J831" s="14" t="n">
        <f aca="false">G831/Summary!$E$8*100</f>
        <v>166.957441827398</v>
      </c>
      <c r="K831" s="15" t="n">
        <f aca="false">Summary!$D$9</f>
        <v>16.9374488591431</v>
      </c>
      <c r="L831" s="16" t="str">
        <f aca="false">IF(OR(D831="",E831=""),"edge hidden",IF(AND(H831&gt;=D831-0.02,H831&lt;=E831+0.02),"yes","no"))</f>
        <v>yes</v>
      </c>
    </row>
    <row r="832" customFormat="false" ht="15" hidden="false" customHeight="false" outlineLevel="0" collapsed="false">
      <c r="A832" s="9" t="n">
        <v>44987</v>
      </c>
      <c r="B832" s="10" t="n">
        <v>17321.9</v>
      </c>
      <c r="C832" s="11" t="n">
        <v>17.788</v>
      </c>
      <c r="D832" s="11" t="n">
        <v>17.5419</v>
      </c>
      <c r="E832" s="11" t="n">
        <v>18.034</v>
      </c>
      <c r="F832" s="12" t="n">
        <f aca="false">IF(C832="","",B832/C832)</f>
        <v>973.796941758489</v>
      </c>
      <c r="G832" s="12" t="n">
        <f aca="false">MEDIAN(F822:F842)</f>
        <v>982.357875064033</v>
      </c>
      <c r="H832" s="13" t="n">
        <f aca="false">B832/G832</f>
        <v>17.6329832942714</v>
      </c>
      <c r="I832" s="14" t="n">
        <f aca="false">B832/Summary!$C$8*100</f>
        <v>173.581785932599</v>
      </c>
      <c r="J832" s="14" t="n">
        <f aca="false">G832/Summary!$E$8*100</f>
        <v>166.957441827398</v>
      </c>
      <c r="K832" s="15" t="n">
        <f aca="false">Summary!$D$9</f>
        <v>16.9374488591431</v>
      </c>
      <c r="L832" s="16" t="str">
        <f aca="false">IF(OR(D832="",E832=""),"edge hidden",IF(AND(H832&gt;=D832-0.02,H832&lt;=E832+0.02),"yes","no"))</f>
        <v>yes</v>
      </c>
    </row>
    <row r="833" customFormat="false" ht="15" hidden="false" customHeight="false" outlineLevel="0" collapsed="false">
      <c r="A833" s="9" t="n">
        <v>44988</v>
      </c>
      <c r="B833" s="10" t="n">
        <v>17594.35</v>
      </c>
      <c r="C833" s="11" t="n">
        <v>17.8391</v>
      </c>
      <c r="D833" s="11" t="n">
        <v>17.6206</v>
      </c>
      <c r="E833" s="11" t="n">
        <v>18.0576</v>
      </c>
      <c r="F833" s="12" t="n">
        <f aca="false">IF(C833="","",B833/C833)</f>
        <v>986.28013745088</v>
      </c>
      <c r="G833" s="12" t="n">
        <f aca="false">MEDIAN(F823:F843)</f>
        <v>982.357875064033</v>
      </c>
      <c r="H833" s="13" t="n">
        <f aca="false">B833/G833</f>
        <v>17.9103262126882</v>
      </c>
      <c r="I833" s="14" t="n">
        <f aca="false">B833/Summary!$C$8*100</f>
        <v>176.311992063413</v>
      </c>
      <c r="J833" s="14" t="n">
        <f aca="false">G833/Summary!$E$8*100</f>
        <v>166.957441827398</v>
      </c>
      <c r="K833" s="15" t="n">
        <f aca="false">Summary!$D$9</f>
        <v>16.9374488591431</v>
      </c>
      <c r="L833" s="16" t="str">
        <f aca="false">IF(OR(D833="",E833=""),"edge hidden",IF(AND(H833&gt;=D833-0.02,H833&lt;=E833+0.02),"yes","no"))</f>
        <v>yes</v>
      </c>
    </row>
    <row r="834" customFormat="false" ht="15" hidden="false" customHeight="false" outlineLevel="0" collapsed="false">
      <c r="A834" s="9" t="n">
        <v>44991</v>
      </c>
      <c r="B834" s="10" t="n">
        <v>17711.45</v>
      </c>
      <c r="C834" s="11" t="n">
        <v>17.9297</v>
      </c>
      <c r="D834" s="11" t="n">
        <v>17.7545</v>
      </c>
      <c r="E834" s="11" t="n">
        <v>18.1049</v>
      </c>
      <c r="F834" s="12" t="n">
        <f aca="false">IF(C834="","",B834/C834)</f>
        <v>987.827459466695</v>
      </c>
      <c r="G834" s="12" t="n">
        <f aca="false">MEDIAN(F824:F844)</f>
        <v>982.357875064033</v>
      </c>
      <c r="H834" s="13" t="n">
        <f aca="false">B834/G834</f>
        <v>18.0295292068031</v>
      </c>
      <c r="I834" s="14" t="n">
        <f aca="false">B834/Summary!$C$8*100</f>
        <v>177.48544457917</v>
      </c>
      <c r="J834" s="14" t="n">
        <f aca="false">G834/Summary!$E$8*100</f>
        <v>166.957441827398</v>
      </c>
      <c r="K834" s="15" t="n">
        <f aca="false">Summary!$D$9</f>
        <v>16.9374488591431</v>
      </c>
      <c r="L834" s="16" t="str">
        <f aca="false">IF(OR(D834="",E834=""),"edge hidden",IF(AND(H834&gt;=D834-0.02,H834&lt;=E834+0.02),"yes","no"))</f>
        <v>yes</v>
      </c>
    </row>
    <row r="835" customFormat="false" ht="15" hidden="false" customHeight="false" outlineLevel="0" collapsed="false">
      <c r="A835" s="9" t="n">
        <v>44993</v>
      </c>
      <c r="B835" s="10" t="n">
        <v>17754.4</v>
      </c>
      <c r="C835" s="11" t="n">
        <v>17.9218</v>
      </c>
      <c r="D835" s="11" t="n">
        <v>17.7388</v>
      </c>
      <c r="E835" s="11" t="n">
        <v>18.1049</v>
      </c>
      <c r="F835" s="12" t="n">
        <f aca="false">IF(C835="","",B835/C835)</f>
        <v>990.659420370722</v>
      </c>
      <c r="G835" s="12" t="n">
        <f aca="false">MEDIAN(F825:F845)</f>
        <v>982.357875064033</v>
      </c>
      <c r="H835" s="13" t="n">
        <f aca="false">B835/G835</f>
        <v>18.073250544098</v>
      </c>
      <c r="I835" s="14" t="n">
        <f aca="false">B835/Summary!$C$8*100</f>
        <v>177.915844114199</v>
      </c>
      <c r="J835" s="14" t="n">
        <f aca="false">G835/Summary!$E$8*100</f>
        <v>166.957441827398</v>
      </c>
      <c r="K835" s="15" t="n">
        <f aca="false">Summary!$D$9</f>
        <v>16.9374488591431</v>
      </c>
      <c r="L835" s="16" t="str">
        <f aca="false">IF(OR(D835="",E835=""),"edge hidden",IF(AND(H835&gt;=D835-0.02,H835&lt;=E835+0.02),"yes","no"))</f>
        <v>yes</v>
      </c>
    </row>
    <row r="836" customFormat="false" ht="15" hidden="false" customHeight="false" outlineLevel="0" collapsed="false">
      <c r="A836" s="9" t="n">
        <v>44994</v>
      </c>
      <c r="B836" s="10" t="n">
        <v>17589.6</v>
      </c>
      <c r="C836" s="11" t="n">
        <v>17.7801</v>
      </c>
      <c r="D836" s="11" t="n">
        <v>17.4632</v>
      </c>
      <c r="E836" s="11" t="n">
        <v>18.097</v>
      </c>
      <c r="F836" s="12" t="n">
        <f aca="false">IF(C836="","",B836/C836)</f>
        <v>989.2857745457</v>
      </c>
      <c r="G836" s="12" t="n">
        <f aca="false">MEDIAN(F826:F846)</f>
        <v>982.357875064033</v>
      </c>
      <c r="H836" s="13" t="n">
        <f aca="false">B836/G836</f>
        <v>17.9054909076323</v>
      </c>
      <c r="I836" s="14" t="n">
        <f aca="false">B836/Summary!$C$8*100</f>
        <v>176.264392580493</v>
      </c>
      <c r="J836" s="14" t="n">
        <f aca="false">G836/Summary!$E$8*100</f>
        <v>166.957441827398</v>
      </c>
      <c r="K836" s="15" t="n">
        <f aca="false">Summary!$D$9</f>
        <v>16.9374488591431</v>
      </c>
      <c r="L836" s="16" t="str">
        <f aca="false">IF(OR(D836="",E836=""),"edge hidden",IF(AND(H836&gt;=D836-0.02,H836&lt;=E836+0.02),"yes","no"))</f>
        <v>yes</v>
      </c>
    </row>
    <row r="837" customFormat="false" ht="15" hidden="false" customHeight="false" outlineLevel="0" collapsed="false">
      <c r="A837" s="9" t="n">
        <v>44995</v>
      </c>
      <c r="B837" s="10" t="n">
        <v>17412.9</v>
      </c>
      <c r="C837" s="11" t="n">
        <v>17.7368</v>
      </c>
      <c r="D837" s="11" t="n">
        <v>17.3844</v>
      </c>
      <c r="E837" s="11" t="n">
        <v>18.0891</v>
      </c>
      <c r="F837" s="12" t="n">
        <f aca="false">IF(C837="","",B837/C837)</f>
        <v>981.738532316991</v>
      </c>
      <c r="G837" s="12" t="n">
        <f aca="false">MEDIAN(F827:F847)</f>
        <v>982.357875064033</v>
      </c>
      <c r="H837" s="13" t="n">
        <f aca="false">B837/G837</f>
        <v>17.7256175595528</v>
      </c>
      <c r="I837" s="14" t="n">
        <f aca="false">B837/Summary!$C$8*100</f>
        <v>174.493691815895</v>
      </c>
      <c r="J837" s="14" t="n">
        <f aca="false">G837/Summary!$E$8*100</f>
        <v>166.957441827398</v>
      </c>
      <c r="K837" s="15" t="n">
        <f aca="false">Summary!$D$9</f>
        <v>16.9374488591431</v>
      </c>
      <c r="L837" s="16" t="str">
        <f aca="false">IF(OR(D837="",E837=""),"edge hidden",IF(AND(H837&gt;=D837-0.02,H837&lt;=E837+0.02),"yes","no"))</f>
        <v>yes</v>
      </c>
    </row>
    <row r="838" customFormat="false" ht="15" hidden="false" customHeight="false" outlineLevel="0" collapsed="false">
      <c r="A838" s="9" t="n">
        <v>44998</v>
      </c>
      <c r="B838" s="10" t="n">
        <v>17154.3</v>
      </c>
      <c r="C838" s="11" t="n">
        <v>17.4888</v>
      </c>
      <c r="D838" s="11" t="n">
        <v>17.2584</v>
      </c>
      <c r="E838" s="11" t="n">
        <v>17.7191</v>
      </c>
      <c r="F838" s="12" t="n">
        <f aca="false">IF(C838="","",B838/C838)</f>
        <v>980.873473308632</v>
      </c>
      <c r="G838" s="12" t="n">
        <f aca="false">MEDIAN(F828:F848)</f>
        <v>982.357875064033</v>
      </c>
      <c r="H838" s="13" t="n">
        <f aca="false">B838/G838</f>
        <v>17.46237337272</v>
      </c>
      <c r="I838" s="14" t="n">
        <f aca="false">B838/Summary!$C$8*100</f>
        <v>171.902275756331</v>
      </c>
      <c r="J838" s="14" t="n">
        <f aca="false">G838/Summary!$E$8*100</f>
        <v>166.957441827398</v>
      </c>
      <c r="K838" s="15" t="n">
        <f aca="false">Summary!$D$9</f>
        <v>16.9374488591431</v>
      </c>
      <c r="L838" s="16" t="str">
        <f aca="false">IF(OR(D838="",E838=""),"edge hidden",IF(AND(H838&gt;=D838-0.02,H838&lt;=E838+0.02),"yes","no"))</f>
        <v>yes</v>
      </c>
    </row>
    <row r="839" customFormat="false" ht="15" hidden="false" customHeight="false" outlineLevel="0" collapsed="false">
      <c r="A839" s="9" t="n">
        <v>44999</v>
      </c>
      <c r="B839" s="10" t="n">
        <v>17043.3</v>
      </c>
      <c r="C839" s="11" t="n">
        <v>17.4809</v>
      </c>
      <c r="D839" s="11" t="n">
        <v>17.2584</v>
      </c>
      <c r="E839" s="11" t="n">
        <v>17.7033</v>
      </c>
      <c r="F839" s="12" t="n">
        <f aca="false">IF(C839="","",B839/C839)</f>
        <v>974.966963943504</v>
      </c>
      <c r="G839" s="12" t="n">
        <f aca="false">MEDIAN(F829:F849)</f>
        <v>982.179394290682</v>
      </c>
      <c r="H839" s="13" t="n">
        <f aca="false">B839/G839</f>
        <v>17.3525326422761</v>
      </c>
      <c r="I839" s="14" t="n">
        <f aca="false">B839/Summary!$C$8*100</f>
        <v>170.789950997585</v>
      </c>
      <c r="J839" s="14" t="n">
        <f aca="false">G839/Summary!$E$8*100</f>
        <v>166.927107980548</v>
      </c>
      <c r="K839" s="15" t="n">
        <f aca="false">Summary!$D$9</f>
        <v>16.9374488591431</v>
      </c>
      <c r="L839" s="16" t="str">
        <f aca="false">IF(OR(D839="",E839=""),"edge hidden",IF(AND(H839&gt;=D839-0.02,H839&lt;=E839+0.02),"yes","no"))</f>
        <v>yes</v>
      </c>
    </row>
    <row r="840" customFormat="false" ht="15" hidden="false" customHeight="false" outlineLevel="0" collapsed="false">
      <c r="A840" s="9" t="n">
        <v>45000</v>
      </c>
      <c r="B840" s="10" t="n">
        <v>16972.15</v>
      </c>
      <c r="C840" s="11" t="n">
        <v>17.3746</v>
      </c>
      <c r="D840" s="11" t="n">
        <v>17.2506</v>
      </c>
      <c r="E840" s="11" t="n">
        <v>17.4986</v>
      </c>
      <c r="F840" s="12" t="n">
        <f aca="false">IF(C840="","",B840/C840)</f>
        <v>976.836876820186</v>
      </c>
      <c r="G840" s="12" t="n">
        <f aca="false">MEDIAN(F830:F850)</f>
        <v>982.357875064033</v>
      </c>
      <c r="H840" s="13" t="n">
        <f aca="false">B840/G840</f>
        <v>17.2769521483133</v>
      </c>
      <c r="I840" s="14" t="n">
        <f aca="false">B840/Summary!$C$8*100</f>
        <v>170.076960848173</v>
      </c>
      <c r="J840" s="14" t="n">
        <f aca="false">G840/Summary!$E$8*100</f>
        <v>166.957441827398</v>
      </c>
      <c r="K840" s="15" t="n">
        <f aca="false">Summary!$D$9</f>
        <v>16.9374488591431</v>
      </c>
      <c r="L840" s="16" t="str">
        <f aca="false">IF(OR(D840="",E840=""),"edge hidden",IF(AND(H840&gt;=D840-0.02,H840&lt;=E840+0.02),"yes","no"))</f>
        <v>yes</v>
      </c>
    </row>
    <row r="841" customFormat="false" ht="15" hidden="false" customHeight="false" outlineLevel="0" collapsed="false">
      <c r="A841" s="9" t="n">
        <v>45001</v>
      </c>
      <c r="B841" s="10" t="n">
        <v>16985.6</v>
      </c>
      <c r="C841" s="11" t="n">
        <v>17.3076</v>
      </c>
      <c r="D841" s="11" t="n">
        <v>17.2427</v>
      </c>
      <c r="E841" s="11" t="n">
        <v>17.3726</v>
      </c>
      <c r="F841" s="12" t="n">
        <f aca="false">IF(C841="","",B841/C841)</f>
        <v>981.395456331323</v>
      </c>
      <c r="G841" s="12" t="n">
        <f aca="false">MEDIAN(F831:F851)</f>
        <v>983.34124402357</v>
      </c>
      <c r="H841" s="13" t="n">
        <f aca="false">B841/G841</f>
        <v>17.2733525652798</v>
      </c>
      <c r="I841" s="14" t="n">
        <f aca="false">B841/Summary!$C$8*100</f>
        <v>170.211742541913</v>
      </c>
      <c r="J841" s="14" t="n">
        <f aca="false">G841/Summary!$E$8*100</f>
        <v>167.12457110892</v>
      </c>
      <c r="K841" s="15" t="n">
        <f aca="false">Summary!$D$9</f>
        <v>16.9374488591431</v>
      </c>
      <c r="L841" s="16" t="str">
        <f aca="false">IF(OR(D841="",E841=""),"edge hidden",IF(AND(H841&gt;=D841-0.02,H841&lt;=E841+0.02),"yes","no"))</f>
        <v>yes</v>
      </c>
    </row>
    <row r="842" customFormat="false" ht="15" hidden="false" customHeight="false" outlineLevel="0" collapsed="false">
      <c r="A842" s="9" t="n">
        <v>45002</v>
      </c>
      <c r="B842" s="10" t="n">
        <v>17100.05</v>
      </c>
      <c r="C842" s="11" t="n">
        <v>17.3037</v>
      </c>
      <c r="D842" s="11" t="n">
        <v>17.2427</v>
      </c>
      <c r="E842" s="11" t="n">
        <v>17.3647</v>
      </c>
      <c r="F842" s="12" t="n">
        <f aca="false">IF(C842="","",B842/C842)</f>
        <v>988.230840802834</v>
      </c>
      <c r="G842" s="12" t="n">
        <f aca="false">MEDIAN(F832:F852)</f>
        <v>984.87006359878</v>
      </c>
      <c r="H842" s="13" t="n">
        <f aca="false">B842/G842</f>
        <v>17.3627472618218</v>
      </c>
      <c r="I842" s="14" t="n">
        <f aca="false">B842/Summary!$C$8*100</f>
        <v>171.358639556673</v>
      </c>
      <c r="J842" s="14" t="n">
        <f aca="false">G842/Summary!$E$8*100</f>
        <v>167.384402899118</v>
      </c>
      <c r="K842" s="15" t="n">
        <f aca="false">Summary!$D$9</f>
        <v>16.9374488591431</v>
      </c>
      <c r="L842" s="16" t="str">
        <f aca="false">IF(OR(D842="",E842=""),"edge hidden",IF(AND(H842&gt;=D842-0.02,H842&lt;=E842+0.02),"yes","no"))</f>
        <v>yes</v>
      </c>
    </row>
    <row r="843" customFormat="false" ht="15" hidden="false" customHeight="false" outlineLevel="0" collapsed="false">
      <c r="A843" s="9" t="n">
        <v>45005</v>
      </c>
      <c r="B843" s="10" t="n">
        <v>16988.4</v>
      </c>
      <c r="C843" s="11" t="n">
        <v>17.2762</v>
      </c>
      <c r="D843" s="11" t="n">
        <v>17.1797</v>
      </c>
      <c r="E843" s="11" t="n">
        <v>17.3726</v>
      </c>
      <c r="F843" s="12" t="n">
        <f aca="false">IF(C843="","",B843/C843)</f>
        <v>983.34124402357</v>
      </c>
      <c r="G843" s="12" t="n">
        <f aca="false">MEDIAN(F833:F853)</f>
        <v>986.28013745088</v>
      </c>
      <c r="H843" s="13" t="n">
        <f aca="false">B843/G843</f>
        <v>17.2247208018483</v>
      </c>
      <c r="I843" s="14" t="n">
        <f aca="false">B843/Summary!$C$8*100</f>
        <v>170.239801184476</v>
      </c>
      <c r="J843" s="14" t="n">
        <f aca="false">G843/Summary!$E$8*100</f>
        <v>167.624053162133</v>
      </c>
      <c r="K843" s="15" t="n">
        <f aca="false">Summary!$D$9</f>
        <v>16.9374488591431</v>
      </c>
      <c r="L843" s="16" t="str">
        <f aca="false">IF(OR(D843="",E843=""),"edge hidden",IF(AND(H843&gt;=D843-0.02,H843&lt;=E843+0.02),"yes","no"))</f>
        <v>yes</v>
      </c>
    </row>
    <row r="844" customFormat="false" ht="15" hidden="false" customHeight="false" outlineLevel="0" collapsed="false">
      <c r="A844" s="9" t="n">
        <v>45006</v>
      </c>
      <c r="B844" s="10" t="n">
        <v>17107.5</v>
      </c>
      <c r="C844" s="11" t="n">
        <v>17.2722</v>
      </c>
      <c r="D844" s="11" t="n">
        <v>17.1718</v>
      </c>
      <c r="E844" s="11" t="n">
        <v>17.3726</v>
      </c>
      <c r="F844" s="12" t="n">
        <f aca="false">IF(C844="","",B844/C844)</f>
        <v>990.464445756765</v>
      </c>
      <c r="G844" s="12" t="n">
        <f aca="false">MEDIAN(F834:F854)</f>
        <v>987.039400902051</v>
      </c>
      <c r="H844" s="13" t="n">
        <f aca="false">B844/G844</f>
        <v>17.3321348513195</v>
      </c>
      <c r="I844" s="14" t="n">
        <f aca="false">B844/Summary!$C$8*100</f>
        <v>171.433295587778</v>
      </c>
      <c r="J844" s="14" t="n">
        <f aca="false">G844/Summary!$E$8*100</f>
        <v>167.753094407384</v>
      </c>
      <c r="K844" s="15" t="n">
        <f aca="false">Summary!$D$9</f>
        <v>16.9374488591431</v>
      </c>
      <c r="L844" s="16" t="str">
        <f aca="false">IF(OR(D844="",E844=""),"edge hidden",IF(AND(H844&gt;=D844-0.02,H844&lt;=E844+0.02),"yes","no"))</f>
        <v>yes</v>
      </c>
    </row>
    <row r="845" customFormat="false" ht="15" hidden="false" customHeight="false" outlineLevel="0" collapsed="false">
      <c r="A845" s="9" t="n">
        <v>45007</v>
      </c>
      <c r="B845" s="10" t="n">
        <v>17151.9</v>
      </c>
      <c r="C845" s="11" t="n">
        <v>17.2683</v>
      </c>
      <c r="D845" s="11" t="n">
        <v>17.1639</v>
      </c>
      <c r="E845" s="11" t="n">
        <v>17.3726</v>
      </c>
      <c r="F845" s="12" t="n">
        <f aca="false">IF(C845="","",B845/C845)</f>
        <v>993.259324890117</v>
      </c>
      <c r="G845" s="12" t="n">
        <f aca="false">MEDIAN(F835:F855)</f>
        <v>985.547322801622</v>
      </c>
      <c r="H845" s="13" t="n">
        <f aca="false">B845/G845</f>
        <v>17.4034260995628</v>
      </c>
      <c r="I845" s="14" t="n">
        <f aca="false">B845/Summary!$C$8*100</f>
        <v>171.878225491277</v>
      </c>
      <c r="J845" s="14" t="n">
        <f aca="false">G845/Summary!$E$8*100</f>
        <v>167.499507044797</v>
      </c>
      <c r="K845" s="15" t="n">
        <f aca="false">Summary!$D$9</f>
        <v>16.9374488591431</v>
      </c>
      <c r="L845" s="16" t="str">
        <f aca="false">IF(OR(D845="",E845=""),"edge hidden",IF(AND(H845&gt;=D845-0.02,H845&lt;=E845+0.02),"yes","no"))</f>
        <v>no</v>
      </c>
    </row>
    <row r="846" customFormat="false" ht="15" hidden="false" customHeight="false" outlineLevel="0" collapsed="false">
      <c r="A846" s="9" t="n">
        <v>45008</v>
      </c>
      <c r="B846" s="10" t="n">
        <v>17076.9</v>
      </c>
      <c r="C846" s="11" t="n">
        <v>17.2604</v>
      </c>
      <c r="D846" s="11" t="n">
        <v>17.1561</v>
      </c>
      <c r="E846" s="11" t="n">
        <v>17.3647</v>
      </c>
      <c r="F846" s="12" t="n">
        <f aca="false">IF(C846="","",B846/C846)</f>
        <v>989.368728418809</v>
      </c>
      <c r="G846" s="12" t="n">
        <f aca="false">MEDIAN(F836:F856)</f>
        <v>985.547322801622</v>
      </c>
      <c r="H846" s="13" t="n">
        <f aca="false">B846/G846</f>
        <v>17.3273262530463</v>
      </c>
      <c r="I846" s="14" t="n">
        <f aca="false">B846/Summary!$C$8*100</f>
        <v>171.12665470834</v>
      </c>
      <c r="J846" s="14" t="n">
        <f aca="false">G846/Summary!$E$8*100</f>
        <v>167.499507044797</v>
      </c>
      <c r="K846" s="15" t="n">
        <f aca="false">Summary!$D$9</f>
        <v>16.9374488591431</v>
      </c>
      <c r="L846" s="16" t="str">
        <f aca="false">IF(OR(D846="",E846=""),"edge hidden",IF(AND(H846&gt;=D846-0.02,H846&lt;=E846+0.02),"yes","no"))</f>
        <v>yes</v>
      </c>
    </row>
    <row r="847" customFormat="false" ht="15" hidden="false" customHeight="false" outlineLevel="0" collapsed="false">
      <c r="A847" s="9" t="n">
        <v>45009</v>
      </c>
      <c r="B847" s="10" t="n">
        <v>16945.05</v>
      </c>
      <c r="C847" s="11" t="n">
        <v>17.2525</v>
      </c>
      <c r="D847" s="11" t="n">
        <v>17.1482</v>
      </c>
      <c r="E847" s="11" t="n">
        <v>17.3569</v>
      </c>
      <c r="F847" s="12" t="n">
        <f aca="false">IF(C847="","",B847/C847)</f>
        <v>982.179394290682</v>
      </c>
      <c r="G847" s="12" t="n">
        <f aca="false">MEDIAN(F837:F857)</f>
        <v>985.547322801622</v>
      </c>
      <c r="H847" s="13" t="n">
        <f aca="false">B847/G847</f>
        <v>17.1935427228702</v>
      </c>
      <c r="I847" s="14" t="n">
        <f aca="false">B847/Summary!$C$8*100</f>
        <v>169.805393271938</v>
      </c>
      <c r="J847" s="14" t="n">
        <f aca="false">G847/Summary!$E$8*100</f>
        <v>167.499507044797</v>
      </c>
      <c r="K847" s="15" t="n">
        <f aca="false">Summary!$D$9</f>
        <v>16.9374488591431</v>
      </c>
      <c r="L847" s="16" t="str">
        <f aca="false">IF(OR(D847="",E847=""),"edge hidden",IF(AND(H847&gt;=D847-0.02,H847&lt;=E847+0.02),"yes","no"))</f>
        <v>yes</v>
      </c>
    </row>
    <row r="848" customFormat="false" ht="15" hidden="false" customHeight="false" outlineLevel="0" collapsed="false">
      <c r="A848" s="9" t="n">
        <v>45012</v>
      </c>
      <c r="B848" s="10" t="n">
        <v>16985.7</v>
      </c>
      <c r="C848" s="11" t="n">
        <v>17.2998</v>
      </c>
      <c r="D848" s="11" t="n">
        <v>17.1482</v>
      </c>
      <c r="E848" s="11" t="n">
        <v>17.4514</v>
      </c>
      <c r="F848" s="12" t="n">
        <f aca="false">IF(C848="","",B848/C848)</f>
        <v>981.843720736656</v>
      </c>
      <c r="G848" s="12" t="n">
        <f aca="false">MEDIAN(F838:F858)</f>
        <v>987.039400902051</v>
      </c>
      <c r="H848" s="13" t="n">
        <f aca="false">B848/G848</f>
        <v>17.2087355220844</v>
      </c>
      <c r="I848" s="14" t="n">
        <f aca="false">B848/Summary!$C$8*100</f>
        <v>170.21274463629</v>
      </c>
      <c r="J848" s="14" t="n">
        <f aca="false">G848/Summary!$E$8*100</f>
        <v>167.753094407384</v>
      </c>
      <c r="K848" s="15" t="n">
        <f aca="false">Summary!$D$9</f>
        <v>16.9374488591431</v>
      </c>
      <c r="L848" s="16" t="str">
        <f aca="false">IF(OR(D848="",E848=""),"edge hidden",IF(AND(H848&gt;=D848-0.02,H848&lt;=E848+0.02),"yes","no"))</f>
        <v>yes</v>
      </c>
    </row>
    <row r="849" customFormat="false" ht="15" hidden="false" customHeight="false" outlineLevel="0" collapsed="false">
      <c r="A849" s="9" t="n">
        <v>45013</v>
      </c>
      <c r="B849" s="10" t="n">
        <v>16951.7</v>
      </c>
      <c r="C849" s="11" t="n">
        <v>17.3313</v>
      </c>
      <c r="D849" s="11" t="n">
        <v>17.1561</v>
      </c>
      <c r="E849" s="11" t="n">
        <v>17.5065</v>
      </c>
      <c r="F849" s="12" t="n">
        <f aca="false">IF(C849="","",B849/C849)</f>
        <v>978.097430660135</v>
      </c>
      <c r="G849" s="12" t="n">
        <f aca="false">MEDIAN(F839:F859)</f>
        <v>988.230840802834</v>
      </c>
      <c r="H849" s="13" t="n">
        <f aca="false">B849/G849</f>
        <v>17.1535832520958</v>
      </c>
      <c r="I849" s="14" t="n">
        <f aca="false">B849/Summary!$C$8*100</f>
        <v>169.872032548025</v>
      </c>
      <c r="J849" s="14" t="n">
        <f aca="false">G849/Summary!$E$8*100</f>
        <v>167.955586557114</v>
      </c>
      <c r="K849" s="15" t="n">
        <f aca="false">Summary!$D$9</f>
        <v>16.9374488591431</v>
      </c>
      <c r="L849" s="16" t="str">
        <f aca="false">IF(OR(D849="",E849=""),"edge hidden",IF(AND(H849&gt;=D849-0.02,H849&lt;=E849+0.02),"yes","no"))</f>
        <v>yes</v>
      </c>
    </row>
    <row r="850" customFormat="false" ht="15" hidden="false" customHeight="false" outlineLevel="0" collapsed="false">
      <c r="A850" s="9" t="n">
        <v>45014</v>
      </c>
      <c r="B850" s="10" t="n">
        <v>17080.7</v>
      </c>
      <c r="C850" s="11" t="n">
        <v>17.3431</v>
      </c>
      <c r="D850" s="11" t="n">
        <v>17.1639</v>
      </c>
      <c r="E850" s="11" t="n">
        <v>17.5222</v>
      </c>
      <c r="F850" s="12" t="n">
        <f aca="false">IF(C850="","",B850/C850)</f>
        <v>984.87006359878</v>
      </c>
      <c r="G850" s="12" t="n">
        <f aca="false">MEDIAN(F840:F860)</f>
        <v>988.230840802834</v>
      </c>
      <c r="H850" s="13" t="n">
        <f aca="false">B850/G850</f>
        <v>17.2841195546212</v>
      </c>
      <c r="I850" s="14" t="n">
        <f aca="false">B850/Summary!$C$8*100</f>
        <v>171.164734294676</v>
      </c>
      <c r="J850" s="14" t="n">
        <f aca="false">G850/Summary!$E$8*100</f>
        <v>167.955586557114</v>
      </c>
      <c r="K850" s="15" t="n">
        <f aca="false">Summary!$D$9</f>
        <v>16.9374488591431</v>
      </c>
      <c r="L850" s="16" t="str">
        <f aca="false">IF(OR(D850="",E850=""),"edge hidden",IF(AND(H850&gt;=D850-0.02,H850&lt;=E850+0.02),"yes","no"))</f>
        <v>yes</v>
      </c>
    </row>
    <row r="851" customFormat="false" ht="15" hidden="false" customHeight="false" outlineLevel="0" collapsed="false">
      <c r="A851" s="9" t="n">
        <v>45016</v>
      </c>
      <c r="B851" s="10" t="n">
        <v>17359.75</v>
      </c>
      <c r="C851" s="11" t="n">
        <v>17.41</v>
      </c>
      <c r="D851" s="11" t="n">
        <v>17.2663</v>
      </c>
      <c r="E851" s="11" t="n">
        <v>17.5537</v>
      </c>
      <c r="F851" s="12" t="n">
        <f aca="false">IF(C851="","",B851/C851)</f>
        <v>997.113727742677</v>
      </c>
      <c r="G851" s="12" t="n">
        <f aca="false">MEDIAN(F841:F861)</f>
        <v>988.230840802834</v>
      </c>
      <c r="H851" s="13" t="n">
        <f aca="false">B851/G851</f>
        <v>17.5664928508981</v>
      </c>
      <c r="I851" s="14" t="n">
        <f aca="false">B851/Summary!$C$8*100</f>
        <v>173.961078654388</v>
      </c>
      <c r="J851" s="14" t="n">
        <f aca="false">G851/Summary!$E$8*100</f>
        <v>167.955586557114</v>
      </c>
      <c r="K851" s="15" t="n">
        <f aca="false">Summary!$D$9</f>
        <v>16.9374488591431</v>
      </c>
      <c r="L851" s="16" t="str">
        <f aca="false">IF(OR(D851="",E851=""),"edge hidden",IF(AND(H851&gt;=D851-0.02,H851&lt;=E851+0.02),"yes","no"))</f>
        <v>yes</v>
      </c>
    </row>
    <row r="852" customFormat="false" ht="15" hidden="false" customHeight="false" outlineLevel="0" collapsed="false">
      <c r="A852" s="9" t="n">
        <v>45019</v>
      </c>
      <c r="B852" s="10" t="n">
        <v>17398.05</v>
      </c>
      <c r="C852" s="11" t="n">
        <v>17.6265</v>
      </c>
      <c r="D852" s="11" t="n">
        <v>17.5104</v>
      </c>
      <c r="E852" s="11" t="n">
        <v>17.7427</v>
      </c>
      <c r="F852" s="12" t="n">
        <f aca="false">IF(C852="","",B852/C852)</f>
        <v>987.039400902051</v>
      </c>
      <c r="G852" s="12" t="n">
        <f aca="false">MEDIAN(F842:F862)</f>
        <v>989.27619207993</v>
      </c>
      <c r="H852" s="13" t="n">
        <f aca="false">B852/G852</f>
        <v>17.5866458116424</v>
      </c>
      <c r="I852" s="14" t="n">
        <f aca="false">B852/Summary!$C$8*100</f>
        <v>174.344880800874</v>
      </c>
      <c r="J852" s="14" t="n">
        <f aca="false">G852/Summary!$E$8*100</f>
        <v>168.133250094472</v>
      </c>
      <c r="K852" s="15" t="n">
        <f aca="false">Summary!$D$9</f>
        <v>16.9374488591431</v>
      </c>
      <c r="L852" s="16" t="str">
        <f aca="false">IF(OR(D852="",E852=""),"edge hidden",IF(AND(H852&gt;=D852-0.02,H852&lt;=E852+0.02),"yes","no"))</f>
        <v>yes</v>
      </c>
    </row>
    <row r="853" customFormat="false" ht="15" hidden="false" customHeight="false" outlineLevel="0" collapsed="false">
      <c r="A853" s="9" t="n">
        <v>45021</v>
      </c>
      <c r="B853" s="10" t="n">
        <v>17557.05</v>
      </c>
      <c r="C853" s="11" t="n">
        <v>17.6344</v>
      </c>
      <c r="D853" s="11" t="n">
        <v>17.5183</v>
      </c>
      <c r="E853" s="11" t="n">
        <v>17.7506</v>
      </c>
      <c r="F853" s="12" t="n">
        <f aca="false">IF(C853="","",B853/C853)</f>
        <v>995.613686884725</v>
      </c>
      <c r="G853" s="12" t="n">
        <f aca="false">MEDIAN(F843:F863)</f>
        <v>989.368728418809</v>
      </c>
      <c r="H853" s="13" t="n">
        <f aca="false">B853/G853</f>
        <v>17.7457094566344</v>
      </c>
      <c r="I853" s="14" t="n">
        <f aca="false">B853/Summary!$C$8*100</f>
        <v>175.938210860699</v>
      </c>
      <c r="J853" s="14" t="n">
        <f aca="false">G853/Summary!$E$8*100</f>
        <v>168.148977184168</v>
      </c>
      <c r="K853" s="15" t="n">
        <f aca="false">Summary!$D$9</f>
        <v>16.9374488591431</v>
      </c>
      <c r="L853" s="16" t="str">
        <f aca="false">IF(OR(D853="",E853=""),"edge hidden",IF(AND(H853&gt;=D853-0.02,H853&lt;=E853+0.02),"yes","no"))</f>
        <v>yes</v>
      </c>
    </row>
    <row r="854" customFormat="false" ht="15" hidden="false" customHeight="false" outlineLevel="0" collapsed="false">
      <c r="A854" s="9" t="n">
        <v>45022</v>
      </c>
      <c r="B854" s="10" t="n">
        <v>17599.15</v>
      </c>
      <c r="C854" s="11" t="n">
        <v>17.6541</v>
      </c>
      <c r="D854" s="11" t="n">
        <v>17.5419</v>
      </c>
      <c r="E854" s="11" t="n">
        <v>17.7663</v>
      </c>
      <c r="F854" s="12" t="n">
        <f aca="false">IF(C854="","",B854/C854)</f>
        <v>996.887408590639</v>
      </c>
      <c r="G854" s="12" t="n">
        <f aca="false">MEDIAN(F844:F864)</f>
        <v>989.368728418809</v>
      </c>
      <c r="H854" s="13" t="n">
        <f aca="false">B854/G854</f>
        <v>17.7882618426061</v>
      </c>
      <c r="I854" s="14" t="n">
        <f aca="false">B854/Summary!$C$8*100</f>
        <v>176.36009259352</v>
      </c>
      <c r="J854" s="14" t="n">
        <f aca="false">G854/Summary!$E$8*100</f>
        <v>168.148977184168</v>
      </c>
      <c r="K854" s="15" t="n">
        <f aca="false">Summary!$D$9</f>
        <v>16.9374488591431</v>
      </c>
      <c r="L854" s="16" t="str">
        <f aca="false">IF(OR(D854="",E854=""),"edge hidden",IF(AND(H854&gt;=D854-0.02,H854&lt;=E854+0.02),"yes","no"))</f>
        <v>no</v>
      </c>
    </row>
    <row r="855" customFormat="false" ht="15" hidden="false" customHeight="false" outlineLevel="0" collapsed="false">
      <c r="A855" s="9" t="n">
        <v>45026</v>
      </c>
      <c r="B855" s="10" t="n">
        <v>17624.05</v>
      </c>
      <c r="C855" s="11" t="n">
        <v>17.8825</v>
      </c>
      <c r="D855" s="11" t="n">
        <v>17.7466</v>
      </c>
      <c r="E855" s="11" t="n">
        <v>18.0183</v>
      </c>
      <c r="F855" s="12" t="n">
        <f aca="false">IF(C855="","",B855/C855)</f>
        <v>985.547322801622</v>
      </c>
      <c r="G855" s="12" t="n">
        <f aca="false">MEDIAN(F845:F865)</f>
        <v>989.27619207993</v>
      </c>
      <c r="H855" s="13" t="n">
        <f aca="false">B855/G855</f>
        <v>17.8150956639782</v>
      </c>
      <c r="I855" s="14" t="n">
        <f aca="false">B855/Summary!$C$8*100</f>
        <v>176.609614093455</v>
      </c>
      <c r="J855" s="14" t="n">
        <f aca="false">G855/Summary!$E$8*100</f>
        <v>168.133250094472</v>
      </c>
      <c r="K855" s="15" t="n">
        <f aca="false">Summary!$D$9</f>
        <v>16.9374488591431</v>
      </c>
      <c r="L855" s="16" t="str">
        <f aca="false">IF(OR(D855="",E855=""),"edge hidden",IF(AND(H855&gt;=D855-0.02,H855&lt;=E855+0.02),"yes","no"))</f>
        <v>yes</v>
      </c>
    </row>
    <row r="856" customFormat="false" ht="15" hidden="false" customHeight="false" outlineLevel="0" collapsed="false">
      <c r="A856" s="9" t="n">
        <v>45027</v>
      </c>
      <c r="B856" s="10" t="n">
        <v>17722.3</v>
      </c>
      <c r="C856" s="11" t="n">
        <v>17.9021</v>
      </c>
      <c r="D856" s="11" t="n">
        <v>17.7702</v>
      </c>
      <c r="E856" s="11" t="n">
        <v>18.034</v>
      </c>
      <c r="F856" s="12" t="n">
        <f aca="false">IF(C856="","",B856/C856)</f>
        <v>989.956485551974</v>
      </c>
      <c r="G856" s="12" t="n">
        <f aca="false">MEDIAN(F846:F866)</f>
        <v>988.079949302631</v>
      </c>
      <c r="H856" s="13" t="n">
        <f aca="false">B856/G856</f>
        <v>17.9360992119191</v>
      </c>
      <c r="I856" s="14" t="n">
        <f aca="false">B856/Summary!$C$8*100</f>
        <v>177.594171819102</v>
      </c>
      <c r="J856" s="14" t="n">
        <f aca="false">G856/Summary!$E$8*100</f>
        <v>167.929941667907</v>
      </c>
      <c r="K856" s="15" t="n">
        <f aca="false">Summary!$D$9</f>
        <v>16.9374488591431</v>
      </c>
      <c r="L856" s="16" t="str">
        <f aca="false">IF(OR(D856="",E856=""),"edge hidden",IF(AND(H856&gt;=D856-0.02,H856&lt;=E856+0.02),"yes","no"))</f>
        <v>yes</v>
      </c>
    </row>
    <row r="857" customFormat="false" ht="15" hidden="false" customHeight="false" outlineLevel="0" collapsed="false">
      <c r="A857" s="9" t="n">
        <v>45028</v>
      </c>
      <c r="B857" s="10" t="n">
        <v>17812.4</v>
      </c>
      <c r="C857" s="11" t="n">
        <v>17.9139</v>
      </c>
      <c r="D857" s="11" t="n">
        <v>17.7939</v>
      </c>
      <c r="E857" s="11" t="n">
        <v>18.034</v>
      </c>
      <c r="F857" s="12" t="n">
        <f aca="false">IF(C857="","",B857/C857)</f>
        <v>994.334008786473</v>
      </c>
      <c r="G857" s="12" t="n">
        <f aca="false">MEDIAN(F847:F867)</f>
        <v>988.079949302631</v>
      </c>
      <c r="H857" s="13" t="n">
        <f aca="false">B857/G857</f>
        <v>18.0272861650231</v>
      </c>
      <c r="I857" s="14" t="n">
        <f aca="false">B857/Summary!$C$8*100</f>
        <v>178.497058853003</v>
      </c>
      <c r="J857" s="14" t="n">
        <f aca="false">G857/Summary!$E$8*100</f>
        <v>167.929941667907</v>
      </c>
      <c r="K857" s="15" t="n">
        <f aca="false">Summary!$D$9</f>
        <v>16.9374488591431</v>
      </c>
      <c r="L857" s="16" t="str">
        <f aca="false">IF(OR(D857="",E857=""),"edge hidden",IF(AND(H857&gt;=D857-0.02,H857&lt;=E857+0.02),"yes","no"))</f>
        <v>yes</v>
      </c>
    </row>
    <row r="858" customFormat="false" ht="15" hidden="false" customHeight="false" outlineLevel="0" collapsed="false">
      <c r="A858" s="9" t="n">
        <v>45029</v>
      </c>
      <c r="B858" s="10" t="n">
        <v>17828</v>
      </c>
      <c r="C858" s="11" t="n">
        <v>17.9179</v>
      </c>
      <c r="D858" s="11" t="n">
        <v>17.8017</v>
      </c>
      <c r="E858" s="11" t="n">
        <v>18.034</v>
      </c>
      <c r="F858" s="12" t="n">
        <f aca="false">IF(C858="","",B858/C858)</f>
        <v>994.982670960325</v>
      </c>
      <c r="G858" s="12" t="n">
        <f aca="false">MEDIAN(F848:F868)</f>
        <v>989.191532124478</v>
      </c>
      <c r="H858" s="13" t="n">
        <f aca="false">B858/G858</f>
        <v>18.0227988423141</v>
      </c>
      <c r="I858" s="14" t="n">
        <f aca="false">B858/Summary!$C$8*100</f>
        <v>178.653385575854</v>
      </c>
      <c r="J858" s="14" t="n">
        <f aca="false">G858/Summary!$E$8*100</f>
        <v>168.118861642008</v>
      </c>
      <c r="K858" s="15" t="n">
        <f aca="false">Summary!$D$9</f>
        <v>16.9374488591431</v>
      </c>
      <c r="L858" s="16" t="str">
        <f aca="false">IF(OR(D858="",E858=""),"edge hidden",IF(AND(H858&gt;=D858-0.02,H858&lt;=E858+0.02),"yes","no"))</f>
        <v>yes</v>
      </c>
    </row>
    <row r="859" customFormat="false" ht="15" hidden="false" customHeight="false" outlineLevel="0" collapsed="false">
      <c r="A859" s="9" t="n">
        <v>45033</v>
      </c>
      <c r="B859" s="10" t="n">
        <v>17706.85</v>
      </c>
      <c r="C859" s="11" t="n">
        <v>17.8825</v>
      </c>
      <c r="D859" s="11" t="n">
        <v>17.7624</v>
      </c>
      <c r="E859" s="11" t="n">
        <v>18.0025</v>
      </c>
      <c r="F859" s="12" t="n">
        <f aca="false">IF(C859="","",B859/C859)</f>
        <v>990.177547882008</v>
      </c>
      <c r="G859" s="12" t="n">
        <f aca="false">MEDIAN(F849:F869)</f>
        <v>989.27619207993</v>
      </c>
      <c r="H859" s="13" t="n">
        <f aca="false">B859/G859</f>
        <v>17.8987932204977</v>
      </c>
      <c r="I859" s="14" t="n">
        <f aca="false">B859/Summary!$C$8*100</f>
        <v>177.439348237817</v>
      </c>
      <c r="J859" s="14" t="n">
        <f aca="false">G859/Summary!$E$8*100</f>
        <v>168.133250094472</v>
      </c>
      <c r="K859" s="15" t="n">
        <f aca="false">Summary!$D$9</f>
        <v>16.9374488591431</v>
      </c>
      <c r="L859" s="16" t="str">
        <f aca="false">IF(OR(D859="",E859=""),"edge hidden",IF(AND(H859&gt;=D859-0.02,H859&lt;=E859+0.02),"yes","no"))</f>
        <v>yes</v>
      </c>
    </row>
    <row r="860" customFormat="false" ht="15" hidden="false" customHeight="false" outlineLevel="0" collapsed="false">
      <c r="A860" s="9" t="n">
        <v>45034</v>
      </c>
      <c r="B860" s="10" t="n">
        <v>17660.15</v>
      </c>
      <c r="C860" s="11" t="n">
        <v>17.8746</v>
      </c>
      <c r="D860" s="11" t="n">
        <v>17.7545</v>
      </c>
      <c r="E860" s="11" t="n">
        <v>17.9947</v>
      </c>
      <c r="F860" s="12" t="n">
        <f aca="false">IF(C860="","",B860/C860)</f>
        <v>988.002528727916</v>
      </c>
      <c r="G860" s="12" t="n">
        <f aca="false">MEDIAN(F850:F870)</f>
        <v>989.27619207993</v>
      </c>
      <c r="H860" s="13" t="n">
        <f aca="false">B860/G860</f>
        <v>17.8515869899486</v>
      </c>
      <c r="I860" s="14" t="n">
        <f aca="false">B860/Summary!$C$8*100</f>
        <v>176.971370163642</v>
      </c>
      <c r="J860" s="14" t="n">
        <f aca="false">G860/Summary!$E$8*100</f>
        <v>168.133250094472</v>
      </c>
      <c r="K860" s="15" t="n">
        <f aca="false">Summary!$D$9</f>
        <v>16.9374488591431</v>
      </c>
      <c r="L860" s="16" t="str">
        <f aca="false">IF(OR(D860="",E860=""),"edge hidden",IF(AND(H860&gt;=D860-0.02,H860&lt;=E860+0.02),"yes","no"))</f>
        <v>yes</v>
      </c>
    </row>
    <row r="861" customFormat="false" ht="15" hidden="false" customHeight="false" outlineLevel="0" collapsed="false">
      <c r="A861" s="9" t="n">
        <v>45035</v>
      </c>
      <c r="B861" s="10" t="n">
        <v>17618.75</v>
      </c>
      <c r="C861" s="11" t="n">
        <v>17.8313</v>
      </c>
      <c r="D861" s="11" t="n">
        <v>17.7545</v>
      </c>
      <c r="E861" s="11" t="n">
        <v>17.908</v>
      </c>
      <c r="F861" s="12" t="n">
        <f aca="false">IF(C861="","",B861/C861)</f>
        <v>988.079949302631</v>
      </c>
      <c r="G861" s="12" t="n">
        <f aca="false">MEDIAN(F851:F871)</f>
        <v>989.470345168317</v>
      </c>
      <c r="H861" s="13" t="n">
        <f aca="false">B861/G861</f>
        <v>17.8062435989458</v>
      </c>
      <c r="I861" s="14" t="n">
        <f aca="false">B861/Summary!$C$8*100</f>
        <v>176.556503091461</v>
      </c>
      <c r="J861" s="14" t="n">
        <f aca="false">G861/Summary!$E$8*100</f>
        <v>168.166247542533</v>
      </c>
      <c r="K861" s="15" t="n">
        <f aca="false">Summary!$D$9</f>
        <v>16.9374488591431</v>
      </c>
      <c r="L861" s="16" t="str">
        <f aca="false">IF(OR(D861="",E861=""),"edge hidden",IF(AND(H861&gt;=D861-0.02,H861&lt;=E861+0.02),"yes","no"))</f>
        <v>yes</v>
      </c>
    </row>
    <row r="862" customFormat="false" ht="15" hidden="false" customHeight="false" outlineLevel="0" collapsed="false">
      <c r="A862" s="9" t="n">
        <v>45036</v>
      </c>
      <c r="B862" s="10" t="n">
        <v>17624.45</v>
      </c>
      <c r="C862" s="11" t="n">
        <v>17.8155</v>
      </c>
      <c r="D862" s="11" t="n">
        <v>17.7466</v>
      </c>
      <c r="E862" s="11" t="n">
        <v>17.8844</v>
      </c>
      <c r="F862" s="12" t="n">
        <f aca="false">IF(C862="","",B862/C862)</f>
        <v>989.27619207993</v>
      </c>
      <c r="G862" s="12" t="n">
        <f aca="false">MEDIAN(F852:F872)</f>
        <v>989.27619207993</v>
      </c>
      <c r="H862" s="13" t="n">
        <f aca="false">B862/G862</f>
        <v>17.8155</v>
      </c>
      <c r="I862" s="14" t="n">
        <f aca="false">B862/Summary!$C$8*100</f>
        <v>176.613622470964</v>
      </c>
      <c r="J862" s="14" t="n">
        <f aca="false">G862/Summary!$E$8*100</f>
        <v>168.133250094472</v>
      </c>
      <c r="K862" s="15" t="n">
        <f aca="false">Summary!$D$9</f>
        <v>16.9374488591431</v>
      </c>
      <c r="L862" s="16" t="str">
        <f aca="false">IF(OR(D862="",E862=""),"edge hidden",IF(AND(H862&gt;=D862-0.02,H862&lt;=E862+0.02),"yes","no"))</f>
        <v>yes</v>
      </c>
    </row>
    <row r="863" customFormat="false" ht="15" hidden="false" customHeight="false" outlineLevel="0" collapsed="false">
      <c r="A863" s="9" t="n">
        <v>45037</v>
      </c>
      <c r="B863" s="10" t="n">
        <v>17624.05</v>
      </c>
      <c r="C863" s="11" t="n">
        <v>17.8116</v>
      </c>
      <c r="D863" s="11" t="n">
        <v>17.7388</v>
      </c>
      <c r="E863" s="11" t="n">
        <v>17.8844</v>
      </c>
      <c r="F863" s="12" t="n">
        <f aca="false">IF(C863="","",B863/C863)</f>
        <v>989.470345168317</v>
      </c>
      <c r="G863" s="12" t="n">
        <f aca="false">MEDIAN(F853:F873)</f>
        <v>989.470345168317</v>
      </c>
      <c r="H863" s="13" t="n">
        <f aca="false">B863/G863</f>
        <v>17.8116</v>
      </c>
      <c r="I863" s="14" t="n">
        <f aca="false">B863/Summary!$C$8*100</f>
        <v>176.609614093455</v>
      </c>
      <c r="J863" s="14" t="n">
        <f aca="false">G863/Summary!$E$8*100</f>
        <v>168.166247542533</v>
      </c>
      <c r="K863" s="15" t="n">
        <f aca="false">Summary!$D$9</f>
        <v>16.9374488591431</v>
      </c>
      <c r="L863" s="16" t="str">
        <f aca="false">IF(OR(D863="",E863=""),"edge hidden",IF(AND(H863&gt;=D863-0.02,H863&lt;=E863+0.02),"yes","no"))</f>
        <v>yes</v>
      </c>
    </row>
    <row r="864" customFormat="false" ht="15" hidden="false" customHeight="false" outlineLevel="0" collapsed="false">
      <c r="A864" s="9" t="n">
        <v>45040</v>
      </c>
      <c r="B864" s="10" t="n">
        <v>17743.4</v>
      </c>
      <c r="C864" s="11" t="n">
        <v>17.9927</v>
      </c>
      <c r="D864" s="11" t="n">
        <v>17.7545</v>
      </c>
      <c r="E864" s="11" t="n">
        <v>18.2309</v>
      </c>
      <c r="F864" s="12" t="n">
        <f aca="false">IF(C864="","",B864/C864)</f>
        <v>986.144380776648</v>
      </c>
      <c r="G864" s="12" t="n">
        <f aca="false">MEDIAN(F854:F874)</f>
        <v>989.470345168317</v>
      </c>
      <c r="H864" s="13" t="n">
        <f aca="false">B864/G864</f>
        <v>17.9322200878913</v>
      </c>
      <c r="I864" s="14" t="n">
        <f aca="false">B864/Summary!$C$8*100</f>
        <v>177.805613732701</v>
      </c>
      <c r="J864" s="14" t="n">
        <f aca="false">G864/Summary!$E$8*100</f>
        <v>168.166247542533</v>
      </c>
      <c r="K864" s="15" t="n">
        <f aca="false">Summary!$D$9</f>
        <v>16.9374488591431</v>
      </c>
      <c r="L864" s="16" t="str">
        <f aca="false">IF(OR(D864="",E864=""),"edge hidden",IF(AND(H864&gt;=D864-0.02,H864&lt;=E864+0.02),"yes","no"))</f>
        <v>yes</v>
      </c>
    </row>
    <row r="865" customFormat="false" ht="15" hidden="false" customHeight="false" outlineLevel="0" collapsed="false">
      <c r="A865" s="9" t="n">
        <v>45041</v>
      </c>
      <c r="B865" s="10" t="n">
        <v>17769.25</v>
      </c>
      <c r="C865" s="11" t="n">
        <v>18.036</v>
      </c>
      <c r="D865" s="11" t="n">
        <v>17.7702</v>
      </c>
      <c r="E865" s="11" t="n">
        <v>18.3017</v>
      </c>
      <c r="F865" s="12" t="n">
        <f aca="false">IF(C865="","",B865/C865)</f>
        <v>985.210135284986</v>
      </c>
      <c r="G865" s="12" t="n">
        <f aca="false">MEDIAN(F855:F875)</f>
        <v>989.470345168317</v>
      </c>
      <c r="H865" s="13" t="n">
        <f aca="false">B865/G865</f>
        <v>17.958345176052</v>
      </c>
      <c r="I865" s="14" t="n">
        <f aca="false">B865/Summary!$C$8*100</f>
        <v>178.06465512922</v>
      </c>
      <c r="J865" s="14" t="n">
        <f aca="false">G865/Summary!$E$8*100</f>
        <v>168.166247542533</v>
      </c>
      <c r="K865" s="15" t="n">
        <f aca="false">Summary!$D$9</f>
        <v>16.9374488591431</v>
      </c>
      <c r="L865" s="16" t="str">
        <f aca="false">IF(OR(D865="",E865=""),"edge hidden",IF(AND(H865&gt;=D865-0.02,H865&lt;=E865+0.02),"yes","no"))</f>
        <v>yes</v>
      </c>
    </row>
    <row r="866" customFormat="false" ht="15" hidden="false" customHeight="false" outlineLevel="0" collapsed="false">
      <c r="A866" s="9" t="n">
        <v>45042</v>
      </c>
      <c r="B866" s="10" t="n">
        <v>17813.6</v>
      </c>
      <c r="C866" s="11" t="n">
        <v>18.0911</v>
      </c>
      <c r="D866" s="11" t="n">
        <v>17.8726</v>
      </c>
      <c r="E866" s="11" t="n">
        <v>18.3096</v>
      </c>
      <c r="F866" s="12" t="n">
        <f aca="false">IF(C866="","",B866/C866)</f>
        <v>984.660965889305</v>
      </c>
      <c r="G866" s="12" t="n">
        <f aca="false">MEDIAN(F856:F876)</f>
        <v>989.956485551974</v>
      </c>
      <c r="H866" s="13" t="n">
        <f aca="false">B866/G866</f>
        <v>17.9943262759348</v>
      </c>
      <c r="I866" s="14" t="n">
        <f aca="false">B866/Summary!$C$8*100</f>
        <v>178.50908398553</v>
      </c>
      <c r="J866" s="14" t="n">
        <f aca="false">G866/Summary!$E$8*100</f>
        <v>168.248869931873</v>
      </c>
      <c r="K866" s="15" t="n">
        <f aca="false">Summary!$D$9</f>
        <v>16.9374488591431</v>
      </c>
      <c r="L866" s="16" t="str">
        <f aca="false">IF(OR(D866="",E866=""),"edge hidden",IF(AND(H866&gt;=D866-0.02,H866&lt;=E866+0.02),"yes","no"))</f>
        <v>yes</v>
      </c>
    </row>
    <row r="867" customFormat="false" ht="15" hidden="false" customHeight="false" outlineLevel="0" collapsed="false">
      <c r="A867" s="9" t="n">
        <v>45043</v>
      </c>
      <c r="B867" s="10" t="n">
        <v>17915.05</v>
      </c>
      <c r="C867" s="11" t="n">
        <v>18.1108</v>
      </c>
      <c r="D867" s="11" t="n">
        <v>17.9041</v>
      </c>
      <c r="E867" s="11" t="n">
        <v>18.3175</v>
      </c>
      <c r="F867" s="12" t="n">
        <f aca="false">IF(C867="","",B867/C867)</f>
        <v>989.191532124478</v>
      </c>
      <c r="G867" s="12" t="n">
        <f aca="false">MEDIAN(F857:F877)</f>
        <v>989.981616142881</v>
      </c>
      <c r="H867" s="13" t="n">
        <f aca="false">B867/G867</f>
        <v>18.0963461420625</v>
      </c>
      <c r="I867" s="14" t="n">
        <f aca="false">B867/Summary!$C$8*100</f>
        <v>179.525708731248</v>
      </c>
      <c r="J867" s="14" t="n">
        <f aca="false">G867/Summary!$E$8*100</f>
        <v>168.25314102215</v>
      </c>
      <c r="K867" s="15" t="n">
        <f aca="false">Summary!$D$9</f>
        <v>16.9374488591431</v>
      </c>
      <c r="L867" s="16" t="str">
        <f aca="false">IF(OR(D867="",E867=""),"edge hidden",IF(AND(H867&gt;=D867-0.02,H867&lt;=E867+0.02),"yes","no"))</f>
        <v>yes</v>
      </c>
    </row>
    <row r="868" customFormat="false" ht="15" hidden="false" customHeight="false" outlineLevel="0" collapsed="false">
      <c r="A868" s="9" t="n">
        <v>45044</v>
      </c>
      <c r="B868" s="10" t="n">
        <v>18065</v>
      </c>
      <c r="C868" s="11" t="n">
        <v>18.158</v>
      </c>
      <c r="D868" s="11" t="n">
        <v>17.9828</v>
      </c>
      <c r="E868" s="11" t="n">
        <v>18.3332</v>
      </c>
      <c r="F868" s="12" t="n">
        <f aca="false">IF(C868="","",B868/C868)</f>
        <v>994.878290560634</v>
      </c>
      <c r="G868" s="12" t="n">
        <f aca="false">MEDIAN(F858:F878)</f>
        <v>989.981616142881</v>
      </c>
      <c r="H868" s="13" t="n">
        <f aca="false">B868/G868</f>
        <v>18.2478136012101</v>
      </c>
      <c r="I868" s="14" t="n">
        <f aca="false">B868/Summary!$C$8*100</f>
        <v>181.028349249932</v>
      </c>
      <c r="J868" s="14" t="n">
        <f aca="false">G868/Summary!$E$8*100</f>
        <v>168.25314102215</v>
      </c>
      <c r="K868" s="15" t="n">
        <f aca="false">Summary!$D$9</f>
        <v>16.9374488591431</v>
      </c>
      <c r="L868" s="16" t="str">
        <f aca="false">IF(OR(D868="",E868=""),"edge hidden",IF(AND(H868&gt;=D868-0.02,H868&lt;=E868+0.02),"yes","no"))</f>
        <v>yes</v>
      </c>
    </row>
    <row r="869" customFormat="false" ht="15" hidden="false" customHeight="false" outlineLevel="0" collapsed="false">
      <c r="A869" s="9" t="n">
        <v>45048</v>
      </c>
      <c r="B869" s="10" t="n">
        <v>18147.65</v>
      </c>
      <c r="C869" s="11" t="n">
        <v>18.3313</v>
      </c>
      <c r="D869" s="11" t="n">
        <v>18.2348</v>
      </c>
      <c r="E869" s="11" t="n">
        <v>18.4277</v>
      </c>
      <c r="F869" s="12" t="n">
        <f aca="false">IF(C869="","",B869/C869)</f>
        <v>989.981616142881</v>
      </c>
      <c r="G869" s="12" t="n">
        <f aca="false">MEDIAN(F859:F879)</f>
        <v>989.981616142881</v>
      </c>
      <c r="H869" s="13" t="n">
        <f aca="false">B869/G869</f>
        <v>18.3313</v>
      </c>
      <c r="I869" s="14" t="n">
        <f aca="false">B869/Summary!$C$8*100</f>
        <v>181.856580252728</v>
      </c>
      <c r="J869" s="14" t="n">
        <f aca="false">G869/Summary!$E$8*100</f>
        <v>168.25314102215</v>
      </c>
      <c r="K869" s="15" t="n">
        <f aca="false">Summary!$D$9</f>
        <v>16.9374488591431</v>
      </c>
      <c r="L869" s="16" t="str">
        <f aca="false">IF(OR(D869="",E869=""),"edge hidden",IF(AND(H869&gt;=D869-0.02,H869&lt;=E869+0.02),"yes","no"))</f>
        <v>yes</v>
      </c>
    </row>
    <row r="870" customFormat="false" ht="15" hidden="false" customHeight="false" outlineLevel="0" collapsed="false">
      <c r="A870" s="9" t="n">
        <v>45049</v>
      </c>
      <c r="B870" s="10" t="n">
        <v>18089.85</v>
      </c>
      <c r="C870" s="11" t="n">
        <v>18.3352</v>
      </c>
      <c r="D870" s="11" t="n">
        <v>18.2348</v>
      </c>
      <c r="E870" s="11" t="n">
        <v>18.4356</v>
      </c>
      <c r="F870" s="12" t="n">
        <f aca="false">IF(C870="","",B870/C870)</f>
        <v>986.618635193507</v>
      </c>
      <c r="G870" s="12" t="n">
        <f aca="false">MEDIAN(F860:F880)</f>
        <v>989.981616142881</v>
      </c>
      <c r="H870" s="13" t="n">
        <f aca="false">B870/G870</f>
        <v>18.2729150774343</v>
      </c>
      <c r="I870" s="14" t="n">
        <f aca="false">B870/Summary!$C$8*100</f>
        <v>181.277369702679</v>
      </c>
      <c r="J870" s="14" t="n">
        <f aca="false">G870/Summary!$E$8*100</f>
        <v>168.25314102215</v>
      </c>
      <c r="K870" s="15" t="n">
        <f aca="false">Summary!$D$9</f>
        <v>16.9374488591431</v>
      </c>
      <c r="L870" s="16" t="str">
        <f aca="false">IF(OR(D870="",E870=""),"edge hidden",IF(AND(H870&gt;=D870-0.02,H870&lt;=E870+0.02),"yes","no"))</f>
        <v>yes</v>
      </c>
    </row>
    <row r="871" customFormat="false" ht="15" hidden="false" customHeight="false" outlineLevel="0" collapsed="false">
      <c r="A871" s="9" t="n">
        <v>45050</v>
      </c>
      <c r="B871" s="10" t="n">
        <v>18255.8</v>
      </c>
      <c r="C871" s="11" t="n">
        <v>18.3273</v>
      </c>
      <c r="D871" s="11" t="n">
        <v>18.2191</v>
      </c>
      <c r="E871" s="11" t="n">
        <v>18.4356</v>
      </c>
      <c r="F871" s="12" t="n">
        <f aca="false">IF(C871="","",B871/C871)</f>
        <v>996.098716122942</v>
      </c>
      <c r="G871" s="12" t="n">
        <f aca="false">MEDIAN(F861:F881)</f>
        <v>990.507383753012</v>
      </c>
      <c r="H871" s="13" t="n">
        <f aca="false">B871/G871</f>
        <v>18.4307560947493</v>
      </c>
      <c r="I871" s="14" t="n">
        <f aca="false">B871/Summary!$C$8*100</f>
        <v>182.940345321722</v>
      </c>
      <c r="J871" s="14" t="n">
        <f aca="false">G871/Summary!$E$8*100</f>
        <v>168.342498289406</v>
      </c>
      <c r="K871" s="15" t="n">
        <f aca="false">Summary!$D$9</f>
        <v>16.9374488591431</v>
      </c>
      <c r="L871" s="16" t="str">
        <f aca="false">IF(OR(D871="",E871=""),"edge hidden",IF(AND(H871&gt;=D871-0.02,H871&lt;=E871+0.02),"yes","no"))</f>
        <v>yes</v>
      </c>
    </row>
    <row r="872" customFormat="false" ht="15" hidden="false" customHeight="false" outlineLevel="0" collapsed="false">
      <c r="A872" s="9" t="n">
        <v>45051</v>
      </c>
      <c r="B872" s="10" t="n">
        <v>18069</v>
      </c>
      <c r="C872" s="11" t="n">
        <v>18.3313</v>
      </c>
      <c r="D872" s="11" t="n">
        <v>18.2191</v>
      </c>
      <c r="E872" s="11" t="n">
        <v>18.4435</v>
      </c>
      <c r="F872" s="12" t="n">
        <f aca="false">IF(C872="","",B872/C872)</f>
        <v>985.691140290105</v>
      </c>
      <c r="G872" s="12" t="n">
        <f aca="false">MEDIAN(F862:F882)</f>
        <v>993.125805676331</v>
      </c>
      <c r="H872" s="13" t="n">
        <f aca="false">B872/G872</f>
        <v>18.1940695697609</v>
      </c>
      <c r="I872" s="14" t="n">
        <f aca="false">B872/Summary!$C$8*100</f>
        <v>181.068433025022</v>
      </c>
      <c r="J872" s="14" t="n">
        <f aca="false">G872/Summary!$E$8*100</f>
        <v>168.787514344185</v>
      </c>
      <c r="K872" s="15" t="n">
        <f aca="false">Summary!$D$9</f>
        <v>16.9374488591431</v>
      </c>
      <c r="L872" s="16" t="str">
        <f aca="false">IF(OR(D872="",E872=""),"edge hidden",IF(AND(H872&gt;=D872-0.02,H872&lt;=E872+0.02),"yes","no"))</f>
        <v>no</v>
      </c>
    </row>
    <row r="873" customFormat="false" ht="15" hidden="false" customHeight="false" outlineLevel="0" collapsed="false">
      <c r="A873" s="9" t="n">
        <v>45054</v>
      </c>
      <c r="B873" s="10" t="n">
        <v>18264.4</v>
      </c>
      <c r="C873" s="11" t="n">
        <v>18.347</v>
      </c>
      <c r="D873" s="11" t="n">
        <v>18.2191</v>
      </c>
      <c r="E873" s="11" t="n">
        <v>18.475</v>
      </c>
      <c r="F873" s="12" t="n">
        <f aca="false">IF(C873="","",B873/C873)</f>
        <v>995.497901564288</v>
      </c>
      <c r="G873" s="12" t="n">
        <f aca="false">MEDIAN(F863:F883)</f>
        <v>994.072617230157</v>
      </c>
      <c r="H873" s="13" t="n">
        <f aca="false">B873/G873</f>
        <v>18.3733056151282</v>
      </c>
      <c r="I873" s="14" t="n">
        <f aca="false">B873/Summary!$C$8*100</f>
        <v>183.026525438166</v>
      </c>
      <c r="J873" s="14" t="n">
        <f aca="false">G873/Summary!$E$8*100</f>
        <v>168.948430481707</v>
      </c>
      <c r="K873" s="15" t="n">
        <f aca="false">Summary!$D$9</f>
        <v>16.9374488591431</v>
      </c>
      <c r="L873" s="16" t="str">
        <f aca="false">IF(OR(D873="",E873=""),"edge hidden",IF(AND(H873&gt;=D873-0.02,H873&lt;=E873+0.02),"yes","no"))</f>
        <v>yes</v>
      </c>
    </row>
    <row r="874" customFormat="false" ht="15" hidden="false" customHeight="false" outlineLevel="0" collapsed="false">
      <c r="A874" s="9" t="n">
        <v>45055</v>
      </c>
      <c r="B874" s="10" t="n">
        <v>18265.95</v>
      </c>
      <c r="C874" s="11" t="n">
        <v>18.3706</v>
      </c>
      <c r="D874" s="11" t="n">
        <v>18.2663</v>
      </c>
      <c r="E874" s="11" t="n">
        <v>18.475</v>
      </c>
      <c r="F874" s="12" t="n">
        <f aca="false">IF(C874="","",B874/C874)</f>
        <v>994.303397820431</v>
      </c>
      <c r="G874" s="12" t="n">
        <f aca="false">MEDIAN(F864:F884)</f>
        <v>994.303397820431</v>
      </c>
      <c r="H874" s="13" t="n">
        <f aca="false">B874/G874</f>
        <v>18.3706</v>
      </c>
      <c r="I874" s="14" t="n">
        <f aca="false">B874/Summary!$C$8*100</f>
        <v>183.042057901013</v>
      </c>
      <c r="J874" s="14" t="n">
        <f aca="false">G874/Summary!$E$8*100</f>
        <v>168.987652987022</v>
      </c>
      <c r="K874" s="15" t="n">
        <f aca="false">Summary!$D$9</f>
        <v>16.9374488591431</v>
      </c>
      <c r="L874" s="16" t="str">
        <f aca="false">IF(OR(D874="",E874=""),"edge hidden",IF(AND(H874&gt;=D874-0.02,H874&lt;=E874+0.02),"yes","no"))</f>
        <v>yes</v>
      </c>
    </row>
    <row r="875" customFormat="false" ht="15" hidden="false" customHeight="false" outlineLevel="0" collapsed="false">
      <c r="A875" s="9" t="n">
        <v>45056</v>
      </c>
      <c r="B875" s="10" t="n">
        <v>18315.1</v>
      </c>
      <c r="C875" s="11" t="n">
        <v>18.3903</v>
      </c>
      <c r="D875" s="11" t="n">
        <v>18.3057</v>
      </c>
      <c r="E875" s="11" t="n">
        <v>18.475</v>
      </c>
      <c r="F875" s="12" t="n">
        <f aca="false">IF(C875="","",B875/C875)</f>
        <v>995.910887804984</v>
      </c>
      <c r="G875" s="12" t="n">
        <f aca="false">MEDIAN(F865:F885)</f>
        <v>994.303397820431</v>
      </c>
      <c r="H875" s="13" t="n">
        <f aca="false">B875/G875</f>
        <v>18.4200315921154</v>
      </c>
      <c r="I875" s="14" t="n">
        <f aca="false">B875/Summary!$C$8*100</f>
        <v>183.534587287431</v>
      </c>
      <c r="J875" s="14" t="n">
        <f aca="false">G875/Summary!$E$8*100</f>
        <v>168.987652987022</v>
      </c>
      <c r="K875" s="15" t="n">
        <f aca="false">Summary!$D$9</f>
        <v>16.9374488591431</v>
      </c>
      <c r="L875" s="16" t="str">
        <f aca="false">IF(OR(D875="",E875=""),"edge hidden",IF(AND(H875&gt;=D875-0.02,H875&lt;=E875+0.02),"yes","no"))</f>
        <v>yes</v>
      </c>
    </row>
    <row r="876" customFormat="false" ht="15" hidden="false" customHeight="false" outlineLevel="0" collapsed="false">
      <c r="A876" s="9" t="n">
        <v>45057</v>
      </c>
      <c r="B876" s="10" t="n">
        <v>18297</v>
      </c>
      <c r="C876" s="11" t="n">
        <v>18.4061</v>
      </c>
      <c r="D876" s="11" t="n">
        <v>18.3372</v>
      </c>
      <c r="E876" s="11" t="n">
        <v>18.475</v>
      </c>
      <c r="F876" s="12" t="n">
        <f aca="false">IF(C876="","",B876/C876)</f>
        <v>994.072617230157</v>
      </c>
      <c r="G876" s="12" t="n">
        <f aca="false">MEDIAN(F866:F886)</f>
        <v>994.303397820431</v>
      </c>
      <c r="H876" s="13" t="n">
        <f aca="false">B876/G876</f>
        <v>18.4018278928827</v>
      </c>
      <c r="I876" s="14" t="n">
        <f aca="false">B876/Summary!$C$8*100</f>
        <v>183.353208205149</v>
      </c>
      <c r="J876" s="14" t="n">
        <f aca="false">G876/Summary!$E$8*100</f>
        <v>168.987652987022</v>
      </c>
      <c r="K876" s="15" t="n">
        <f aca="false">Summary!$D$9</f>
        <v>16.9374488591431</v>
      </c>
      <c r="L876" s="16" t="str">
        <f aca="false">IF(OR(D876="",E876=""),"edge hidden",IF(AND(H876&gt;=D876-0.02,H876&lt;=E876+0.02),"yes","no"))</f>
        <v>yes</v>
      </c>
    </row>
    <row r="877" customFormat="false" ht="15" hidden="false" customHeight="false" outlineLevel="0" collapsed="false">
      <c r="A877" s="9" t="n">
        <v>45058</v>
      </c>
      <c r="B877" s="10" t="n">
        <v>18314.8</v>
      </c>
      <c r="C877" s="11" t="n">
        <v>18.4021</v>
      </c>
      <c r="D877" s="11" t="n">
        <v>18.3372</v>
      </c>
      <c r="E877" s="11" t="n">
        <v>18.4671</v>
      </c>
      <c r="F877" s="12" t="n">
        <f aca="false">IF(C877="","",B877/C877)</f>
        <v>995.255976220105</v>
      </c>
      <c r="G877" s="12" t="n">
        <f aca="false">MEDIAN(F867:F887)</f>
        <v>994.308374664074</v>
      </c>
      <c r="H877" s="13" t="n">
        <f aca="false">B877/G877</f>
        <v>18.419637676478</v>
      </c>
      <c r="I877" s="14" t="n">
        <f aca="false">B877/Summary!$C$8*100</f>
        <v>183.531581004299</v>
      </c>
      <c r="J877" s="14" t="n">
        <f aca="false">G877/Summary!$E$8*100</f>
        <v>168.988498830583</v>
      </c>
      <c r="K877" s="15" t="n">
        <f aca="false">Summary!$D$9</f>
        <v>16.9374488591431</v>
      </c>
      <c r="L877" s="16" t="str">
        <f aca="false">IF(OR(D877="",E877=""),"edge hidden",IF(AND(H877&gt;=D877-0.02,H877&lt;=E877+0.02),"yes","no"))</f>
        <v>yes</v>
      </c>
    </row>
    <row r="878" customFormat="false" ht="15" hidden="false" customHeight="false" outlineLevel="0" collapsed="false">
      <c r="A878" s="9" t="n">
        <v>45061</v>
      </c>
      <c r="B878" s="10" t="n">
        <v>18398.85</v>
      </c>
      <c r="C878" s="11" t="n">
        <v>18.3155</v>
      </c>
      <c r="D878" s="11" t="n">
        <v>18.1797</v>
      </c>
      <c r="E878" s="11" t="n">
        <v>18.4514</v>
      </c>
      <c r="F878" s="12" t="n">
        <f aca="false">IF(C878="","",B878/C878)</f>
        <v>1004.55079031421</v>
      </c>
      <c r="G878" s="12" t="n">
        <f aca="false">MEDIAN(F868:F888)</f>
        <v>994.878290560634</v>
      </c>
      <c r="H878" s="13" t="n">
        <f aca="false">B878/G878</f>
        <v>18.4935686853031</v>
      </c>
      <c r="I878" s="14" t="n">
        <f aca="false">B878/Summary!$C$8*100</f>
        <v>184.373841328376</v>
      </c>
      <c r="J878" s="14" t="n">
        <f aca="false">G878/Summary!$E$8*100</f>
        <v>169.085359356224</v>
      </c>
      <c r="K878" s="15" t="n">
        <f aca="false">Summary!$D$9</f>
        <v>16.9374488591431</v>
      </c>
      <c r="L878" s="16" t="str">
        <f aca="false">IF(OR(D878="",E878=""),"edge hidden",IF(AND(H878&gt;=D878-0.02,H878&lt;=E878+0.02),"yes","no"))</f>
        <v>no</v>
      </c>
    </row>
    <row r="879" customFormat="false" ht="15" hidden="false" customHeight="false" outlineLevel="0" collapsed="false">
      <c r="A879" s="9" t="n">
        <v>45062</v>
      </c>
      <c r="B879" s="10" t="n">
        <v>18286.5</v>
      </c>
      <c r="C879" s="11" t="n">
        <v>18.3116</v>
      </c>
      <c r="D879" s="11" t="n">
        <v>18.1718</v>
      </c>
      <c r="E879" s="11" t="n">
        <v>18.4514</v>
      </c>
      <c r="F879" s="12" t="n">
        <f aca="false">IF(C879="","",B879/C879)</f>
        <v>998.629284169597</v>
      </c>
      <c r="G879" s="12" t="n">
        <f aca="false">MEDIAN(F869:F889)</f>
        <v>995.255976220105</v>
      </c>
      <c r="H879" s="13" t="n">
        <f aca="false">B879/G879</f>
        <v>18.373665104178</v>
      </c>
      <c r="I879" s="14" t="n">
        <f aca="false">B879/Summary!$C$8*100</f>
        <v>183.247988295538</v>
      </c>
      <c r="J879" s="14" t="n">
        <f aca="false">G879/Summary!$E$8*100</f>
        <v>169.14954923358</v>
      </c>
      <c r="K879" s="15" t="n">
        <f aca="false">Summary!$D$9</f>
        <v>16.9374488591431</v>
      </c>
      <c r="L879" s="16" t="str">
        <f aca="false">IF(OR(D879="",E879=""),"edge hidden",IF(AND(H879&gt;=D879-0.02,H879&lt;=E879+0.02),"yes","no"))</f>
        <v>yes</v>
      </c>
    </row>
    <row r="880" customFormat="false" ht="15" hidden="false" customHeight="false" outlineLevel="0" collapsed="false">
      <c r="A880" s="9" t="n">
        <v>45063</v>
      </c>
      <c r="B880" s="10" t="n">
        <v>18181.75</v>
      </c>
      <c r="C880" s="11" t="n">
        <v>18.3076</v>
      </c>
      <c r="D880" s="11" t="n">
        <v>18.1797</v>
      </c>
      <c r="E880" s="11" t="n">
        <v>18.4356</v>
      </c>
      <c r="F880" s="12" t="n">
        <f aca="false">IF(C880="","",B880/C880)</f>
        <v>993.125805676331</v>
      </c>
      <c r="G880" s="12" t="n">
        <f aca="false">MEDIAN(F870:F890)</f>
        <v>995.255976220105</v>
      </c>
      <c r="H880" s="13" t="n">
        <f aca="false">B880/G880</f>
        <v>18.2684157989713</v>
      </c>
      <c r="I880" s="14" t="n">
        <f aca="false">B880/Summary!$C$8*100</f>
        <v>182.19829443537</v>
      </c>
      <c r="J880" s="14" t="n">
        <f aca="false">G880/Summary!$E$8*100</f>
        <v>169.14954923358</v>
      </c>
      <c r="K880" s="15" t="n">
        <f aca="false">Summary!$D$9</f>
        <v>16.9374488591431</v>
      </c>
      <c r="L880" s="16" t="str">
        <f aca="false">IF(OR(D880="",E880=""),"edge hidden",IF(AND(H880&gt;=D880-0.02,H880&lt;=E880+0.02),"yes","no"))</f>
        <v>yes</v>
      </c>
    </row>
    <row r="881" customFormat="false" ht="15" hidden="false" customHeight="false" outlineLevel="0" collapsed="false">
      <c r="A881" s="9" t="n">
        <v>45064</v>
      </c>
      <c r="B881" s="10" t="n">
        <v>18129.95</v>
      </c>
      <c r="C881" s="11" t="n">
        <v>18.3037</v>
      </c>
      <c r="D881" s="11" t="n">
        <v>18.1718</v>
      </c>
      <c r="E881" s="11" t="n">
        <v>18.4356</v>
      </c>
      <c r="F881" s="12" t="n">
        <f aca="false">IF(C881="","",B881/C881)</f>
        <v>990.507383753012</v>
      </c>
      <c r="G881" s="12" t="n">
        <f aca="false">MEDIAN(F871:F891)</f>
        <v>995.255976220105</v>
      </c>
      <c r="H881" s="13" t="n">
        <f aca="false">B881/G881</f>
        <v>18.2163688871841</v>
      </c>
      <c r="I881" s="14" t="n">
        <f aca="false">B881/Summary!$C$8*100</f>
        <v>181.679209547955</v>
      </c>
      <c r="J881" s="14" t="n">
        <f aca="false">G881/Summary!$E$8*100</f>
        <v>169.14954923358</v>
      </c>
      <c r="K881" s="15" t="n">
        <f aca="false">Summary!$D$9</f>
        <v>16.9374488591431</v>
      </c>
      <c r="L881" s="16" t="str">
        <f aca="false">IF(OR(D881="",E881=""),"edge hidden",IF(AND(H881&gt;=D881-0.02,H881&lt;=E881+0.02),"yes","no"))</f>
        <v>yes</v>
      </c>
    </row>
    <row r="882" customFormat="false" ht="15" hidden="false" customHeight="false" outlineLevel="0" collapsed="false">
      <c r="A882" s="9" t="n">
        <v>45065</v>
      </c>
      <c r="B882" s="10" t="n">
        <v>18203.4</v>
      </c>
      <c r="C882" s="11" t="n">
        <v>18.3076</v>
      </c>
      <c r="D882" s="11" t="n">
        <v>18.1797</v>
      </c>
      <c r="E882" s="11" t="n">
        <v>18.4356</v>
      </c>
      <c r="F882" s="12" t="n">
        <f aca="false">IF(C882="","",B882/C882)</f>
        <v>994.308374664074</v>
      </c>
      <c r="G882" s="12" t="n">
        <f aca="false">MEDIAN(F872:F892)</f>
        <v>994.308374664074</v>
      </c>
      <c r="H882" s="13" t="n">
        <f aca="false">B882/G882</f>
        <v>18.3076</v>
      </c>
      <c r="I882" s="14" t="n">
        <f aca="false">B882/Summary!$C$8*100</f>
        <v>182.415247868044</v>
      </c>
      <c r="J882" s="14" t="n">
        <f aca="false">G882/Summary!$E$8*100</f>
        <v>168.988498830583</v>
      </c>
      <c r="K882" s="15" t="n">
        <f aca="false">Summary!$D$9</f>
        <v>16.9374488591431</v>
      </c>
      <c r="L882" s="16" t="str">
        <f aca="false">IF(OR(D882="",E882=""),"edge hidden",IF(AND(H882&gt;=D882-0.02,H882&lt;=E882+0.02),"yes","no"))</f>
        <v>yes</v>
      </c>
    </row>
    <row r="883" customFormat="false" ht="15" hidden="false" customHeight="false" outlineLevel="0" collapsed="false">
      <c r="A883" s="9" t="n">
        <v>45068</v>
      </c>
      <c r="B883" s="10" t="n">
        <v>18314.4</v>
      </c>
      <c r="C883" s="11" t="n">
        <v>18.3431</v>
      </c>
      <c r="D883" s="11" t="n">
        <v>18.2033</v>
      </c>
      <c r="E883" s="11" t="n">
        <v>18.4828</v>
      </c>
      <c r="F883" s="12" t="n">
        <f aca="false">IF(C883="","",B883/C883)</f>
        <v>998.435378970839</v>
      </c>
      <c r="G883" s="12" t="n">
        <f aca="false">MEDIAN(F873:F893)</f>
        <v>994.308374664074</v>
      </c>
      <c r="H883" s="13" t="n">
        <f aca="false">B883/G883</f>
        <v>18.4192353867959</v>
      </c>
      <c r="I883" s="14" t="n">
        <f aca="false">B883/Summary!$C$8*100</f>
        <v>183.52757262679</v>
      </c>
      <c r="J883" s="14" t="n">
        <f aca="false">G883/Summary!$E$8*100</f>
        <v>168.988498830583</v>
      </c>
      <c r="K883" s="15" t="n">
        <f aca="false">Summary!$D$9</f>
        <v>16.9374488591431</v>
      </c>
      <c r="L883" s="16" t="str">
        <f aca="false">IF(OR(D883="",E883=""),"edge hidden",IF(AND(H883&gt;=D883-0.02,H883&lt;=E883+0.02),"yes","no"))</f>
        <v>yes</v>
      </c>
    </row>
    <row r="884" customFormat="false" ht="15" hidden="false" customHeight="false" outlineLevel="0" collapsed="false">
      <c r="A884" s="9" t="n">
        <v>45069</v>
      </c>
      <c r="B884" s="10" t="n">
        <v>18348</v>
      </c>
      <c r="C884" s="11" t="n">
        <v>18.3982</v>
      </c>
      <c r="D884" s="11" t="n">
        <v>18.2348</v>
      </c>
      <c r="E884" s="11" t="n">
        <v>18.5616</v>
      </c>
      <c r="F884" s="12" t="n">
        <f aca="false">IF(C884="","",B884/C884)</f>
        <v>997.271472209238</v>
      </c>
      <c r="G884" s="12" t="n">
        <f aca="false">MEDIAN(F874:F894)</f>
        <v>994.303397820431</v>
      </c>
      <c r="H884" s="13" t="n">
        <f aca="false">B884/G884</f>
        <v>18.4531200840909</v>
      </c>
      <c r="I884" s="14" t="n">
        <f aca="false">B884/Summary!$C$8*100</f>
        <v>183.864276337545</v>
      </c>
      <c r="J884" s="14" t="n">
        <f aca="false">G884/Summary!$E$8*100</f>
        <v>168.987652987022</v>
      </c>
      <c r="K884" s="15" t="n">
        <f aca="false">Summary!$D$9</f>
        <v>16.9374488591431</v>
      </c>
      <c r="L884" s="16" t="str">
        <f aca="false">IF(OR(D884="",E884=""),"edge hidden",IF(AND(H884&gt;=D884-0.02,H884&lt;=E884+0.02),"yes","no"))</f>
        <v>yes</v>
      </c>
    </row>
    <row r="885" customFormat="false" ht="15" hidden="false" customHeight="false" outlineLevel="0" collapsed="false">
      <c r="A885" s="9" t="n">
        <v>45070</v>
      </c>
      <c r="B885" s="10" t="n">
        <v>18285.4</v>
      </c>
      <c r="C885" s="11" t="n">
        <v>18.4454</v>
      </c>
      <c r="D885" s="11" t="n">
        <v>18.3214</v>
      </c>
      <c r="E885" s="11" t="n">
        <v>18.5695</v>
      </c>
      <c r="F885" s="12" t="n">
        <f aca="false">IF(C885="","",B885/C885)</f>
        <v>991.325750593644</v>
      </c>
      <c r="G885" s="12" t="n">
        <f aca="false">MEDIAN(F875:F895)</f>
        <v>994.308374664074</v>
      </c>
      <c r="H885" s="13" t="n">
        <f aca="false">B885/G885</f>
        <v>18.3900693848402</v>
      </c>
      <c r="I885" s="14" t="n">
        <f aca="false">B885/Summary!$C$8*100</f>
        <v>183.236965257388</v>
      </c>
      <c r="J885" s="14" t="n">
        <f aca="false">G885/Summary!$E$8*100</f>
        <v>168.988498830583</v>
      </c>
      <c r="K885" s="15" t="n">
        <f aca="false">Summary!$D$9</f>
        <v>16.9374488591431</v>
      </c>
      <c r="L885" s="16" t="str">
        <f aca="false">IF(OR(D885="",E885=""),"edge hidden",IF(AND(H885&gt;=D885-0.02,H885&lt;=E885+0.02),"yes","no"))</f>
        <v>yes</v>
      </c>
    </row>
    <row r="886" customFormat="false" ht="15" hidden="false" customHeight="false" outlineLevel="0" collapsed="false">
      <c r="A886" s="9" t="n">
        <v>45071</v>
      </c>
      <c r="B886" s="10" t="n">
        <v>18321.15</v>
      </c>
      <c r="C886" s="11" t="n">
        <v>18.4769</v>
      </c>
      <c r="D886" s="11" t="n">
        <v>18.3608</v>
      </c>
      <c r="E886" s="11" t="n">
        <v>18.5931</v>
      </c>
      <c r="F886" s="12" t="n">
        <f aca="false">IF(C886="","",B886/C886)</f>
        <v>991.570555666806</v>
      </c>
      <c r="G886" s="12" t="n">
        <f aca="false">MEDIAN(F876:F896)</f>
        <v>994.308374664074</v>
      </c>
      <c r="H886" s="13" t="n">
        <f aca="false">B886/G886</f>
        <v>18.4260240251821</v>
      </c>
      <c r="I886" s="14" t="n">
        <f aca="false">B886/Summary!$C$8*100</f>
        <v>183.595213997254</v>
      </c>
      <c r="J886" s="14" t="n">
        <f aca="false">G886/Summary!$E$8*100</f>
        <v>168.988498830583</v>
      </c>
      <c r="K886" s="15" t="n">
        <f aca="false">Summary!$D$9</f>
        <v>16.9374488591431</v>
      </c>
      <c r="L886" s="16" t="str">
        <f aca="false">IF(OR(D886="",E886=""),"edge hidden",IF(AND(H886&gt;=D886-0.02,H886&lt;=E886+0.02),"yes","no"))</f>
        <v>yes</v>
      </c>
    </row>
    <row r="887" customFormat="false" ht="15" hidden="false" customHeight="false" outlineLevel="0" collapsed="false">
      <c r="A887" s="9" t="n">
        <v>45072</v>
      </c>
      <c r="B887" s="10" t="n">
        <v>18499.35</v>
      </c>
      <c r="C887" s="11" t="n">
        <v>18.5832</v>
      </c>
      <c r="D887" s="11" t="n">
        <v>18.4159</v>
      </c>
      <c r="E887" s="11" t="n">
        <v>18.7506</v>
      </c>
      <c r="F887" s="12" t="n">
        <f aca="false">IF(C887="","",B887/C887)</f>
        <v>995.487860002583</v>
      </c>
      <c r="G887" s="12" t="n">
        <f aca="false">MEDIAN(F877:F897)</f>
        <v>994.308374664074</v>
      </c>
      <c r="H887" s="13" t="n">
        <f aca="false">B887/G887</f>
        <v>18.6052440785787</v>
      </c>
      <c r="I887" s="14" t="n">
        <f aca="false">B887/Summary!$C$8*100</f>
        <v>185.380946177511</v>
      </c>
      <c r="J887" s="14" t="n">
        <f aca="false">G887/Summary!$E$8*100</f>
        <v>168.988498830583</v>
      </c>
      <c r="K887" s="15" t="n">
        <f aca="false">Summary!$D$9</f>
        <v>16.9374488591431</v>
      </c>
      <c r="L887" s="16" t="str">
        <f aca="false">IF(OR(D887="",E887=""),"edge hidden",IF(AND(H887&gt;=D887-0.02,H887&lt;=E887+0.02),"yes","no"))</f>
        <v>yes</v>
      </c>
    </row>
    <row r="888" customFormat="false" ht="15" hidden="false" customHeight="false" outlineLevel="0" collapsed="false">
      <c r="A888" s="9" t="n">
        <v>45075</v>
      </c>
      <c r="B888" s="10" t="n">
        <v>18598.65</v>
      </c>
      <c r="C888" s="11" t="n">
        <v>18.6817</v>
      </c>
      <c r="D888" s="11" t="n">
        <v>18.5813</v>
      </c>
      <c r="E888" s="11" t="n">
        <v>18.7821</v>
      </c>
      <c r="F888" s="12" t="n">
        <f aca="false">IF(C888="","",B888/C888)</f>
        <v>995.554473093991</v>
      </c>
      <c r="G888" s="12" t="n">
        <f aca="false">MEDIAN(F878:F898)</f>
        <v>993.823829546244</v>
      </c>
      <c r="H888" s="13" t="n">
        <f aca="false">B888/G888</f>
        <v>18.7142322885251</v>
      </c>
      <c r="I888" s="14" t="n">
        <f aca="false">B888/Summary!$C$8*100</f>
        <v>186.376025894119</v>
      </c>
      <c r="J888" s="14" t="n">
        <f aca="false">G888/Summary!$E$8*100</f>
        <v>168.906147565961</v>
      </c>
      <c r="K888" s="15" t="n">
        <f aca="false">Summary!$D$9</f>
        <v>16.9374488591431</v>
      </c>
      <c r="L888" s="16" t="str">
        <f aca="false">IF(OR(D888="",E888=""),"edge hidden",IF(AND(H888&gt;=D888-0.02,H888&lt;=E888+0.02),"yes","no"))</f>
        <v>yes</v>
      </c>
    </row>
    <row r="889" customFormat="false" ht="15" hidden="false" customHeight="false" outlineLevel="0" collapsed="false">
      <c r="A889" s="9" t="n">
        <v>45076</v>
      </c>
      <c r="B889" s="10" t="n">
        <v>18633.85</v>
      </c>
      <c r="C889" s="11" t="n">
        <v>18.6856</v>
      </c>
      <c r="D889" s="11" t="n">
        <v>18.5891</v>
      </c>
      <c r="E889" s="11" t="n">
        <v>18.7821</v>
      </c>
      <c r="F889" s="12" t="n">
        <f aca="false">IF(C889="","",B889/C889)</f>
        <v>997.230487648242</v>
      </c>
      <c r="G889" s="12" t="n">
        <f aca="false">MEDIAN(F879:F899)</f>
        <v>993.823829546244</v>
      </c>
      <c r="H889" s="13" t="n">
        <f aca="false">B889/G889</f>
        <v>18.7496510407763</v>
      </c>
      <c r="I889" s="14" t="n">
        <f aca="false">B889/Summary!$C$8*100</f>
        <v>186.72876311491</v>
      </c>
      <c r="J889" s="14" t="n">
        <f aca="false">G889/Summary!$E$8*100</f>
        <v>168.906147565961</v>
      </c>
      <c r="K889" s="15" t="n">
        <f aca="false">Summary!$D$9</f>
        <v>16.9374488591431</v>
      </c>
      <c r="L889" s="16" t="str">
        <f aca="false">IF(OR(D889="",E889=""),"edge hidden",IF(AND(H889&gt;=D889-0.02,H889&lt;=E889+0.02),"yes","no"))</f>
        <v>yes</v>
      </c>
    </row>
    <row r="890" customFormat="false" ht="15" hidden="false" customHeight="false" outlineLevel="0" collapsed="false">
      <c r="A890" s="9" t="n">
        <v>45077</v>
      </c>
      <c r="B890" s="10" t="n">
        <v>18534.4</v>
      </c>
      <c r="C890" s="11" t="n">
        <v>18.6935</v>
      </c>
      <c r="D890" s="11" t="n">
        <v>18.6128</v>
      </c>
      <c r="E890" s="11" t="n">
        <v>18.7742</v>
      </c>
      <c r="F890" s="12" t="n">
        <f aca="false">IF(C890="","",B890/C890)</f>
        <v>991.48902024768</v>
      </c>
      <c r="G890" s="12" t="n">
        <f aca="false">MEDIAN(F880:F900)</f>
        <v>993.823829546244</v>
      </c>
      <c r="H890" s="13" t="n">
        <f aca="false">B890/G890</f>
        <v>18.6495830035212</v>
      </c>
      <c r="I890" s="14" t="n">
        <f aca="false">B890/Summary!$C$8*100</f>
        <v>185.732180256737</v>
      </c>
      <c r="J890" s="14" t="n">
        <f aca="false">G890/Summary!$E$8*100</f>
        <v>168.906147565961</v>
      </c>
      <c r="K890" s="15" t="n">
        <f aca="false">Summary!$D$9</f>
        <v>16.9374488591431</v>
      </c>
      <c r="L890" s="16" t="str">
        <f aca="false">IF(OR(D890="",E890=""),"edge hidden",IF(AND(H890&gt;=D890-0.02,H890&lt;=E890+0.02),"yes","no"))</f>
        <v>yes</v>
      </c>
    </row>
    <row r="891" customFormat="false" ht="15" hidden="false" customHeight="false" outlineLevel="0" collapsed="false">
      <c r="A891" s="9" t="n">
        <v>45078</v>
      </c>
      <c r="B891" s="10" t="n">
        <v>18487.75</v>
      </c>
      <c r="C891" s="11" t="n">
        <v>18.6974</v>
      </c>
      <c r="D891" s="11" t="n">
        <v>18.6206</v>
      </c>
      <c r="E891" s="11" t="n">
        <v>18.7742</v>
      </c>
      <c r="F891" s="12" t="n">
        <f aca="false">IF(C891="","",B891/C891)</f>
        <v>988.787211056083</v>
      </c>
      <c r="G891" s="12" t="n">
        <f aca="false">MEDIAN(F881:F901)</f>
        <v>994.308374664074</v>
      </c>
      <c r="H891" s="13" t="n">
        <f aca="false">B891/G891</f>
        <v>18.5935776777965</v>
      </c>
      <c r="I891" s="14" t="n">
        <f aca="false">B891/Summary!$C$8*100</f>
        <v>185.26470322975</v>
      </c>
      <c r="J891" s="14" t="n">
        <f aca="false">G891/Summary!$E$8*100</f>
        <v>168.988498830583</v>
      </c>
      <c r="K891" s="15" t="n">
        <f aca="false">Summary!$D$9</f>
        <v>16.9374488591431</v>
      </c>
      <c r="L891" s="16" t="str">
        <f aca="false">IF(OR(D891="",E891=""),"edge hidden",IF(AND(H891&gt;=D891-0.02,H891&lt;=E891+0.02),"yes","no"))</f>
        <v>no</v>
      </c>
    </row>
    <row r="892" customFormat="false" ht="15" hidden="false" customHeight="false" outlineLevel="0" collapsed="false">
      <c r="A892" s="9" t="n">
        <v>45079</v>
      </c>
      <c r="B892" s="10" t="n">
        <v>18534.1</v>
      </c>
      <c r="C892" s="11" t="n">
        <v>18.7014</v>
      </c>
      <c r="D892" s="11" t="n">
        <v>18.6285</v>
      </c>
      <c r="E892" s="11" t="n">
        <v>18.7742</v>
      </c>
      <c r="F892" s="12" t="n">
        <f aca="false">IF(C892="","",B892/C892)</f>
        <v>991.054145678933</v>
      </c>
      <c r="G892" s="12" t="n">
        <f aca="false">MEDIAN(F882:F902)</f>
        <v>995.16955941255</v>
      </c>
      <c r="H892" s="13" t="n">
        <f aca="false">B892/G892</f>
        <v>18.6240624270508</v>
      </c>
      <c r="I892" s="14" t="n">
        <f aca="false">B892/Summary!$C$8*100</f>
        <v>185.729173973605</v>
      </c>
      <c r="J892" s="14" t="n">
        <f aca="false">G892/Summary!$E$8*100</f>
        <v>169.13486219387</v>
      </c>
      <c r="K892" s="15" t="n">
        <f aca="false">Summary!$D$9</f>
        <v>16.9374488591431</v>
      </c>
      <c r="L892" s="16" t="str">
        <f aca="false">IF(OR(D892="",E892=""),"edge hidden",IF(AND(H892&gt;=D892-0.02,H892&lt;=E892+0.02),"yes","no"))</f>
        <v>yes</v>
      </c>
    </row>
    <row r="893" customFormat="false" ht="15" hidden="false" customHeight="false" outlineLevel="0" collapsed="false">
      <c r="A893" s="9" t="n">
        <v>45082</v>
      </c>
      <c r="B893" s="10" t="n">
        <v>18593.85</v>
      </c>
      <c r="C893" s="11" t="n">
        <v>18.7289</v>
      </c>
      <c r="D893" s="11" t="n">
        <v>18.6521</v>
      </c>
      <c r="E893" s="11" t="n">
        <v>18.8057</v>
      </c>
      <c r="F893" s="12" t="n">
        <f aca="false">IF(C893="","",B893/C893)</f>
        <v>992.789218800891</v>
      </c>
      <c r="G893" s="12" t="n">
        <f aca="false">MEDIAN(F883:F903)</f>
        <v>995.487860002583</v>
      </c>
      <c r="H893" s="13" t="n">
        <f aca="false">B893/G893</f>
        <v>18.6781283299143</v>
      </c>
      <c r="I893" s="14" t="n">
        <f aca="false">B893/Summary!$C$8*100</f>
        <v>186.327925364011</v>
      </c>
      <c r="J893" s="14" t="n">
        <f aca="false">G893/Summary!$E$8*100</f>
        <v>169.188959232834</v>
      </c>
      <c r="K893" s="15" t="n">
        <f aca="false">Summary!$D$9</f>
        <v>16.9374488591431</v>
      </c>
      <c r="L893" s="16" t="str">
        <f aca="false">IF(OR(D893="",E893=""),"edge hidden",IF(AND(H893&gt;=D893-0.02,H893&lt;=E893+0.02),"yes","no"))</f>
        <v>yes</v>
      </c>
    </row>
    <row r="894" customFormat="false" ht="15" hidden="false" customHeight="false" outlineLevel="0" collapsed="false">
      <c r="A894" s="9" t="n">
        <v>45083</v>
      </c>
      <c r="B894" s="10" t="n">
        <v>18599</v>
      </c>
      <c r="C894" s="11" t="n">
        <v>18.7328</v>
      </c>
      <c r="D894" s="11" t="n">
        <v>18.6521</v>
      </c>
      <c r="E894" s="11" t="n">
        <v>18.8136</v>
      </c>
      <c r="F894" s="12" t="n">
        <f aca="false">IF(C894="","",B894/C894)</f>
        <v>992.857447898873</v>
      </c>
      <c r="G894" s="12" t="n">
        <f aca="false">MEDIAN(F884:F904)</f>
        <v>995.487860002583</v>
      </c>
      <c r="H894" s="13" t="n">
        <f aca="false">B894/G894</f>
        <v>18.6833016727615</v>
      </c>
      <c r="I894" s="14" t="n">
        <f aca="false">B894/Summary!$C$8*100</f>
        <v>186.379533224439</v>
      </c>
      <c r="J894" s="14" t="n">
        <f aca="false">G894/Summary!$E$8*100</f>
        <v>169.188959232834</v>
      </c>
      <c r="K894" s="15" t="n">
        <f aca="false">Summary!$D$9</f>
        <v>16.9374488591431</v>
      </c>
      <c r="L894" s="16" t="str">
        <f aca="false">IF(OR(D894="",E894=""),"edge hidden",IF(AND(H894&gt;=D894-0.02,H894&lt;=E894+0.02),"yes","no"))</f>
        <v>yes</v>
      </c>
    </row>
    <row r="895" customFormat="false" ht="15" hidden="false" customHeight="false" outlineLevel="0" collapsed="false">
      <c r="A895" s="9" t="n">
        <v>45084</v>
      </c>
      <c r="B895" s="10" t="n">
        <v>18726.4</v>
      </c>
      <c r="C895" s="11" t="n">
        <v>18.7289</v>
      </c>
      <c r="D895" s="11" t="n">
        <v>18.6521</v>
      </c>
      <c r="E895" s="11" t="n">
        <v>18.8057</v>
      </c>
      <c r="F895" s="12" t="n">
        <f aca="false">IF(C895="","",B895/C895)</f>
        <v>999.866516453182</v>
      </c>
      <c r="G895" s="12" t="n">
        <f aca="false">MEDIAN(F885:F905)</f>
        <v>995.487860002583</v>
      </c>
      <c r="H895" s="13" t="n">
        <f aca="false">B895/G895</f>
        <v>18.8112791249422</v>
      </c>
      <c r="I895" s="14" t="n">
        <f aca="false">B895/Summary!$C$8*100</f>
        <v>187.656201461054</v>
      </c>
      <c r="J895" s="14" t="n">
        <f aca="false">G895/Summary!$E$8*100</f>
        <v>169.188959232834</v>
      </c>
      <c r="K895" s="15" t="n">
        <f aca="false">Summary!$D$9</f>
        <v>16.9374488591431</v>
      </c>
      <c r="L895" s="16" t="str">
        <f aca="false">IF(OR(D895="",E895=""),"edge hidden",IF(AND(H895&gt;=D895-0.02,H895&lt;=E895+0.02),"yes","no"))</f>
        <v>yes</v>
      </c>
    </row>
    <row r="896" customFormat="false" ht="15" hidden="false" customHeight="false" outlineLevel="0" collapsed="false">
      <c r="A896" s="9" t="n">
        <v>45085</v>
      </c>
      <c r="B896" s="10" t="n">
        <v>18634.55</v>
      </c>
      <c r="C896" s="11" t="n">
        <v>18.725</v>
      </c>
      <c r="D896" s="11" t="n">
        <v>18.6443</v>
      </c>
      <c r="E896" s="11" t="n">
        <v>18.8057</v>
      </c>
      <c r="F896" s="12" t="n">
        <f aca="false">IF(C896="","",B896/C896)</f>
        <v>995.16955941255</v>
      </c>
      <c r="G896" s="12" t="n">
        <f aca="false">MEDIAN(F886:F906)</f>
        <v>995.554473093991</v>
      </c>
      <c r="H896" s="13" t="n">
        <f aca="false">B896/G896</f>
        <v>18.7177603070653</v>
      </c>
      <c r="I896" s="14" t="n">
        <f aca="false">B896/Summary!$C$8*100</f>
        <v>186.735777775551</v>
      </c>
      <c r="J896" s="14" t="n">
        <f aca="false">G896/Summary!$E$8*100</f>
        <v>169.200280515654</v>
      </c>
      <c r="K896" s="15" t="n">
        <f aca="false">Summary!$D$9</f>
        <v>16.9374488591431</v>
      </c>
      <c r="L896" s="16" t="str">
        <f aca="false">IF(OR(D896="",E896=""),"edge hidden",IF(AND(H896&gt;=D896-0.02,H896&lt;=E896+0.02),"yes","no"))</f>
        <v>yes</v>
      </c>
    </row>
    <row r="897" customFormat="false" ht="15" hidden="false" customHeight="false" outlineLevel="0" collapsed="false">
      <c r="A897" s="9" t="n">
        <v>45086</v>
      </c>
      <c r="B897" s="10" t="n">
        <v>18563.4</v>
      </c>
      <c r="C897" s="11" t="n">
        <v>18.7171</v>
      </c>
      <c r="D897" s="11" t="n">
        <v>18.6364</v>
      </c>
      <c r="E897" s="11" t="n">
        <v>18.7978</v>
      </c>
      <c r="F897" s="12" t="n">
        <f aca="false">IF(C897="","",B897/C897)</f>
        <v>991.788257796347</v>
      </c>
      <c r="G897" s="12" t="n">
        <f aca="false">MEDIAN(F887:F907)</f>
        <v>997.230487648242</v>
      </c>
      <c r="H897" s="13" t="n">
        <f aca="false">B897/G897</f>
        <v>18.6149543459886</v>
      </c>
      <c r="I897" s="14" t="n">
        <f aca="false">B897/Summary!$C$8*100</f>
        <v>186.022787626139</v>
      </c>
      <c r="J897" s="14" t="n">
        <f aca="false">G897/Summary!$E$8*100</f>
        <v>169.485128949759</v>
      </c>
      <c r="K897" s="15" t="n">
        <f aca="false">Summary!$D$9</f>
        <v>16.9374488591431</v>
      </c>
      <c r="L897" s="16" t="str">
        <f aca="false">IF(OR(D897="",E897=""),"edge hidden",IF(AND(H897&gt;=D897-0.02,H897&lt;=E897+0.02),"yes","no"))</f>
        <v>no</v>
      </c>
    </row>
    <row r="898" customFormat="false" ht="15" hidden="false" customHeight="false" outlineLevel="0" collapsed="false">
      <c r="A898" s="9" t="n">
        <v>45089</v>
      </c>
      <c r="B898" s="10" t="n">
        <v>18601.5</v>
      </c>
      <c r="C898" s="11" t="n">
        <v>18.7171</v>
      </c>
      <c r="D898" s="11" t="n">
        <v>18.6443</v>
      </c>
      <c r="E898" s="11" t="n">
        <v>18.7899</v>
      </c>
      <c r="F898" s="12" t="n">
        <f aca="false">IF(C898="","",B898/C898)</f>
        <v>993.823829546244</v>
      </c>
      <c r="G898" s="12" t="n">
        <f aca="false">MEDIAN(F888:F908)</f>
        <v>997.230487648242</v>
      </c>
      <c r="H898" s="13" t="n">
        <f aca="false">B898/G898</f>
        <v>18.6531601574554</v>
      </c>
      <c r="I898" s="14" t="n">
        <f aca="false">B898/Summary!$C$8*100</f>
        <v>186.40458558387</v>
      </c>
      <c r="J898" s="14" t="n">
        <f aca="false">G898/Summary!$E$8*100</f>
        <v>169.485128949759</v>
      </c>
      <c r="K898" s="15" t="n">
        <f aca="false">Summary!$D$9</f>
        <v>16.9374488591431</v>
      </c>
      <c r="L898" s="16" t="str">
        <f aca="false">IF(OR(D898="",E898=""),"edge hidden",IF(AND(H898&gt;=D898-0.02,H898&lt;=E898+0.02),"yes","no"))</f>
        <v>yes</v>
      </c>
    </row>
    <row r="899" customFormat="false" ht="15" hidden="false" customHeight="false" outlineLevel="0" collapsed="false">
      <c r="A899" s="9" t="n">
        <v>45090</v>
      </c>
      <c r="B899" s="10" t="n">
        <v>18716.15</v>
      </c>
      <c r="C899" s="11" t="n">
        <v>18.721</v>
      </c>
      <c r="D899" s="11" t="n">
        <v>18.6443</v>
      </c>
      <c r="E899" s="11" t="n">
        <v>18.7978</v>
      </c>
      <c r="F899" s="12" t="n">
        <f aca="false">IF(C899="","",B899/C899)</f>
        <v>999.740932642487</v>
      </c>
      <c r="G899" s="12" t="n">
        <f aca="false">MEDIAN(F889:F909)</f>
        <v>997.82154851593</v>
      </c>
      <c r="H899" s="13" t="n">
        <f aca="false">B899/G899</f>
        <v>18.7570112389703</v>
      </c>
      <c r="I899" s="14" t="n">
        <f aca="false">B899/Summary!$C$8*100</f>
        <v>187.553486787386</v>
      </c>
      <c r="J899" s="14" t="n">
        <f aca="false">G899/Summary!$E$8*100</f>
        <v>169.585583186386</v>
      </c>
      <c r="K899" s="15" t="n">
        <f aca="false">Summary!$D$9</f>
        <v>16.9374488591431</v>
      </c>
      <c r="L899" s="16" t="str">
        <f aca="false">IF(OR(D899="",E899=""),"edge hidden",IF(AND(H899&gt;=D899-0.02,H899&lt;=E899+0.02),"yes","no"))</f>
        <v>yes</v>
      </c>
    </row>
    <row r="900" customFormat="false" ht="15" hidden="false" customHeight="false" outlineLevel="0" collapsed="false">
      <c r="A900" s="9" t="n">
        <v>45091</v>
      </c>
      <c r="B900" s="10" t="n">
        <v>18755.9</v>
      </c>
      <c r="C900" s="11" t="n">
        <v>18.725</v>
      </c>
      <c r="D900" s="11" t="n">
        <v>18.6521</v>
      </c>
      <c r="E900" s="11" t="n">
        <v>18.7978</v>
      </c>
      <c r="F900" s="12" t="n">
        <f aca="false">IF(C900="","",B900/C900)</f>
        <v>1001.65020026702</v>
      </c>
      <c r="G900" s="12" t="n">
        <f aca="false">MEDIAN(F890:F910)</f>
        <v>998.080357620285</v>
      </c>
      <c r="H900" s="13" t="n">
        <f aca="false">B900/G900</f>
        <v>18.7919738694383</v>
      </c>
      <c r="I900" s="14" t="n">
        <f aca="false">B900/Summary!$C$8*100</f>
        <v>187.951819302342</v>
      </c>
      <c r="J900" s="14" t="n">
        <f aca="false">G900/Summary!$E$8*100</f>
        <v>169.629569300898</v>
      </c>
      <c r="K900" s="15" t="n">
        <f aca="false">Summary!$D$9</f>
        <v>16.9374488591431</v>
      </c>
      <c r="L900" s="16" t="str">
        <f aca="false">IF(OR(D900="",E900=""),"edge hidden",IF(AND(H900&gt;=D900-0.02,H900&lt;=E900+0.02),"yes","no"))</f>
        <v>yes</v>
      </c>
    </row>
    <row r="901" customFormat="false" ht="15" hidden="false" customHeight="false" outlineLevel="0" collapsed="false">
      <c r="A901" s="9" t="n">
        <v>45092</v>
      </c>
      <c r="B901" s="10" t="n">
        <v>18688.1</v>
      </c>
      <c r="C901" s="11" t="n">
        <v>18.7289</v>
      </c>
      <c r="D901" s="11" t="n">
        <v>18.66</v>
      </c>
      <c r="E901" s="11" t="n">
        <v>18.7978</v>
      </c>
      <c r="F901" s="12" t="n">
        <f aca="false">IF(C901="","",B901/C901)</f>
        <v>997.82154851593</v>
      </c>
      <c r="G901" s="12" t="n">
        <f aca="false">MEDIAN(F891:F911)</f>
        <v>999.740932642487</v>
      </c>
      <c r="H901" s="13" t="n">
        <f aca="false">B901/G901</f>
        <v>18.6929427312775</v>
      </c>
      <c r="I901" s="14" t="n">
        <f aca="false">B901/Summary!$C$8*100</f>
        <v>187.272399314567</v>
      </c>
      <c r="J901" s="14" t="n">
        <f aca="false">G901/Summary!$E$8*100</f>
        <v>169.911793696617</v>
      </c>
      <c r="K901" s="15" t="n">
        <f aca="false">Summary!$D$9</f>
        <v>16.9374488591431</v>
      </c>
      <c r="L901" s="16" t="str">
        <f aca="false">IF(OR(D901="",E901=""),"edge hidden",IF(AND(H901&gt;=D901-0.02,H901&lt;=E901+0.02),"yes","no"))</f>
        <v>yes</v>
      </c>
    </row>
    <row r="902" customFormat="false" ht="15" hidden="false" customHeight="false" outlineLevel="0" collapsed="false">
      <c r="A902" s="9" t="n">
        <v>45093</v>
      </c>
      <c r="B902" s="10" t="n">
        <v>18826</v>
      </c>
      <c r="C902" s="11" t="n">
        <v>18.7289</v>
      </c>
      <c r="D902" s="11" t="n">
        <v>18.66</v>
      </c>
      <c r="E902" s="11" t="n">
        <v>18.7978</v>
      </c>
      <c r="F902" s="12" t="n">
        <f aca="false">IF(C902="","",B902/C902)</f>
        <v>1005.18450095841</v>
      </c>
      <c r="G902" s="12" t="n">
        <f aca="false">MEDIAN(F892:F912)</f>
        <v>999.866516453182</v>
      </c>
      <c r="H902" s="13" t="n">
        <f aca="false">B902/G902</f>
        <v>18.8285132967362</v>
      </c>
      <c r="I902" s="14" t="n">
        <f aca="false">B902/Summary!$C$8*100</f>
        <v>188.654287460793</v>
      </c>
      <c r="J902" s="14" t="n">
        <f aca="false">G902/Summary!$E$8*100</f>
        <v>169.933137396607</v>
      </c>
      <c r="K902" s="15" t="n">
        <f aca="false">Summary!$D$9</f>
        <v>16.9374488591431</v>
      </c>
      <c r="L902" s="16" t="str">
        <f aca="false">IF(OR(D902="",E902=""),"edge hidden",IF(AND(H902&gt;=D902-0.02,H902&lt;=E902+0.02),"yes","no"))</f>
        <v>no</v>
      </c>
    </row>
    <row r="903" customFormat="false" ht="15" hidden="false" customHeight="false" outlineLevel="0" collapsed="false">
      <c r="A903" s="9" t="n">
        <v>45096</v>
      </c>
      <c r="B903" s="10" t="n">
        <v>18755.45</v>
      </c>
      <c r="C903" s="11" t="n">
        <v>18.7171</v>
      </c>
      <c r="D903" s="11" t="n">
        <v>18.6206</v>
      </c>
      <c r="E903" s="11" t="n">
        <v>18.8136</v>
      </c>
      <c r="F903" s="12" t="n">
        <f aca="false">IF(C903="","",B903/C903)</f>
        <v>1002.04892851991</v>
      </c>
      <c r="G903" s="12" t="n">
        <f aca="false">MEDIAN(F893:F913)</f>
        <v>1000.10098057453</v>
      </c>
      <c r="H903" s="13" t="n">
        <f aca="false">B903/G903</f>
        <v>18.7535562551149</v>
      </c>
      <c r="I903" s="14" t="n">
        <f aca="false">B903/Summary!$C$8*100</f>
        <v>187.947309877644</v>
      </c>
      <c r="J903" s="14" t="n">
        <f aca="false">G903/Summary!$E$8*100</f>
        <v>169.972985939479</v>
      </c>
      <c r="K903" s="15" t="n">
        <f aca="false">Summary!$D$9</f>
        <v>16.9374488591431</v>
      </c>
      <c r="L903" s="16" t="str">
        <f aca="false">IF(OR(D903="",E903=""),"edge hidden",IF(AND(H903&gt;=D903-0.02,H903&lt;=E903+0.02),"yes","no"))</f>
        <v>yes</v>
      </c>
    </row>
    <row r="904" customFormat="false" ht="15" hidden="false" customHeight="false" outlineLevel="0" collapsed="false">
      <c r="A904" s="9" t="n">
        <v>45097</v>
      </c>
      <c r="B904" s="10" t="n">
        <v>18816.7</v>
      </c>
      <c r="C904" s="11" t="n">
        <v>18.7132</v>
      </c>
      <c r="D904" s="11" t="n">
        <v>18.6128</v>
      </c>
      <c r="E904" s="11" t="n">
        <v>18.8136</v>
      </c>
      <c r="F904" s="12" t="n">
        <f aca="false">IF(C904="","",B904/C904)</f>
        <v>1005.53085522519</v>
      </c>
      <c r="G904" s="12" t="n">
        <f aca="false">MEDIAN(F894:F914)</f>
        <v>1001.65020026702</v>
      </c>
      <c r="H904" s="13" t="n">
        <f aca="false">B904/G904</f>
        <v>18.7856998331192</v>
      </c>
      <c r="I904" s="14" t="n">
        <f aca="false">B904/Summary!$C$8*100</f>
        <v>188.561092683709</v>
      </c>
      <c r="J904" s="14" t="n">
        <f aca="false">G904/Summary!$E$8*100</f>
        <v>170.236284848414</v>
      </c>
      <c r="K904" s="15" t="n">
        <f aca="false">Summary!$D$9</f>
        <v>16.9374488591431</v>
      </c>
      <c r="L904" s="16" t="str">
        <f aca="false">IF(OR(D904="",E904=""),"edge hidden",IF(AND(H904&gt;=D904-0.02,H904&lt;=E904+0.02),"yes","no"))</f>
        <v>yes</v>
      </c>
    </row>
    <row r="905" customFormat="false" ht="15" hidden="false" customHeight="false" outlineLevel="0" collapsed="false">
      <c r="A905" s="9" t="n">
        <v>45098</v>
      </c>
      <c r="B905" s="10" t="n">
        <v>18856.85</v>
      </c>
      <c r="C905" s="11" t="n">
        <v>18.7053</v>
      </c>
      <c r="D905" s="11" t="n">
        <v>18.597</v>
      </c>
      <c r="E905" s="11" t="n">
        <v>18.8136</v>
      </c>
      <c r="F905" s="12" t="n">
        <f aca="false">IF(C905="","",B905/C905)</f>
        <v>1008.10198179126</v>
      </c>
      <c r="G905" s="12" t="n">
        <f aca="false">MEDIAN(F895:F915)</f>
        <v>1002.04892851991</v>
      </c>
      <c r="H905" s="13" t="n">
        <f aca="false">B905/G905</f>
        <v>18.8182926634658</v>
      </c>
      <c r="I905" s="14" t="n">
        <f aca="false">B905/Summary!$C$8*100</f>
        <v>188.963433576174</v>
      </c>
      <c r="J905" s="14" t="n">
        <f aca="false">G905/Summary!$E$8*100</f>
        <v>170.304051037067</v>
      </c>
      <c r="K905" s="15" t="n">
        <f aca="false">Summary!$D$9</f>
        <v>16.9374488591431</v>
      </c>
      <c r="L905" s="16" t="str">
        <f aca="false">IF(OR(D905="",E905=""),"edge hidden",IF(AND(H905&gt;=D905-0.02,H905&lt;=E905+0.02),"yes","no"))</f>
        <v>yes</v>
      </c>
    </row>
    <row r="906" customFormat="false" ht="15" hidden="false" customHeight="false" outlineLevel="0" collapsed="false">
      <c r="A906" s="9" t="n">
        <v>45099</v>
      </c>
      <c r="B906" s="10" t="n">
        <v>18771.25</v>
      </c>
      <c r="C906" s="11" t="n">
        <v>18.7014</v>
      </c>
      <c r="D906" s="11" t="n">
        <v>18.5891</v>
      </c>
      <c r="E906" s="11" t="n">
        <v>18.8136</v>
      </c>
      <c r="F906" s="12" t="n">
        <f aca="false">IF(C906="","",B906/C906)</f>
        <v>1003.73501449089</v>
      </c>
      <c r="G906" s="12" t="n">
        <f aca="false">MEDIAN(F896:F916)</f>
        <v>1003.73501449089</v>
      </c>
      <c r="H906" s="13" t="n">
        <f aca="false">B906/G906</f>
        <v>18.7014</v>
      </c>
      <c r="I906" s="14" t="n">
        <f aca="false">B906/Summary!$C$8*100</f>
        <v>188.10564078925</v>
      </c>
      <c r="J906" s="14" t="n">
        <f aca="false">G906/Summary!$E$8*100</f>
        <v>170.590611167099</v>
      </c>
      <c r="K906" s="15" t="n">
        <f aca="false">Summary!$D$9</f>
        <v>16.9374488591431</v>
      </c>
      <c r="L906" s="16" t="str">
        <f aca="false">IF(OR(D906="",E906=""),"edge hidden",IF(AND(H906&gt;=D906-0.02,H906&lt;=E906+0.02),"yes","no"))</f>
        <v>yes</v>
      </c>
    </row>
    <row r="907" customFormat="false" ht="15" hidden="false" customHeight="false" outlineLevel="0" collapsed="false">
      <c r="A907" s="9" t="n">
        <v>45100</v>
      </c>
      <c r="B907" s="10" t="n">
        <v>18665.5</v>
      </c>
      <c r="C907" s="11" t="n">
        <v>18.7014</v>
      </c>
      <c r="D907" s="11" t="n">
        <v>18.5891</v>
      </c>
      <c r="E907" s="11" t="n">
        <v>18.8136</v>
      </c>
      <c r="F907" s="12" t="n">
        <f aca="false">IF(C907="","",B907/C907)</f>
        <v>998.080357620285</v>
      </c>
      <c r="G907" s="12" t="n">
        <f aca="false">MEDIAN(F897:F917)</f>
        <v>1003.73501449089</v>
      </c>
      <c r="H907" s="13" t="n">
        <f aca="false">B907/G907</f>
        <v>18.5960435080242</v>
      </c>
      <c r="I907" s="14" t="n">
        <f aca="false">B907/Summary!$C$8*100</f>
        <v>187.045925985309</v>
      </c>
      <c r="J907" s="14" t="n">
        <f aca="false">G907/Summary!$E$8*100</f>
        <v>170.590611167099</v>
      </c>
      <c r="K907" s="15" t="n">
        <f aca="false">Summary!$D$9</f>
        <v>16.9374488591431</v>
      </c>
      <c r="L907" s="16" t="str">
        <f aca="false">IF(OR(D907="",E907=""),"edge hidden",IF(AND(H907&gt;=D907-0.02,H907&lt;=E907+0.02),"yes","no"))</f>
        <v>yes</v>
      </c>
    </row>
    <row r="908" customFormat="false" ht="15" hidden="false" customHeight="false" outlineLevel="0" collapsed="false">
      <c r="A908" s="9" t="n">
        <v>45103</v>
      </c>
      <c r="B908" s="10" t="n">
        <v>18691.2</v>
      </c>
      <c r="C908" s="11" t="n">
        <v>18.7919</v>
      </c>
      <c r="D908" s="11" t="n">
        <v>18.597</v>
      </c>
      <c r="E908" s="11" t="n">
        <v>18.9868</v>
      </c>
      <c r="F908" s="12" t="n">
        <f aca="false">IF(C908="","",B908/C908)</f>
        <v>994.641308223224</v>
      </c>
      <c r="G908" s="12" t="n">
        <f aca="false">MEDIAN(F898:F918)</f>
        <v>1003.73501449089</v>
      </c>
      <c r="H908" s="13" t="n">
        <f aca="false">B908/G908</f>
        <v>18.6216478753413</v>
      </c>
      <c r="I908" s="14" t="n">
        <f aca="false">B908/Summary!$C$8*100</f>
        <v>187.303464240262</v>
      </c>
      <c r="J908" s="14" t="n">
        <f aca="false">G908/Summary!$E$8*100</f>
        <v>170.590611167099</v>
      </c>
      <c r="K908" s="15" t="n">
        <f aca="false">Summary!$D$9</f>
        <v>16.9374488591431</v>
      </c>
      <c r="L908" s="16" t="str">
        <f aca="false">IF(OR(D908="",E908=""),"edge hidden",IF(AND(H908&gt;=D908-0.02,H908&lt;=E908+0.02),"yes","no"))</f>
        <v>yes</v>
      </c>
    </row>
    <row r="909" customFormat="false" ht="15" hidden="false" customHeight="false" outlineLevel="0" collapsed="false">
      <c r="A909" s="9" t="n">
        <v>45104</v>
      </c>
      <c r="B909" s="10" t="n">
        <v>18817.4</v>
      </c>
      <c r="C909" s="11" t="n">
        <v>18.8155</v>
      </c>
      <c r="D909" s="11" t="n">
        <v>18.597</v>
      </c>
      <c r="E909" s="11" t="n">
        <v>19.034</v>
      </c>
      <c r="F909" s="12" t="n">
        <f aca="false">IF(C909="","",B909/C909)</f>
        <v>1000.10098057453</v>
      </c>
      <c r="G909" s="12" t="n">
        <f aca="false">MEDIAN(F899:F919)</f>
        <v>1003.73501449089</v>
      </c>
      <c r="H909" s="13" t="n">
        <f aca="false">B909/G909</f>
        <v>18.7473782704934</v>
      </c>
      <c r="I909" s="14" t="n">
        <f aca="false">B909/Summary!$C$8*100</f>
        <v>188.56810734435</v>
      </c>
      <c r="J909" s="14" t="n">
        <f aca="false">G909/Summary!$E$8*100</f>
        <v>170.590611167099</v>
      </c>
      <c r="K909" s="15" t="n">
        <f aca="false">Summary!$D$9</f>
        <v>16.9374488591431</v>
      </c>
      <c r="L909" s="16" t="str">
        <f aca="false">IF(OR(D909="",E909=""),"edge hidden",IF(AND(H909&gt;=D909-0.02,H909&lt;=E909+0.02),"yes","no"))</f>
        <v>yes</v>
      </c>
    </row>
    <row r="910" customFormat="false" ht="15" hidden="false" customHeight="false" outlineLevel="0" collapsed="false">
      <c r="A910" s="9" t="n">
        <v>45105</v>
      </c>
      <c r="B910" s="10" t="n">
        <v>18972.1</v>
      </c>
      <c r="C910" s="11" t="n">
        <v>18.8431</v>
      </c>
      <c r="D910" s="11" t="n">
        <v>18.6285</v>
      </c>
      <c r="E910" s="11" t="n">
        <v>19.0576</v>
      </c>
      <c r="F910" s="12" t="n">
        <f aca="false">IF(C910="","",B910/C910)</f>
        <v>1006.84600729179</v>
      </c>
      <c r="G910" s="12" t="n">
        <f aca="false">MEDIAN(F900:F920)</f>
        <v>1003.73501449089</v>
      </c>
      <c r="H910" s="13" t="n">
        <f aca="false">B910/G910</f>
        <v>18.9015026138377</v>
      </c>
      <c r="I910" s="14" t="n">
        <f aca="false">B910/Summary!$C$8*100</f>
        <v>190.118347345953</v>
      </c>
      <c r="J910" s="14" t="n">
        <f aca="false">G910/Summary!$E$8*100</f>
        <v>170.590611167099</v>
      </c>
      <c r="K910" s="15" t="n">
        <f aca="false">Summary!$D$9</f>
        <v>16.9374488591431</v>
      </c>
      <c r="L910" s="16" t="str">
        <f aca="false">IF(OR(D910="",E910=""),"edge hidden",IF(AND(H910&gt;=D910-0.02,H910&lt;=E910+0.02),"yes","no"))</f>
        <v>yes</v>
      </c>
    </row>
    <row r="911" customFormat="false" ht="15" hidden="false" customHeight="false" outlineLevel="0" collapsed="false">
      <c r="A911" s="9" t="n">
        <v>45107</v>
      </c>
      <c r="B911" s="10" t="n">
        <v>19189.05</v>
      </c>
      <c r="C911" s="11" t="n">
        <v>18.9966</v>
      </c>
      <c r="D911" s="11" t="n">
        <v>18.8411</v>
      </c>
      <c r="E911" s="11" t="n">
        <v>19.1521</v>
      </c>
      <c r="F911" s="12" t="n">
        <f aca="false">IF(C911="","",B911/C911)</f>
        <v>1010.13076024131</v>
      </c>
      <c r="G911" s="12" t="n">
        <f aca="false">MEDIAN(F901:F921)</f>
        <v>1003.73501449089</v>
      </c>
      <c r="H911" s="13" t="n">
        <f aca="false">B911/G911</f>
        <v>19.1176453177066</v>
      </c>
      <c r="I911" s="14" t="n">
        <f aca="false">B911/Summary!$C$8*100</f>
        <v>192.292391097394</v>
      </c>
      <c r="J911" s="14" t="n">
        <f aca="false">G911/Summary!$E$8*100</f>
        <v>170.590611167099</v>
      </c>
      <c r="K911" s="15" t="n">
        <f aca="false">Summary!$D$9</f>
        <v>16.9374488591431</v>
      </c>
      <c r="L911" s="16" t="str">
        <f aca="false">IF(OR(D911="",E911=""),"edge hidden",IF(AND(H911&gt;=D911-0.02,H911&lt;=E911+0.02),"yes","no"))</f>
        <v>yes</v>
      </c>
    </row>
    <row r="912" customFormat="false" ht="15" hidden="false" customHeight="false" outlineLevel="0" collapsed="false">
      <c r="A912" s="9" t="n">
        <v>45110</v>
      </c>
      <c r="B912" s="10" t="n">
        <v>19322.55</v>
      </c>
      <c r="C912" s="11" t="n">
        <v>19.1541</v>
      </c>
      <c r="D912" s="11" t="n">
        <v>19.038</v>
      </c>
      <c r="E912" s="11" t="n">
        <v>19.2702</v>
      </c>
      <c r="F912" s="12" t="n">
        <f aca="false">IF(C912="","",B912/C912)</f>
        <v>1008.79446176015</v>
      </c>
      <c r="G912" s="12" t="n">
        <f aca="false">MEDIAN(F902:F922)</f>
        <v>1003.73501449089</v>
      </c>
      <c r="H912" s="13" t="n">
        <f aca="false">B912/G912</f>
        <v>19.2506485487115</v>
      </c>
      <c r="I912" s="14" t="n">
        <f aca="false">B912/Summary!$C$8*100</f>
        <v>193.63018709102</v>
      </c>
      <c r="J912" s="14" t="n">
        <f aca="false">G912/Summary!$E$8*100</f>
        <v>170.590611167099</v>
      </c>
      <c r="K912" s="15" t="n">
        <f aca="false">Summary!$D$9</f>
        <v>16.9374488591431</v>
      </c>
      <c r="L912" s="16" t="str">
        <f aca="false">IF(OR(D912="",E912=""),"edge hidden",IF(AND(H912&gt;=D912-0.02,H912&lt;=E912+0.02),"yes","no"))</f>
        <v>yes</v>
      </c>
    </row>
    <row r="913" customFormat="false" ht="15" hidden="false" customHeight="false" outlineLevel="0" collapsed="false">
      <c r="A913" s="9" t="n">
        <v>45111</v>
      </c>
      <c r="B913" s="10" t="n">
        <v>19389</v>
      </c>
      <c r="C913" s="11" t="n">
        <v>19.162</v>
      </c>
      <c r="D913" s="11" t="n">
        <v>19.0458</v>
      </c>
      <c r="E913" s="11" t="n">
        <v>19.2781</v>
      </c>
      <c r="F913" s="12" t="n">
        <f aca="false">IF(C913="","",B913/C913)</f>
        <v>1011.84636259263</v>
      </c>
      <c r="G913" s="12" t="n">
        <f aca="false">MEDIAN(F903:F923)</f>
        <v>1002.04892851991</v>
      </c>
      <c r="H913" s="13" t="n">
        <f aca="false">B913/G913</f>
        <v>19.3493545556092</v>
      </c>
      <c r="I913" s="14" t="n">
        <f aca="false">B913/Summary!$C$8*100</f>
        <v>194.296078804702</v>
      </c>
      <c r="J913" s="14" t="n">
        <f aca="false">G913/Summary!$E$8*100</f>
        <v>170.304051037067</v>
      </c>
      <c r="K913" s="15" t="n">
        <f aca="false">Summary!$D$9</f>
        <v>16.9374488591431</v>
      </c>
      <c r="L913" s="16" t="str">
        <f aca="false">IF(OR(D913="",E913=""),"edge hidden",IF(AND(H913&gt;=D913-0.02,H913&lt;=E913+0.02),"yes","no"))</f>
        <v>no</v>
      </c>
    </row>
    <row r="914" customFormat="false" ht="15" hidden="false" customHeight="false" outlineLevel="0" collapsed="false">
      <c r="A914" s="9" t="n">
        <v>45112</v>
      </c>
      <c r="B914" s="10" t="n">
        <v>19398.5</v>
      </c>
      <c r="C914" s="11" t="n">
        <v>19.1738</v>
      </c>
      <c r="D914" s="11" t="n">
        <v>19.0616</v>
      </c>
      <c r="E914" s="11" t="n">
        <v>19.286</v>
      </c>
      <c r="F914" s="12" t="n">
        <f aca="false">IF(C914="","",B914/C914)</f>
        <v>1011.71911671135</v>
      </c>
      <c r="G914" s="12" t="n">
        <f aca="false">MEDIAN(F904:F924)</f>
        <v>1000.10098057453</v>
      </c>
      <c r="H914" s="13" t="n">
        <f aca="false">B914/G914</f>
        <v>19.3965413261131</v>
      </c>
      <c r="I914" s="14" t="n">
        <f aca="false">B914/Summary!$C$8*100</f>
        <v>194.39127777054</v>
      </c>
      <c r="J914" s="14" t="n">
        <f aca="false">G914/Summary!$E$8*100</f>
        <v>169.972985939479</v>
      </c>
      <c r="K914" s="15" t="n">
        <f aca="false">Summary!$D$9</f>
        <v>16.9374488591431</v>
      </c>
      <c r="L914" s="16" t="str">
        <f aca="false">IF(OR(D914="",E914=""),"edge hidden",IF(AND(H914&gt;=D914-0.02,H914&lt;=E914+0.02),"yes","no"))</f>
        <v>no</v>
      </c>
    </row>
    <row r="915" customFormat="false" ht="15" hidden="false" customHeight="false" outlineLevel="0" collapsed="false">
      <c r="A915" s="9" t="n">
        <v>45113</v>
      </c>
      <c r="B915" s="10" t="n">
        <v>19497.3</v>
      </c>
      <c r="C915" s="11" t="n">
        <v>19.1895</v>
      </c>
      <c r="D915" s="11" t="n">
        <v>19.0931</v>
      </c>
      <c r="E915" s="11" t="n">
        <v>19.286</v>
      </c>
      <c r="F915" s="12" t="n">
        <f aca="false">IF(C915="","",B915/C915)</f>
        <v>1016.04002188697</v>
      </c>
      <c r="G915" s="12" t="n">
        <f aca="false">MEDIAN(F905:F925)</f>
        <v>998.080357620285</v>
      </c>
      <c r="H915" s="13" t="n">
        <f aca="false">B915/G915</f>
        <v>19.5347998296322</v>
      </c>
      <c r="I915" s="14" t="n">
        <f aca="false">B915/Summary!$C$8*100</f>
        <v>195.381347015262</v>
      </c>
      <c r="J915" s="14" t="n">
        <f aca="false">G915/Summary!$E$8*100</f>
        <v>169.629569300898</v>
      </c>
      <c r="K915" s="15" t="n">
        <f aca="false">Summary!$D$9</f>
        <v>16.9374488591431</v>
      </c>
      <c r="L915" s="16" t="str">
        <f aca="false">IF(OR(D915="",E915=""),"edge hidden",IF(AND(H915&gt;=D915-0.02,H915&lt;=E915+0.02),"yes","no"))</f>
        <v>no</v>
      </c>
    </row>
    <row r="916" customFormat="false" ht="15" hidden="false" customHeight="false" outlineLevel="0" collapsed="false">
      <c r="A916" s="9" t="n">
        <v>45114</v>
      </c>
      <c r="B916" s="10" t="n">
        <v>19331.8</v>
      </c>
      <c r="C916" s="11" t="n">
        <v>19.1895</v>
      </c>
      <c r="D916" s="11" t="n">
        <v>19.101</v>
      </c>
      <c r="E916" s="11" t="n">
        <v>19.2781</v>
      </c>
      <c r="F916" s="12" t="n">
        <f aca="false">IF(C916="","",B916/C916)</f>
        <v>1007.41551369238</v>
      </c>
      <c r="G916" s="12" t="n">
        <f aca="false">MEDIAN(F906:F926)</f>
        <v>994.641308223224</v>
      </c>
      <c r="H916" s="13" t="n">
        <f aca="false">B916/G916</f>
        <v>19.4359512722565</v>
      </c>
      <c r="I916" s="14" t="n">
        <f aca="false">B916/Summary!$C$8*100</f>
        <v>193.722880820916</v>
      </c>
      <c r="J916" s="14" t="n">
        <f aca="false">G916/Summary!$E$8*100</f>
        <v>169.045082827866</v>
      </c>
      <c r="K916" s="15" t="n">
        <f aca="false">Summary!$D$9</f>
        <v>16.9374488591431</v>
      </c>
      <c r="L916" s="16" t="str">
        <f aca="false">IF(OR(D916="",E916=""),"edge hidden",IF(AND(H916&gt;=D916-0.02,H916&lt;=E916+0.02),"yes","no"))</f>
        <v>no</v>
      </c>
    </row>
    <row r="917" customFormat="false" ht="15" hidden="false" customHeight="false" outlineLevel="0" collapsed="false">
      <c r="A917" s="9" t="n">
        <v>45117</v>
      </c>
      <c r="B917" s="10" t="n">
        <v>19355.9</v>
      </c>
      <c r="C917" s="11" t="n">
        <v>19.599</v>
      </c>
      <c r="D917" s="11" t="n">
        <v>19.1088</v>
      </c>
      <c r="E917" s="11" t="n">
        <v>20.0891</v>
      </c>
      <c r="F917" s="12" t="n">
        <f aca="false">IF(C917="","",B917/C917)</f>
        <v>987.596305933976</v>
      </c>
      <c r="G917" s="12" t="n">
        <f aca="false">MEDIAN(F907:F927)</f>
        <v>991.863117870722</v>
      </c>
      <c r="H917" s="13" t="n">
        <f aca="false">B917/G917</f>
        <v>19.5146887219198</v>
      </c>
      <c r="I917" s="14" t="n">
        <f aca="false">B917/Summary!$C$8*100</f>
        <v>193.964385565833</v>
      </c>
      <c r="J917" s="14" t="n">
        <f aca="false">G917/Summary!$E$8*100</f>
        <v>168.572913198104</v>
      </c>
      <c r="K917" s="15" t="n">
        <f aca="false">Summary!$D$9</f>
        <v>16.9374488591431</v>
      </c>
      <c r="L917" s="16" t="str">
        <f aca="false">IF(OR(D917="",E917=""),"edge hidden",IF(AND(H917&gt;=D917-0.02,H917&lt;=E917+0.02),"yes","no"))</f>
        <v>yes</v>
      </c>
    </row>
    <row r="918" customFormat="false" ht="15" hidden="false" customHeight="false" outlineLevel="0" collapsed="false">
      <c r="A918" s="9" t="n">
        <v>45118</v>
      </c>
      <c r="B918" s="10" t="n">
        <v>19439.4</v>
      </c>
      <c r="C918" s="11" t="n">
        <v>19.6226</v>
      </c>
      <c r="D918" s="11" t="n">
        <v>19.1167</v>
      </c>
      <c r="E918" s="11" t="n">
        <v>20.1285</v>
      </c>
      <c r="F918" s="12" t="n">
        <f aca="false">IF(C918="","",B918/C918)</f>
        <v>990.663826404248</v>
      </c>
      <c r="G918" s="12" t="n">
        <f aca="false">MEDIAN(F908:F928)</f>
        <v>990.663826404248</v>
      </c>
      <c r="H918" s="13" t="n">
        <f aca="false">B918/G918</f>
        <v>19.6226</v>
      </c>
      <c r="I918" s="14" t="n">
        <f aca="false">B918/Summary!$C$8*100</f>
        <v>194.801134370835</v>
      </c>
      <c r="J918" s="14" t="n">
        <f aca="false">G918/Summary!$E$8*100</f>
        <v>168.36908662906</v>
      </c>
      <c r="K918" s="15" t="n">
        <f aca="false">Summary!$D$9</f>
        <v>16.9374488591431</v>
      </c>
      <c r="L918" s="16" t="str">
        <f aca="false">IF(OR(D918="",E918=""),"edge hidden",IF(AND(H918&gt;=D918-0.02,H918&lt;=E918+0.02),"yes","no"))</f>
        <v>yes</v>
      </c>
    </row>
    <row r="919" customFormat="false" ht="15" hidden="false" customHeight="false" outlineLevel="0" collapsed="false">
      <c r="A919" s="9" t="n">
        <v>45119</v>
      </c>
      <c r="B919" s="10" t="n">
        <v>19384.3</v>
      </c>
      <c r="C919" s="11" t="n">
        <v>19.6423</v>
      </c>
      <c r="D919" s="11" t="n">
        <v>19.1403</v>
      </c>
      <c r="E919" s="11" t="n">
        <v>20.1443</v>
      </c>
      <c r="F919" s="12" t="n">
        <f aca="false">IF(C919="","",B919/C919)</f>
        <v>986.865081991417</v>
      </c>
      <c r="G919" s="12" t="n">
        <f aca="false">MEDIAN(F909:F929)</f>
        <v>987.596305933976</v>
      </c>
      <c r="H919" s="13" t="n">
        <f aca="false">B919/G919</f>
        <v>19.6277566891749</v>
      </c>
      <c r="I919" s="14" t="n">
        <f aca="false">B919/Summary!$C$8*100</f>
        <v>194.248980368971</v>
      </c>
      <c r="J919" s="14" t="n">
        <f aca="false">G919/Summary!$E$8*100</f>
        <v>167.847743660809</v>
      </c>
      <c r="K919" s="15" t="n">
        <f aca="false">Summary!$D$9</f>
        <v>16.9374488591431</v>
      </c>
      <c r="L919" s="16" t="str">
        <f aca="false">IF(OR(D919="",E919=""),"edge hidden",IF(AND(H919&gt;=D919-0.02,H919&lt;=E919+0.02),"yes","no"))</f>
        <v>yes</v>
      </c>
    </row>
    <row r="920" customFormat="false" ht="15" hidden="false" customHeight="false" outlineLevel="0" collapsed="false">
      <c r="A920" s="9" t="n">
        <v>45120</v>
      </c>
      <c r="B920" s="10" t="n">
        <v>19413.75</v>
      </c>
      <c r="C920" s="11" t="n">
        <v>19.662</v>
      </c>
      <c r="D920" s="11" t="n">
        <v>19.1482</v>
      </c>
      <c r="E920" s="11" t="n">
        <v>20.1758</v>
      </c>
      <c r="F920" s="12" t="n">
        <f aca="false">IF(C920="","",B920/C920)</f>
        <v>987.374122673177</v>
      </c>
      <c r="G920" s="12" t="n">
        <f aca="false">MEDIAN(F910:F930)</f>
        <v>987.374122673177</v>
      </c>
      <c r="H920" s="13" t="n">
        <f aca="false">B920/G920</f>
        <v>19.662</v>
      </c>
      <c r="I920" s="14" t="n">
        <f aca="false">B920/Summary!$C$8*100</f>
        <v>194.544097163071</v>
      </c>
      <c r="J920" s="14" t="n">
        <f aca="false">G920/Summary!$E$8*100</f>
        <v>167.809982321707</v>
      </c>
      <c r="K920" s="15" t="n">
        <f aca="false">Summary!$D$9</f>
        <v>16.9374488591431</v>
      </c>
      <c r="L920" s="16" t="str">
        <f aca="false">IF(OR(D920="",E920=""),"edge hidden",IF(AND(H920&gt;=D920-0.02,H920&lt;=E920+0.02),"yes","no"))</f>
        <v>yes</v>
      </c>
    </row>
    <row r="921" customFormat="false" ht="15" hidden="false" customHeight="false" outlineLevel="0" collapsed="false">
      <c r="A921" s="9" t="n">
        <v>45121</v>
      </c>
      <c r="B921" s="10" t="n">
        <v>19564.5</v>
      </c>
      <c r="C921" s="11" t="n">
        <v>19.725</v>
      </c>
      <c r="D921" s="11" t="n">
        <v>19.1797</v>
      </c>
      <c r="E921" s="11" t="n">
        <v>20.2702</v>
      </c>
      <c r="F921" s="12" t="n">
        <f aca="false">IF(C921="","",B921/C921)</f>
        <v>991.863117870722</v>
      </c>
      <c r="G921" s="12" t="n">
        <f aca="false">MEDIAN(F911:F931)</f>
        <v>986.865081991417</v>
      </c>
      <c r="H921" s="13" t="n">
        <f aca="false">B921/G921</f>
        <v>19.8248984152123</v>
      </c>
      <c r="I921" s="14" t="n">
        <f aca="false">B921/Summary!$C$8*100</f>
        <v>196.054754436773</v>
      </c>
      <c r="J921" s="14" t="n">
        <f aca="false">G921/Summary!$E$8*100</f>
        <v>167.72346789334</v>
      </c>
      <c r="K921" s="15" t="n">
        <f aca="false">Summary!$D$9</f>
        <v>16.9374488591431</v>
      </c>
      <c r="L921" s="16" t="str">
        <f aca="false">IF(OR(D921="",E921=""),"edge hidden",IF(AND(H921&gt;=D921-0.02,H921&lt;=E921+0.02),"yes","no"))</f>
        <v>yes</v>
      </c>
    </row>
    <row r="922" customFormat="false" ht="15" hidden="false" customHeight="false" outlineLevel="0" collapsed="false">
      <c r="A922" s="9" t="n">
        <v>45124</v>
      </c>
      <c r="B922" s="10" t="n">
        <v>19711.45</v>
      </c>
      <c r="C922" s="11" t="n">
        <v>20.3273</v>
      </c>
      <c r="D922" s="11" t="n">
        <v>20.1246</v>
      </c>
      <c r="E922" s="11" t="n">
        <v>20.5301</v>
      </c>
      <c r="F922" s="12" t="n">
        <f aca="false">IF(C922="","",B922/C922)</f>
        <v>969.703305407014</v>
      </c>
      <c r="G922" s="12" t="n">
        <f aca="false">MEDIAN(F912:F932)</f>
        <v>986.865081991417</v>
      </c>
      <c r="H922" s="13" t="n">
        <f aca="false">B922/G922</f>
        <v>19.9738042815578</v>
      </c>
      <c r="I922" s="14" t="n">
        <f aca="false">B922/Summary!$C$8*100</f>
        <v>197.527332124139</v>
      </c>
      <c r="J922" s="14" t="n">
        <f aca="false">G922/Summary!$E$8*100</f>
        <v>167.72346789334</v>
      </c>
      <c r="K922" s="15" t="n">
        <f aca="false">Summary!$D$9</f>
        <v>16.9374488591431</v>
      </c>
      <c r="L922" s="16" t="str">
        <f aca="false">IF(OR(D922="",E922=""),"edge hidden",IF(AND(H922&gt;=D922-0.02,H922&lt;=E922+0.02),"yes","no"))</f>
        <v>no</v>
      </c>
    </row>
    <row r="923" customFormat="false" ht="15" hidden="false" customHeight="false" outlineLevel="0" collapsed="false">
      <c r="A923" s="9" t="n">
        <v>45125</v>
      </c>
      <c r="B923" s="10" t="n">
        <v>19749.25</v>
      </c>
      <c r="C923" s="11" t="n">
        <v>20.3352</v>
      </c>
      <c r="D923" s="11" t="n">
        <v>20.1325</v>
      </c>
      <c r="E923" s="11" t="n">
        <v>20.538</v>
      </c>
      <c r="F923" s="12" t="n">
        <f aca="false">IF(C923="","",B923/C923)</f>
        <v>971.185432157048</v>
      </c>
      <c r="G923" s="12" t="n">
        <f aca="false">MEDIAN(F913:F933)</f>
        <v>986.865081991417</v>
      </c>
      <c r="H923" s="13" t="n">
        <f aca="false">B923/G923</f>
        <v>20.0121073897432</v>
      </c>
      <c r="I923" s="14" t="n">
        <f aca="false">B923/Summary!$C$8*100</f>
        <v>197.906123798739</v>
      </c>
      <c r="J923" s="14" t="n">
        <f aca="false">G923/Summary!$E$8*100</f>
        <v>167.72346789334</v>
      </c>
      <c r="K923" s="15" t="n">
        <f aca="false">Summary!$D$9</f>
        <v>16.9374488591431</v>
      </c>
      <c r="L923" s="16" t="str">
        <f aca="false">IF(OR(D923="",E923=""),"edge hidden",IF(AND(H923&gt;=D923-0.02,H923&lt;=E923+0.02),"yes","no"))</f>
        <v>no</v>
      </c>
    </row>
    <row r="924" customFormat="false" ht="15" hidden="false" customHeight="false" outlineLevel="0" collapsed="false">
      <c r="A924" s="9" t="n">
        <v>45126</v>
      </c>
      <c r="B924" s="10" t="n">
        <v>19833.15</v>
      </c>
      <c r="C924" s="11" t="n">
        <v>20.3431</v>
      </c>
      <c r="D924" s="11" t="n">
        <v>20.1482</v>
      </c>
      <c r="E924" s="11" t="n">
        <v>20.538</v>
      </c>
      <c r="F924" s="12" t="n">
        <f aca="false">IF(C924="","",B924/C924)</f>
        <v>974.932532406565</v>
      </c>
      <c r="G924" s="12" t="n">
        <f aca="false">MEDIAN(F914:F934)</f>
        <v>986.865081991417</v>
      </c>
      <c r="H924" s="13" t="n">
        <f aca="false">B924/G924</f>
        <v>20.0971240769592</v>
      </c>
      <c r="I924" s="14" t="n">
        <f aca="false">B924/Summary!$C$8*100</f>
        <v>198.746880981251</v>
      </c>
      <c r="J924" s="14" t="n">
        <f aca="false">G924/Summary!$E$8*100</f>
        <v>167.72346789334</v>
      </c>
      <c r="K924" s="15" t="n">
        <f aca="false">Summary!$D$9</f>
        <v>16.9374488591431</v>
      </c>
      <c r="L924" s="16" t="str">
        <f aca="false">IF(OR(D924="",E924=""),"edge hidden",IF(AND(H924&gt;=D924-0.02,H924&lt;=E924+0.02),"yes","no"))</f>
        <v>no</v>
      </c>
    </row>
    <row r="925" customFormat="false" ht="15" hidden="false" customHeight="false" outlineLevel="0" collapsed="false">
      <c r="A925" s="9" t="n">
        <v>45127</v>
      </c>
      <c r="B925" s="10" t="n">
        <v>19979.15</v>
      </c>
      <c r="C925" s="11" t="n">
        <v>20.347</v>
      </c>
      <c r="D925" s="11" t="n">
        <v>20.1561</v>
      </c>
      <c r="E925" s="11" t="n">
        <v>20.538</v>
      </c>
      <c r="F925" s="12" t="n">
        <f aca="false">IF(C925="","",B925/C925)</f>
        <v>981.921167739716</v>
      </c>
      <c r="G925" s="12" t="n">
        <f aca="false">MEDIAN(F915:F935)</f>
        <v>985.588638345584</v>
      </c>
      <c r="H925" s="13" t="n">
        <f aca="false">B925/G925</f>
        <v>20.2712868459372</v>
      </c>
      <c r="I925" s="14" t="n">
        <f aca="false">B925/Summary!$C$8*100</f>
        <v>200.209938772034</v>
      </c>
      <c r="J925" s="14" t="n">
        <f aca="false">G925/Summary!$E$8*100</f>
        <v>167.506528862103</v>
      </c>
      <c r="K925" s="15" t="n">
        <f aca="false">Summary!$D$9</f>
        <v>16.9374488591431</v>
      </c>
      <c r="L925" s="16" t="str">
        <f aca="false">IF(OR(D925="",E925=""),"edge hidden",IF(AND(H925&gt;=D925-0.02,H925&lt;=E925+0.02),"yes","no"))</f>
        <v>yes</v>
      </c>
    </row>
    <row r="926" customFormat="false" ht="15" hidden="false" customHeight="false" outlineLevel="0" collapsed="false">
      <c r="A926" s="9" t="n">
        <v>45128</v>
      </c>
      <c r="B926" s="10" t="n">
        <v>19745</v>
      </c>
      <c r="C926" s="11" t="n">
        <v>20.3352</v>
      </c>
      <c r="D926" s="11" t="n">
        <v>20.1325</v>
      </c>
      <c r="E926" s="11" t="n">
        <v>20.538</v>
      </c>
      <c r="F926" s="12" t="n">
        <f aca="false">IF(C926="","",B926/C926)</f>
        <v>970.976434950234</v>
      </c>
      <c r="G926" s="12" t="n">
        <f aca="false">MEDIAN(F916:F936)</f>
        <v>985.588638345584</v>
      </c>
      <c r="H926" s="13" t="n">
        <f aca="false">B926/G926</f>
        <v>20.0337130845422</v>
      </c>
      <c r="I926" s="14" t="n">
        <f aca="false">B926/Summary!$C$8*100</f>
        <v>197.863534787706</v>
      </c>
      <c r="J926" s="14" t="n">
        <f aca="false">G926/Summary!$E$8*100</f>
        <v>167.506528862103</v>
      </c>
      <c r="K926" s="15" t="n">
        <f aca="false">Summary!$D$9</f>
        <v>16.9374488591431</v>
      </c>
      <c r="L926" s="16" t="str">
        <f aca="false">IF(OR(D926="",E926=""),"edge hidden",IF(AND(H926&gt;=D926-0.02,H926&lt;=E926+0.02),"yes","no"))</f>
        <v>no</v>
      </c>
    </row>
    <row r="927" customFormat="false" ht="15" hidden="false" customHeight="false" outlineLevel="0" collapsed="false">
      <c r="A927" s="9" t="n">
        <v>45131</v>
      </c>
      <c r="B927" s="10" t="n">
        <v>19672.35</v>
      </c>
      <c r="C927" s="11" t="n">
        <v>20.1699</v>
      </c>
      <c r="D927" s="11" t="n">
        <v>20.0537</v>
      </c>
      <c r="E927" s="11" t="n">
        <v>20.286</v>
      </c>
      <c r="F927" s="12" t="n">
        <f aca="false">IF(C927="","",B927/C927)</f>
        <v>975.332054199575</v>
      </c>
      <c r="G927" s="12" t="n">
        <f aca="false">MEDIAN(F917:F937)</f>
        <v>985.588638345584</v>
      </c>
      <c r="H927" s="13" t="n">
        <f aca="false">B927/G927</f>
        <v>19.9600007900072</v>
      </c>
      <c r="I927" s="14" t="n">
        <f aca="false">B927/Summary!$C$8*100</f>
        <v>197.135513222635</v>
      </c>
      <c r="J927" s="14" t="n">
        <f aca="false">G927/Summary!$E$8*100</f>
        <v>167.506528862103</v>
      </c>
      <c r="K927" s="15" t="n">
        <f aca="false">Summary!$D$9</f>
        <v>16.9374488591431</v>
      </c>
      <c r="L927" s="16" t="str">
        <f aca="false">IF(OR(D927="",E927=""),"edge hidden",IF(AND(H927&gt;=D927-0.02,H927&lt;=E927+0.02),"yes","no"))</f>
        <v>no</v>
      </c>
    </row>
    <row r="928" customFormat="false" ht="15" hidden="false" customHeight="false" outlineLevel="0" collapsed="false">
      <c r="A928" s="9" t="n">
        <v>45132</v>
      </c>
      <c r="B928" s="10" t="n">
        <v>19680.6</v>
      </c>
      <c r="C928" s="11" t="n">
        <v>20.0872</v>
      </c>
      <c r="D928" s="11" t="n">
        <v>19.9435</v>
      </c>
      <c r="E928" s="11" t="n">
        <v>20.2309</v>
      </c>
      <c r="F928" s="12" t="n">
        <f aca="false">IF(C928="","",B928/C928)</f>
        <v>979.758254012505</v>
      </c>
      <c r="G928" s="12" t="n">
        <f aca="false">MEDIAN(F918:F938)</f>
        <v>985.588638345584</v>
      </c>
      <c r="H928" s="13" t="n">
        <f aca="false">B928/G928</f>
        <v>19.9683714222153</v>
      </c>
      <c r="I928" s="14" t="n">
        <f aca="false">B928/Summary!$C$8*100</f>
        <v>197.218186008758</v>
      </c>
      <c r="J928" s="14" t="n">
        <f aca="false">G928/Summary!$E$8*100</f>
        <v>167.506528862103</v>
      </c>
      <c r="K928" s="15" t="n">
        <f aca="false">Summary!$D$9</f>
        <v>16.9374488591431</v>
      </c>
      <c r="L928" s="16" t="str">
        <f aca="false">IF(OR(D928="",E928=""),"edge hidden",IF(AND(H928&gt;=D928-0.02,H928&lt;=E928+0.02),"yes","no"))</f>
        <v>yes</v>
      </c>
    </row>
    <row r="929" customFormat="false" ht="15" hidden="false" customHeight="false" outlineLevel="0" collapsed="false">
      <c r="A929" s="9" t="n">
        <v>45133</v>
      </c>
      <c r="B929" s="10" t="n">
        <v>19778.3</v>
      </c>
      <c r="C929" s="11" t="n">
        <v>20.0675</v>
      </c>
      <c r="D929" s="11" t="n">
        <v>19.9199</v>
      </c>
      <c r="E929" s="11" t="n">
        <v>20.2151</v>
      </c>
      <c r="F929" s="12" t="n">
        <f aca="false">IF(C929="","",B929/C929)</f>
        <v>985.588638345584</v>
      </c>
      <c r="G929" s="12" t="n">
        <f aca="false">MEDIAN(F919:F939)</f>
        <v>985.588638345584</v>
      </c>
      <c r="H929" s="13" t="n">
        <f aca="false">B929/G929</f>
        <v>20.0675</v>
      </c>
      <c r="I929" s="14" t="n">
        <f aca="false">B929/Summary!$C$8*100</f>
        <v>198.19723221533</v>
      </c>
      <c r="J929" s="14" t="n">
        <f aca="false">G929/Summary!$E$8*100</f>
        <v>167.506528862103</v>
      </c>
      <c r="K929" s="15" t="n">
        <f aca="false">Summary!$D$9</f>
        <v>16.9374488591431</v>
      </c>
      <c r="L929" s="16" t="str">
        <f aca="false">IF(OR(D929="",E929=""),"edge hidden",IF(AND(H929&gt;=D929-0.02,H929&lt;=E929+0.02),"yes","no"))</f>
        <v>yes</v>
      </c>
    </row>
    <row r="930" customFormat="false" ht="15" hidden="false" customHeight="false" outlineLevel="0" collapsed="false">
      <c r="A930" s="9" t="n">
        <v>45134</v>
      </c>
      <c r="B930" s="10" t="n">
        <v>19659.9</v>
      </c>
      <c r="C930" s="11" t="n">
        <v>20.0517</v>
      </c>
      <c r="D930" s="11" t="n">
        <v>19.9041</v>
      </c>
      <c r="E930" s="11" t="n">
        <v>20.1994</v>
      </c>
      <c r="F930" s="12" t="n">
        <f aca="false">IF(C930="","",B930/C930)</f>
        <v>980.460509582729</v>
      </c>
      <c r="G930" s="12" t="n">
        <f aca="false">MEDIAN(F920:F940)</f>
        <v>985.588638345584</v>
      </c>
      <c r="H930" s="13" t="n">
        <f aca="false">B930/G930</f>
        <v>19.9473687450388</v>
      </c>
      <c r="I930" s="14" t="n">
        <f aca="false">B930/Summary!$C$8*100</f>
        <v>197.010752472668</v>
      </c>
      <c r="J930" s="14" t="n">
        <f aca="false">G930/Summary!$E$8*100</f>
        <v>167.506528862103</v>
      </c>
      <c r="K930" s="15" t="n">
        <f aca="false">Summary!$D$9</f>
        <v>16.9374488591431</v>
      </c>
      <c r="L930" s="16" t="str">
        <f aca="false">IF(OR(D930="",E930=""),"edge hidden",IF(AND(H930&gt;=D930-0.02,H930&lt;=E930+0.02),"yes","no"))</f>
        <v>yes</v>
      </c>
    </row>
    <row r="931" customFormat="false" ht="15" hidden="false" customHeight="false" outlineLevel="0" collapsed="false">
      <c r="A931" s="9" t="n">
        <v>45135</v>
      </c>
      <c r="B931" s="10" t="n">
        <v>19646.05</v>
      </c>
      <c r="C931" s="11" t="n">
        <v>20.0281</v>
      </c>
      <c r="D931" s="11" t="n">
        <v>19.8805</v>
      </c>
      <c r="E931" s="11" t="n">
        <v>20.1758</v>
      </c>
      <c r="F931" s="12" t="n">
        <f aca="false">IF(C931="","",B931/C931)</f>
        <v>980.924301356594</v>
      </c>
      <c r="G931" s="12" t="n">
        <f aca="false">MEDIAN(F921:F941)</f>
        <v>985.588638345584</v>
      </c>
      <c r="H931" s="13" t="n">
        <f aca="false">B931/G931</f>
        <v>19.9333162291501</v>
      </c>
      <c r="I931" s="14" t="n">
        <f aca="false">B931/Summary!$C$8*100</f>
        <v>196.871962401419</v>
      </c>
      <c r="J931" s="14" t="n">
        <f aca="false">G931/Summary!$E$8*100</f>
        <v>167.506528862103</v>
      </c>
      <c r="K931" s="15" t="n">
        <f aca="false">Summary!$D$9</f>
        <v>16.9374488591431</v>
      </c>
      <c r="L931" s="16" t="str">
        <f aca="false">IF(OR(D931="",E931=""),"edge hidden",IF(AND(H931&gt;=D931-0.02,H931&lt;=E931+0.02),"yes","no"))</f>
        <v>yes</v>
      </c>
    </row>
    <row r="932" customFormat="false" ht="15" hidden="false" customHeight="false" outlineLevel="0" collapsed="false">
      <c r="A932" s="9" t="n">
        <v>45138</v>
      </c>
      <c r="B932" s="10" t="n">
        <v>19753.8</v>
      </c>
      <c r="C932" s="11" t="n">
        <v>19.788</v>
      </c>
      <c r="D932" s="11" t="n">
        <v>19.6049</v>
      </c>
      <c r="E932" s="11" t="n">
        <v>19.971</v>
      </c>
      <c r="F932" s="12" t="n">
        <f aca="false">IF(C932="","",B932/C932)</f>
        <v>998.271679805943</v>
      </c>
      <c r="G932" s="12" t="n">
        <f aca="false">MEDIAN(F922:F942)</f>
        <v>985.588638345584</v>
      </c>
      <c r="H932" s="13" t="n">
        <f aca="false">B932/G932</f>
        <v>20.0426417588974</v>
      </c>
      <c r="I932" s="14" t="n">
        <f aca="false">B932/Summary!$C$8*100</f>
        <v>197.951719092904</v>
      </c>
      <c r="J932" s="14" t="n">
        <f aca="false">G932/Summary!$E$8*100</f>
        <v>167.506528862103</v>
      </c>
      <c r="K932" s="15" t="n">
        <f aca="false">Summary!$D$9</f>
        <v>16.9374488591431</v>
      </c>
      <c r="L932" s="16" t="str">
        <f aca="false">IF(OR(D932="",E932=""),"edge hidden",IF(AND(H932&gt;=D932-0.02,H932&lt;=E932+0.02),"yes","no"))</f>
        <v>no</v>
      </c>
    </row>
    <row r="933" customFormat="false" ht="15" hidden="false" customHeight="false" outlineLevel="0" collapsed="false">
      <c r="A933" s="9" t="n">
        <v>45139</v>
      </c>
      <c r="B933" s="10" t="n">
        <v>19733.55</v>
      </c>
      <c r="C933" s="11" t="n">
        <v>19.7801</v>
      </c>
      <c r="D933" s="11" t="n">
        <v>19.597</v>
      </c>
      <c r="E933" s="11" t="n">
        <v>19.9632</v>
      </c>
      <c r="F933" s="12" t="n">
        <f aca="false">IF(C933="","",B933/C933)</f>
        <v>997.646624637894</v>
      </c>
      <c r="G933" s="12" t="n">
        <f aca="false">MEDIAN(F923:F943)</f>
        <v>988.165725390174</v>
      </c>
      <c r="H933" s="13" t="n">
        <f aca="false">B933/G933</f>
        <v>19.9698790323944</v>
      </c>
      <c r="I933" s="14" t="n">
        <f aca="false">B933/Summary!$C$8*100</f>
        <v>197.748794981511</v>
      </c>
      <c r="J933" s="14" t="n">
        <f aca="false">G933/Summary!$E$8*100</f>
        <v>167.94451981352</v>
      </c>
      <c r="K933" s="15" t="n">
        <f aca="false">Summary!$D$9</f>
        <v>16.9374488591431</v>
      </c>
      <c r="L933" s="16" t="str">
        <f aca="false">IF(OR(D933="",E933=""),"edge hidden",IF(AND(H933&gt;=D933-0.02,H933&lt;=E933+0.02),"yes","no"))</f>
        <v>yes</v>
      </c>
    </row>
    <row r="934" customFormat="false" ht="15" hidden="false" customHeight="false" outlineLevel="0" collapsed="false">
      <c r="A934" s="9" t="n">
        <v>45140</v>
      </c>
      <c r="B934" s="10" t="n">
        <v>19526.55</v>
      </c>
      <c r="C934" s="11" t="n">
        <v>19.7604</v>
      </c>
      <c r="D934" s="11" t="n">
        <v>19.5813</v>
      </c>
      <c r="E934" s="11" t="n">
        <v>19.9395</v>
      </c>
      <c r="F934" s="12" t="n">
        <f aca="false">IF(C934="","",B934/C934)</f>
        <v>988.165725390174</v>
      </c>
      <c r="G934" s="12" t="n">
        <f aca="false">MEDIAN(F924:F944)</f>
        <v>993.024356241191</v>
      </c>
      <c r="H934" s="13" t="n">
        <f aca="false">B934/G934</f>
        <v>19.6637170853615</v>
      </c>
      <c r="I934" s="14" t="n">
        <f aca="false">B934/Summary!$C$8*100</f>
        <v>195.674459620607</v>
      </c>
      <c r="J934" s="14" t="n">
        <f aca="false">G934/Summary!$E$8*100</f>
        <v>168.770272421872</v>
      </c>
      <c r="K934" s="15" t="n">
        <f aca="false">Summary!$D$9</f>
        <v>16.9374488591431</v>
      </c>
      <c r="L934" s="16" t="str">
        <f aca="false">IF(OR(D934="",E934=""),"edge hidden",IF(AND(H934&gt;=D934-0.02,H934&lt;=E934+0.02),"yes","no"))</f>
        <v>yes</v>
      </c>
    </row>
    <row r="935" customFormat="false" ht="15" hidden="false" customHeight="false" outlineLevel="0" collapsed="false">
      <c r="A935" s="9" t="n">
        <v>45141</v>
      </c>
      <c r="B935" s="10" t="n">
        <v>19381.65</v>
      </c>
      <c r="C935" s="11" t="n">
        <v>19.7447</v>
      </c>
      <c r="D935" s="11" t="n">
        <v>19.5734</v>
      </c>
      <c r="E935" s="11" t="n">
        <v>19.9159</v>
      </c>
      <c r="F935" s="12" t="n">
        <f aca="false">IF(C935="","",B935/C935)</f>
        <v>981.612787228978</v>
      </c>
      <c r="G935" s="12" t="n">
        <f aca="false">MEDIAN(F925:F945)</f>
        <v>997.646624637894</v>
      </c>
      <c r="H935" s="13" t="n">
        <f aca="false">B935/G935</f>
        <v>19.4273698936583</v>
      </c>
      <c r="I935" s="14" t="n">
        <f aca="false">B935/Summary!$C$8*100</f>
        <v>194.222424867974</v>
      </c>
      <c r="J935" s="14" t="n">
        <f aca="false">G935/Summary!$E$8*100</f>
        <v>169.555853854609</v>
      </c>
      <c r="K935" s="15" t="n">
        <f aca="false">Summary!$D$9</f>
        <v>16.9374488591431</v>
      </c>
      <c r="L935" s="16" t="str">
        <f aca="false">IF(OR(D935="",E935=""),"edge hidden",IF(AND(H935&gt;=D935-0.02,H935&lt;=E935+0.02),"yes","no"))</f>
        <v>no</v>
      </c>
    </row>
    <row r="936" customFormat="false" ht="15" hidden="false" customHeight="false" outlineLevel="0" collapsed="false">
      <c r="A936" s="9" t="n">
        <v>45142</v>
      </c>
      <c r="B936" s="10" t="n">
        <v>19517</v>
      </c>
      <c r="C936" s="11" t="n">
        <v>19.6541</v>
      </c>
      <c r="D936" s="11" t="n">
        <v>19.5576</v>
      </c>
      <c r="E936" s="11" t="n">
        <v>19.7506</v>
      </c>
      <c r="F936" s="12" t="n">
        <f aca="false">IF(C936="","",B936/C936)</f>
        <v>993.024356241191</v>
      </c>
      <c r="G936" s="12" t="n">
        <f aca="false">MEDIAN(F926:F946)</f>
        <v>998.271679805943</v>
      </c>
      <c r="H936" s="13" t="n">
        <f aca="false">B936/G936</f>
        <v>19.5507900252103</v>
      </c>
      <c r="I936" s="14" t="n">
        <f aca="false">B936/Summary!$C$8*100</f>
        <v>195.57875960758</v>
      </c>
      <c r="J936" s="14" t="n">
        <f aca="false">G936/Summary!$E$8*100</f>
        <v>169.662085620554</v>
      </c>
      <c r="K936" s="15" t="n">
        <f aca="false">Summary!$D$9</f>
        <v>16.9374488591431</v>
      </c>
      <c r="L936" s="16" t="str">
        <f aca="false">IF(OR(D936="",E936=""),"edge hidden",IF(AND(H936&gt;=D936-0.02,H936&lt;=E936+0.02),"yes","no"))</f>
        <v>yes</v>
      </c>
    </row>
    <row r="937" customFormat="false" ht="15" hidden="false" customHeight="false" outlineLevel="0" collapsed="false">
      <c r="A937" s="9" t="n">
        <v>45145</v>
      </c>
      <c r="B937" s="10" t="n">
        <v>19597.3</v>
      </c>
      <c r="C937" s="11" t="n">
        <v>19.5478</v>
      </c>
      <c r="D937" s="11" t="n">
        <v>19.4317</v>
      </c>
      <c r="E937" s="11" t="n">
        <v>19.6639</v>
      </c>
      <c r="F937" s="12" t="n">
        <f aca="false">IF(C937="","",B937/C937)</f>
        <v>1002.53225426902</v>
      </c>
      <c r="G937" s="12" t="n">
        <f aca="false">MEDIAN(F927:F947)</f>
        <v>1000.5355882974</v>
      </c>
      <c r="H937" s="13" t="n">
        <f aca="false">B937/G937</f>
        <v>19.5868095340303</v>
      </c>
      <c r="I937" s="14" t="n">
        <f aca="false">B937/Summary!$C$8*100</f>
        <v>196.38344139251</v>
      </c>
      <c r="J937" s="14" t="n">
        <f aca="false">G937/Summary!$E$8*100</f>
        <v>170.046850053007</v>
      </c>
      <c r="K937" s="15" t="n">
        <f aca="false">Summary!$D$9</f>
        <v>16.9374488591431</v>
      </c>
      <c r="L937" s="16" t="str">
        <f aca="false">IF(OR(D937="",E937=""),"edge hidden",IF(AND(H937&gt;=D937-0.02,H937&lt;=E937+0.02),"yes","no"))</f>
        <v>yes</v>
      </c>
    </row>
    <row r="938" customFormat="false" ht="15" hidden="false" customHeight="false" outlineLevel="0" collapsed="false">
      <c r="A938" s="9" t="n">
        <v>45146</v>
      </c>
      <c r="B938" s="10" t="n">
        <v>19570.85</v>
      </c>
      <c r="C938" s="11" t="n">
        <v>19.4573</v>
      </c>
      <c r="D938" s="11" t="n">
        <v>19.3293</v>
      </c>
      <c r="E938" s="11" t="n">
        <v>19.5852</v>
      </c>
      <c r="F938" s="12" t="n">
        <f aca="false">IF(C938="","",B938/C938)</f>
        <v>1005.83585595124</v>
      </c>
      <c r="G938" s="12" t="n">
        <f aca="false">MEDIAN(F928:F948)</f>
        <v>1002.53225426902</v>
      </c>
      <c r="H938" s="13" t="n">
        <f aca="false">B938/G938</f>
        <v>19.5214168089482</v>
      </c>
      <c r="I938" s="14" t="n">
        <f aca="false">B938/Summary!$C$8*100</f>
        <v>196.118387429728</v>
      </c>
      <c r="J938" s="14" t="n">
        <f aca="false">G938/Summary!$E$8*100</f>
        <v>170.386195062874</v>
      </c>
      <c r="K938" s="15" t="n">
        <f aca="false">Summary!$D$9</f>
        <v>16.9374488591431</v>
      </c>
      <c r="L938" s="16" t="str">
        <f aca="false">IF(OR(D938="",E938=""),"edge hidden",IF(AND(H938&gt;=D938-0.02,H938&lt;=E938+0.02),"yes","no"))</f>
        <v>yes</v>
      </c>
    </row>
    <row r="939" customFormat="false" ht="15" hidden="false" customHeight="false" outlineLevel="0" collapsed="false">
      <c r="A939" s="9" t="n">
        <v>45147</v>
      </c>
      <c r="B939" s="10" t="n">
        <v>19632.55</v>
      </c>
      <c r="C939" s="11" t="n">
        <v>19.4494</v>
      </c>
      <c r="D939" s="11" t="n">
        <v>19.3214</v>
      </c>
      <c r="E939" s="11" t="n">
        <v>19.5773</v>
      </c>
      <c r="F939" s="12" t="n">
        <f aca="false">IF(C939="","",B939/C939)</f>
        <v>1009.41674293294</v>
      </c>
      <c r="G939" s="12" t="n">
        <f aca="false">MEDIAN(F929:F949)</f>
        <v>1005.42762480965</v>
      </c>
      <c r="H939" s="13" t="n">
        <f aca="false">B939/G939</f>
        <v>19.526567119853</v>
      </c>
      <c r="I939" s="14" t="n">
        <f aca="false">B939/Summary!$C$8*100</f>
        <v>196.73667966049</v>
      </c>
      <c r="J939" s="14" t="n">
        <f aca="false">G939/Summary!$E$8*100</f>
        <v>170.878280148031</v>
      </c>
      <c r="K939" s="15" t="n">
        <f aca="false">Summary!$D$9</f>
        <v>16.9374488591431</v>
      </c>
      <c r="L939" s="16" t="str">
        <f aca="false">IF(OR(D939="",E939=""),"edge hidden",IF(AND(H939&gt;=D939-0.02,H939&lt;=E939+0.02),"yes","no"))</f>
        <v>yes</v>
      </c>
    </row>
    <row r="940" customFormat="false" ht="15" hidden="false" customHeight="false" outlineLevel="0" collapsed="false">
      <c r="A940" s="9" t="n">
        <v>45148</v>
      </c>
      <c r="B940" s="10" t="n">
        <v>19543.1</v>
      </c>
      <c r="C940" s="11" t="n">
        <v>19.4376</v>
      </c>
      <c r="D940" s="11" t="n">
        <v>19.3136</v>
      </c>
      <c r="E940" s="11" t="n">
        <v>19.5616</v>
      </c>
      <c r="F940" s="12" t="n">
        <f aca="false">IF(C940="","",B940/C940)</f>
        <v>1005.42762480965</v>
      </c>
      <c r="G940" s="12" t="n">
        <f aca="false">MEDIAN(F930:F950)</f>
        <v>1005.83585595124</v>
      </c>
      <c r="H940" s="13" t="n">
        <f aca="false">B940/G940</f>
        <v>19.4297110053983</v>
      </c>
      <c r="I940" s="14" t="n">
        <f aca="false">B940/Summary!$C$8*100</f>
        <v>195.840306240042</v>
      </c>
      <c r="J940" s="14" t="n">
        <f aca="false">G940/Summary!$E$8*100</f>
        <v>170.94766140796</v>
      </c>
      <c r="K940" s="15" t="n">
        <f aca="false">Summary!$D$9</f>
        <v>16.9374488591431</v>
      </c>
      <c r="L940" s="16" t="str">
        <f aca="false">IF(OR(D940="",E940=""),"edge hidden",IF(AND(H940&gt;=D940-0.02,H940&lt;=E940+0.02),"yes","no"))</f>
        <v>yes</v>
      </c>
    </row>
    <row r="941" customFormat="false" ht="15" hidden="false" customHeight="false" outlineLevel="0" collapsed="false">
      <c r="A941" s="9" t="n">
        <v>45149</v>
      </c>
      <c r="B941" s="10" t="n">
        <v>19428.3</v>
      </c>
      <c r="C941" s="11" t="n">
        <v>19.4179</v>
      </c>
      <c r="D941" s="11" t="n">
        <v>19.3057</v>
      </c>
      <c r="E941" s="11" t="n">
        <v>19.5301</v>
      </c>
      <c r="F941" s="12" t="n">
        <f aca="false">IF(C941="","",B941/C941)</f>
        <v>1000.5355882974</v>
      </c>
      <c r="G941" s="12" t="n">
        <f aca="false">MEDIAN(F931:F951)</f>
        <v>1008.35239318649</v>
      </c>
      <c r="H941" s="13" t="n">
        <f aca="false">B941/G941</f>
        <v>19.2673713389073</v>
      </c>
      <c r="I941" s="14" t="n">
        <f aca="false">B941/Summary!$C$8*100</f>
        <v>194.68990189496</v>
      </c>
      <c r="J941" s="14" t="n">
        <f aca="false">G941/Summary!$E$8*100</f>
        <v>171.375361566657</v>
      </c>
      <c r="K941" s="15" t="n">
        <f aca="false">Summary!$D$9</f>
        <v>16.9374488591431</v>
      </c>
      <c r="L941" s="16" t="str">
        <f aca="false">IF(OR(D941="",E941=""),"edge hidden",IF(AND(H941&gt;=D941-0.02,H941&lt;=E941+0.02),"yes","no"))</f>
        <v>no</v>
      </c>
    </row>
    <row r="942" customFormat="false" ht="15" hidden="false" customHeight="false" outlineLevel="0" collapsed="false">
      <c r="A942" s="9" t="n">
        <v>45152</v>
      </c>
      <c r="B942" s="10" t="n">
        <v>19434.55</v>
      </c>
      <c r="C942" s="11" t="n">
        <v>19.2447</v>
      </c>
      <c r="D942" s="11" t="n">
        <v>19.1639</v>
      </c>
      <c r="E942" s="11" t="n">
        <v>19.3254</v>
      </c>
      <c r="F942" s="12" t="n">
        <f aca="false">IF(C942="","",B942/C942)</f>
        <v>1009.86505375506</v>
      </c>
      <c r="G942" s="12" t="n">
        <f aca="false">MEDIAN(F932:F952)</f>
        <v>1009.41674293294</v>
      </c>
      <c r="H942" s="13" t="n">
        <f aca="false">B942/G942</f>
        <v>19.2532471212349</v>
      </c>
      <c r="I942" s="14" t="n">
        <f aca="false">B942/Summary!$C$8*100</f>
        <v>194.752532793538</v>
      </c>
      <c r="J942" s="14" t="n">
        <f aca="false">G942/Summary!$E$8*100</f>
        <v>171.556254004523</v>
      </c>
      <c r="K942" s="15" t="n">
        <f aca="false">Summary!$D$9</f>
        <v>16.9374488591431</v>
      </c>
      <c r="L942" s="16" t="str">
        <f aca="false">IF(OR(D942="",E942=""),"edge hidden",IF(AND(H942&gt;=D942-0.02,H942&lt;=E942+0.02),"yes","no"))</f>
        <v>yes</v>
      </c>
    </row>
    <row r="943" customFormat="false" ht="15" hidden="false" customHeight="false" outlineLevel="0" collapsed="false">
      <c r="A943" s="9" t="n">
        <v>45154</v>
      </c>
      <c r="B943" s="10" t="n">
        <v>19465</v>
      </c>
      <c r="C943" s="11" t="n">
        <v>19.2053</v>
      </c>
      <c r="D943" s="11" t="n">
        <v>19.1088</v>
      </c>
      <c r="E943" s="11" t="n">
        <v>19.3017</v>
      </c>
      <c r="F943" s="12" t="n">
        <f aca="false">IF(C943="","",B943/C943)</f>
        <v>1013.52230894597</v>
      </c>
      <c r="G943" s="12" t="n">
        <f aca="false">MEDIAN(F933:F953)</f>
        <v>1009.569016302</v>
      </c>
      <c r="H943" s="13" t="n">
        <f aca="false">B943/G943</f>
        <v>19.2805045377674</v>
      </c>
      <c r="I943" s="14" t="n">
        <f aca="false">B943/Summary!$C$8*100</f>
        <v>195.057670531411</v>
      </c>
      <c r="J943" s="14" t="n">
        <f aca="false">G943/Summary!$E$8*100</f>
        <v>171.582133750388</v>
      </c>
      <c r="K943" s="15" t="n">
        <f aca="false">Summary!$D$9</f>
        <v>16.9374488591431</v>
      </c>
      <c r="L943" s="16" t="str">
        <f aca="false">IF(OR(D943="",E943=""),"edge hidden",IF(AND(H943&gt;=D943-0.02,H943&lt;=E943+0.02),"yes","no"))</f>
        <v>yes</v>
      </c>
    </row>
    <row r="944" customFormat="false" ht="15" hidden="false" customHeight="false" outlineLevel="0" collapsed="false">
      <c r="A944" s="9" t="n">
        <v>45155</v>
      </c>
      <c r="B944" s="10" t="n">
        <v>19365.25</v>
      </c>
      <c r="C944" s="11" t="n">
        <v>19.1817</v>
      </c>
      <c r="D944" s="11" t="n">
        <v>19.0616</v>
      </c>
      <c r="E944" s="11" t="n">
        <v>19.3017</v>
      </c>
      <c r="F944" s="12" t="n">
        <f aca="false">IF(C944="","",B944/C944)</f>
        <v>1009.569016302</v>
      </c>
      <c r="G944" s="12" t="n">
        <f aca="false">MEDIAN(F934:F954)</f>
        <v>1009.86505375506</v>
      </c>
      <c r="H944" s="13" t="n">
        <f aca="false">B944/G944</f>
        <v>19.176076969881</v>
      </c>
      <c r="I944" s="14" t="n">
        <f aca="false">B944/Summary!$C$8*100</f>
        <v>194.058081390105</v>
      </c>
      <c r="J944" s="14" t="n">
        <f aca="false">G944/Summary!$E$8*100</f>
        <v>171.632447039571</v>
      </c>
      <c r="K944" s="15" t="n">
        <f aca="false">Summary!$D$9</f>
        <v>16.9374488591431</v>
      </c>
      <c r="L944" s="16" t="str">
        <f aca="false">IF(OR(D944="",E944=""),"edge hidden",IF(AND(H944&gt;=D944-0.02,H944&lt;=E944+0.02),"yes","no"))</f>
        <v>yes</v>
      </c>
    </row>
    <row r="945" customFormat="false" ht="15" hidden="false" customHeight="false" outlineLevel="0" collapsed="false">
      <c r="A945" s="9" t="n">
        <v>45156</v>
      </c>
      <c r="B945" s="10" t="n">
        <v>19310.15</v>
      </c>
      <c r="C945" s="11" t="n">
        <v>19.1502</v>
      </c>
      <c r="D945" s="11" t="n">
        <v>19.0143</v>
      </c>
      <c r="E945" s="11" t="n">
        <v>19.286</v>
      </c>
      <c r="F945" s="12" t="n">
        <f aca="false">IF(C945="","",B945/C945)</f>
        <v>1008.35239318649</v>
      </c>
      <c r="G945" s="12" t="n">
        <f aca="false">MEDIAN(F935:F955)</f>
        <v>1013.52230894597</v>
      </c>
      <c r="H945" s="13" t="n">
        <f aca="false">B945/G945</f>
        <v>19.0525159925507</v>
      </c>
      <c r="I945" s="14" t="n">
        <f aca="false">B945/Summary!$C$8*100</f>
        <v>193.505927388241</v>
      </c>
      <c r="J945" s="14" t="n">
        <f aca="false">G945/Summary!$E$8*100</f>
        <v>172.254018858033</v>
      </c>
      <c r="K945" s="15" t="n">
        <f aca="false">Summary!$D$9</f>
        <v>16.9374488591431</v>
      </c>
      <c r="L945" s="16" t="str">
        <f aca="false">IF(OR(D945="",E945=""),"edge hidden",IF(AND(H945&gt;=D945-0.02,H945&lt;=E945+0.02),"yes","no"))</f>
        <v>yes</v>
      </c>
    </row>
    <row r="946" customFormat="false" ht="15" hidden="false" customHeight="false" outlineLevel="0" collapsed="false">
      <c r="A946" s="9" t="n">
        <v>45159</v>
      </c>
      <c r="B946" s="10" t="n">
        <v>19393.6</v>
      </c>
      <c r="C946" s="11" t="n">
        <v>19.0084</v>
      </c>
      <c r="D946" s="11" t="n">
        <v>18.912</v>
      </c>
      <c r="E946" s="11" t="n">
        <v>19.1049</v>
      </c>
      <c r="F946" s="12" t="n">
        <f aca="false">IF(C946="","",B946/C946)</f>
        <v>1020.26472506892</v>
      </c>
      <c r="G946" s="12" t="n">
        <f aca="false">MEDIAN(F936:F956)</f>
        <v>1019.45158798192</v>
      </c>
      <c r="H946" s="13" t="n">
        <f aca="false">B946/G946</f>
        <v>19.0235615193763</v>
      </c>
      <c r="I946" s="14" t="n">
        <f aca="false">B946/Summary!$C$8*100</f>
        <v>194.342175146055</v>
      </c>
      <c r="J946" s="14" t="n">
        <f aca="false">G946/Summary!$E$8*100</f>
        <v>173.261734360552</v>
      </c>
      <c r="K946" s="15" t="n">
        <f aca="false">Summary!$D$9</f>
        <v>16.9374488591431</v>
      </c>
      <c r="L946" s="16" t="str">
        <f aca="false">IF(OR(D946="",E946=""),"edge hidden",IF(AND(H946&gt;=D946-0.02,H946&lt;=E946+0.02),"yes","no"))</f>
        <v>yes</v>
      </c>
    </row>
    <row r="947" customFormat="false" ht="15" hidden="false" customHeight="false" outlineLevel="0" collapsed="false">
      <c r="A947" s="9" t="n">
        <v>45160</v>
      </c>
      <c r="B947" s="10" t="n">
        <v>19396.45</v>
      </c>
      <c r="C947" s="11" t="n">
        <v>18.9651</v>
      </c>
      <c r="D947" s="11" t="n">
        <v>18.849</v>
      </c>
      <c r="E947" s="11" t="n">
        <v>19.0813</v>
      </c>
      <c r="F947" s="12" t="n">
        <f aca="false">IF(C947="","",B947/C947)</f>
        <v>1022.74440946792</v>
      </c>
      <c r="G947" s="12" t="n">
        <f aca="false">MEDIAN(F937:F957)</f>
        <v>1020.26472506892</v>
      </c>
      <c r="H947" s="13" t="n">
        <f aca="false">B947/G947</f>
        <v>19.0111933926656</v>
      </c>
      <c r="I947" s="14" t="n">
        <f aca="false">B947/Summary!$C$8*100</f>
        <v>194.370734835807</v>
      </c>
      <c r="J947" s="14" t="n">
        <f aca="false">G947/Summary!$E$8*100</f>
        <v>173.399931743955</v>
      </c>
      <c r="K947" s="15" t="n">
        <f aca="false">Summary!$D$9</f>
        <v>16.9374488591431</v>
      </c>
      <c r="L947" s="16" t="str">
        <f aca="false">IF(OR(D947="",E947=""),"edge hidden",IF(AND(H947&gt;=D947-0.02,H947&lt;=E947+0.02),"yes","no"))</f>
        <v>yes</v>
      </c>
    </row>
    <row r="948" customFormat="false" ht="15" hidden="false" customHeight="false" outlineLevel="0" collapsed="false">
      <c r="A948" s="9" t="n">
        <v>45161</v>
      </c>
      <c r="B948" s="10" t="n">
        <v>19444</v>
      </c>
      <c r="C948" s="11" t="n">
        <v>18.9297</v>
      </c>
      <c r="D948" s="11" t="n">
        <v>18.8332</v>
      </c>
      <c r="E948" s="11" t="n">
        <v>19.0262</v>
      </c>
      <c r="F948" s="12" t="n">
        <f aca="false">IF(C948="","",B948/C948)</f>
        <v>1027.1689461534</v>
      </c>
      <c r="G948" s="12" t="n">
        <f aca="false">MEDIAN(F938:F958)</f>
        <v>1022.43605061785</v>
      </c>
      <c r="H948" s="13" t="n">
        <f aca="false">B948/G948</f>
        <v>19.0173263044178</v>
      </c>
      <c r="I948" s="14" t="n">
        <f aca="false">B948/Summary!$C$8*100</f>
        <v>194.847230712188</v>
      </c>
      <c r="J948" s="14" t="n">
        <f aca="false">G948/Summary!$E$8*100</f>
        <v>173.768961166152</v>
      </c>
      <c r="K948" s="15" t="n">
        <f aca="false">Summary!$D$9</f>
        <v>16.9374488591431</v>
      </c>
      <c r="L948" s="16" t="str">
        <f aca="false">IF(OR(D948="",E948=""),"edge hidden",IF(AND(H948&gt;=D948-0.02,H948&lt;=E948+0.02),"yes","no"))</f>
        <v>yes</v>
      </c>
    </row>
    <row r="949" customFormat="false" ht="15" hidden="false" customHeight="false" outlineLevel="0" collapsed="false">
      <c r="A949" s="9" t="n">
        <v>45162</v>
      </c>
      <c r="B949" s="10" t="n">
        <v>19386.7</v>
      </c>
      <c r="C949" s="11" t="n">
        <v>18.91</v>
      </c>
      <c r="D949" s="11" t="n">
        <v>18.8254</v>
      </c>
      <c r="E949" s="11" t="n">
        <v>18.9947</v>
      </c>
      <c r="F949" s="12" t="n">
        <f aca="false">IF(C949="","",B949/C949)</f>
        <v>1025.20888418826</v>
      </c>
      <c r="G949" s="12" t="n">
        <f aca="false">MEDIAN(F939:F959)</f>
        <v>1022.74440946792</v>
      </c>
      <c r="H949" s="13" t="n">
        <f aca="false">B949/G949</f>
        <v>18.9555668264038</v>
      </c>
      <c r="I949" s="14" t="n">
        <f aca="false">B949/Summary!$C$8*100</f>
        <v>194.273030634025</v>
      </c>
      <c r="J949" s="14" t="n">
        <f aca="false">G949/Summary!$E$8*100</f>
        <v>173.82136854851</v>
      </c>
      <c r="K949" s="15" t="n">
        <f aca="false">Summary!$D$9</f>
        <v>16.9374488591431</v>
      </c>
      <c r="L949" s="16" t="str">
        <f aca="false">IF(OR(D949="",E949=""),"edge hidden",IF(AND(H949&gt;=D949-0.02,H949&lt;=E949+0.02),"yes","no"))</f>
        <v>yes</v>
      </c>
    </row>
    <row r="950" customFormat="false" ht="15" hidden="false" customHeight="false" outlineLevel="0" collapsed="false">
      <c r="A950" s="9" t="n">
        <v>45163</v>
      </c>
      <c r="B950" s="10" t="n">
        <v>19265.8</v>
      </c>
      <c r="C950" s="11" t="n">
        <v>18.8982</v>
      </c>
      <c r="D950" s="11" t="n">
        <v>18.8175</v>
      </c>
      <c r="E950" s="11" t="n">
        <v>18.9789</v>
      </c>
      <c r="F950" s="12" t="n">
        <f aca="false">IF(C950="","",B950/C950)</f>
        <v>1019.45158798192</v>
      </c>
      <c r="G950" s="12" t="n">
        <f aca="false">MEDIAN(F940:F960)</f>
        <v>1025.20888418826</v>
      </c>
      <c r="H950" s="13" t="n">
        <f aca="false">B950/G950</f>
        <v>18.7920728128047</v>
      </c>
      <c r="I950" s="14" t="n">
        <f aca="false">B950/Summary!$C$8*100</f>
        <v>193.061498531932</v>
      </c>
      <c r="J950" s="14" t="n">
        <f aca="false">G950/Summary!$E$8*100</f>
        <v>174.240220379601</v>
      </c>
      <c r="K950" s="15" t="n">
        <f aca="false">Summary!$D$9</f>
        <v>16.9374488591431</v>
      </c>
      <c r="L950" s="16" t="str">
        <f aca="false">IF(OR(D950="",E950=""),"edge hidden",IF(AND(H950&gt;=D950-0.02,H950&lt;=E950+0.02),"yes","no"))</f>
        <v>no</v>
      </c>
    </row>
    <row r="951" customFormat="false" ht="15" hidden="false" customHeight="false" outlineLevel="0" collapsed="false">
      <c r="A951" s="9" t="n">
        <v>45166</v>
      </c>
      <c r="B951" s="10" t="n">
        <v>19306.05</v>
      </c>
      <c r="C951" s="11" t="n">
        <v>18.8234</v>
      </c>
      <c r="D951" s="11" t="n">
        <v>18.7545</v>
      </c>
      <c r="E951" s="11" t="n">
        <v>18.8923</v>
      </c>
      <c r="F951" s="12" t="n">
        <f aca="false">IF(C951="","",B951/C951)</f>
        <v>1025.64095753158</v>
      </c>
      <c r="G951" s="12" t="n">
        <f aca="false">MEDIAN(F941:F961)</f>
        <v>1025.64095753158</v>
      </c>
      <c r="H951" s="13" t="n">
        <f aca="false">B951/G951</f>
        <v>18.8234</v>
      </c>
      <c r="I951" s="14" t="n">
        <f aca="false">B951/Summary!$C$8*100</f>
        <v>193.464841518774</v>
      </c>
      <c r="J951" s="14" t="n">
        <f aca="false">G951/Summary!$E$8*100</f>
        <v>174.313653760565</v>
      </c>
      <c r="K951" s="15" t="n">
        <f aca="false">Summary!$D$9</f>
        <v>16.9374488591431</v>
      </c>
      <c r="L951" s="16" t="str">
        <f aca="false">IF(OR(D951="",E951=""),"edge hidden",IF(AND(H951&gt;=D951-0.02,H951&lt;=E951+0.02),"yes","no"))</f>
        <v>yes</v>
      </c>
    </row>
    <row r="952" customFormat="false" ht="15" hidden="false" customHeight="false" outlineLevel="0" collapsed="false">
      <c r="A952" s="9" t="n">
        <v>45167</v>
      </c>
      <c r="B952" s="10" t="n">
        <v>19342.65</v>
      </c>
      <c r="C952" s="11" t="n">
        <v>18.8234</v>
      </c>
      <c r="D952" s="11" t="n">
        <v>18.7545</v>
      </c>
      <c r="E952" s="11" t="n">
        <v>18.8923</v>
      </c>
      <c r="F952" s="12" t="n">
        <f aca="false">IF(C952="","",B952/C952)</f>
        <v>1027.58534589925</v>
      </c>
      <c r="G952" s="12" t="n">
        <f aca="false">MEDIAN(F942:F962)</f>
        <v>1026.31371497943</v>
      </c>
      <c r="H952" s="13" t="n">
        <f aca="false">B952/G952</f>
        <v>18.8467227103048</v>
      </c>
      <c r="I952" s="14" t="n">
        <f aca="false">B952/Summary!$C$8*100</f>
        <v>193.831608060847</v>
      </c>
      <c r="J952" s="14" t="n">
        <f aca="false">G952/Summary!$E$8*100</f>
        <v>174.427992806765</v>
      </c>
      <c r="K952" s="15" t="n">
        <f aca="false">Summary!$D$9</f>
        <v>16.9374488591431</v>
      </c>
      <c r="L952" s="16" t="str">
        <f aca="false">IF(OR(D952="",E952=""),"edge hidden",IF(AND(H952&gt;=D952-0.02,H952&lt;=E952+0.02),"yes","no"))</f>
        <v>yes</v>
      </c>
    </row>
    <row r="953" customFormat="false" ht="15" hidden="false" customHeight="false" outlineLevel="0" collapsed="false">
      <c r="A953" s="9" t="n">
        <v>45168</v>
      </c>
      <c r="B953" s="10" t="n">
        <v>19347.45</v>
      </c>
      <c r="C953" s="11" t="n">
        <v>18.8273</v>
      </c>
      <c r="D953" s="11" t="n">
        <v>18.7466</v>
      </c>
      <c r="E953" s="11" t="n">
        <v>18.908</v>
      </c>
      <c r="F953" s="12" t="n">
        <f aca="false">IF(C953="","",B953/C953)</f>
        <v>1027.6274346295</v>
      </c>
      <c r="G953" s="12" t="n">
        <f aca="false">MEDIAN(F943:F963)</f>
        <v>1027.1689461534</v>
      </c>
      <c r="H953" s="13" t="n">
        <f aca="false">B953/G953</f>
        <v>18.8357037782864</v>
      </c>
      <c r="I953" s="14" t="n">
        <f aca="false">B953/Summary!$C$8*100</f>
        <v>193.879708590955</v>
      </c>
      <c r="J953" s="14" t="n">
        <f aca="false">G953/Summary!$E$8*100</f>
        <v>174.573344325394</v>
      </c>
      <c r="K953" s="15" t="n">
        <f aca="false">Summary!$D$9</f>
        <v>16.9374488591431</v>
      </c>
      <c r="L953" s="16" t="str">
        <f aca="false">IF(OR(D953="",E953=""),"edge hidden",IF(AND(H953&gt;=D953-0.02,H953&lt;=E953+0.02),"yes","no"))</f>
        <v>yes</v>
      </c>
    </row>
    <row r="954" customFormat="false" ht="15" hidden="false" customHeight="false" outlineLevel="0" collapsed="false">
      <c r="A954" s="9" t="n">
        <v>45169</v>
      </c>
      <c r="B954" s="10" t="n">
        <v>19253.8</v>
      </c>
      <c r="C954" s="11" t="n">
        <v>18.8313</v>
      </c>
      <c r="D954" s="11" t="n">
        <v>18.7466</v>
      </c>
      <c r="E954" s="11" t="n">
        <v>18.9159</v>
      </c>
      <c r="F954" s="12" t="n">
        <f aca="false">IF(C954="","",B954/C954)</f>
        <v>1022.43605061785</v>
      </c>
      <c r="G954" s="12" t="n">
        <f aca="false">MEDIAN(F944:F964)</f>
        <v>1027.58534589925</v>
      </c>
      <c r="H954" s="13" t="n">
        <f aca="false">B954/G954</f>
        <v>18.7369351624519</v>
      </c>
      <c r="I954" s="14" t="n">
        <f aca="false">B954/Summary!$C$8*100</f>
        <v>192.941247206662</v>
      </c>
      <c r="J954" s="14" t="n">
        <f aca="false">G954/Summary!$E$8*100</f>
        <v>174.64411388719</v>
      </c>
      <c r="K954" s="15" t="n">
        <f aca="false">Summary!$D$9</f>
        <v>16.9374488591431</v>
      </c>
      <c r="L954" s="16" t="str">
        <f aca="false">IF(OR(D954="",E954=""),"edge hidden",IF(AND(H954&gt;=D954-0.02,H954&lt;=E954+0.02),"yes","no"))</f>
        <v>yes</v>
      </c>
    </row>
    <row r="955" customFormat="false" ht="15" hidden="false" customHeight="false" outlineLevel="0" collapsed="false">
      <c r="A955" s="9" t="n">
        <v>45170</v>
      </c>
      <c r="B955" s="10" t="n">
        <v>19435.3</v>
      </c>
      <c r="C955" s="11" t="n">
        <v>18.847</v>
      </c>
      <c r="D955" s="11" t="n">
        <v>18.7545</v>
      </c>
      <c r="E955" s="11" t="n">
        <v>18.9395</v>
      </c>
      <c r="F955" s="12" t="n">
        <f aca="false">IF(C955="","",B955/C955)</f>
        <v>1031.21451689924</v>
      </c>
      <c r="G955" s="12" t="n">
        <f aca="false">MEDIAN(F945:F965)</f>
        <v>1027.6274346295</v>
      </c>
      <c r="H955" s="13" t="n">
        <f aca="false">B955/G955</f>
        <v>18.9127881808714</v>
      </c>
      <c r="I955" s="14" t="n">
        <f aca="false">B955/Summary!$C$8*100</f>
        <v>194.760048501368</v>
      </c>
      <c r="J955" s="14" t="n">
        <f aca="false">G955/Summary!$E$8*100</f>
        <v>174.651267112008</v>
      </c>
      <c r="K955" s="15" t="n">
        <f aca="false">Summary!$D$9</f>
        <v>16.9374488591431</v>
      </c>
      <c r="L955" s="16" t="str">
        <f aca="false">IF(OR(D955="",E955=""),"edge hidden",IF(AND(H955&gt;=D955-0.02,H955&lt;=E955+0.02),"yes","no"))</f>
        <v>yes</v>
      </c>
    </row>
    <row r="956" customFormat="false" ht="15" hidden="false" customHeight="false" outlineLevel="0" collapsed="false">
      <c r="A956" s="9" t="n">
        <v>45173</v>
      </c>
      <c r="B956" s="10" t="n">
        <v>19528.8</v>
      </c>
      <c r="C956" s="11" t="n">
        <v>19.0281</v>
      </c>
      <c r="D956" s="11" t="n">
        <v>18.8884</v>
      </c>
      <c r="E956" s="11" t="n">
        <v>19.1679</v>
      </c>
      <c r="F956" s="12" t="n">
        <f aca="false">IF(C956="","",B956/C956)</f>
        <v>1026.31371497943</v>
      </c>
      <c r="G956" s="12" t="n">
        <f aca="false">MEDIAN(F946:F966)</f>
        <v>1027.67248711137</v>
      </c>
      <c r="H956" s="13" t="n">
        <f aca="false">B956/G956</f>
        <v>19.0029413504028</v>
      </c>
      <c r="I956" s="14" t="n">
        <f aca="false">B956/Summary!$C$8*100</f>
        <v>195.697006744095</v>
      </c>
      <c r="J956" s="14" t="n">
        <f aca="false">G956/Summary!$E$8*100</f>
        <v>174.658924043675</v>
      </c>
      <c r="K956" s="15" t="n">
        <f aca="false">Summary!$D$9</f>
        <v>16.9374488591431</v>
      </c>
      <c r="L956" s="16" t="str">
        <f aca="false">IF(OR(D956="",E956=""),"edge hidden",IF(AND(H956&gt;=D956-0.02,H956&lt;=E956+0.02),"yes","no"))</f>
        <v>yes</v>
      </c>
    </row>
    <row r="957" customFormat="false" ht="15" hidden="false" customHeight="false" outlineLevel="0" collapsed="false">
      <c r="A957" s="9" t="n">
        <v>45174</v>
      </c>
      <c r="B957" s="10" t="n">
        <v>19574.9</v>
      </c>
      <c r="C957" s="11" t="n">
        <v>19.0478</v>
      </c>
      <c r="D957" s="11" t="n">
        <v>18.912</v>
      </c>
      <c r="E957" s="11" t="n">
        <v>19.1836</v>
      </c>
      <c r="F957" s="12" t="n">
        <f aca="false">IF(C957="","",B957/C957)</f>
        <v>1027.67248711137</v>
      </c>
      <c r="G957" s="12" t="n">
        <f aca="false">MEDIAN(F947:F967)</f>
        <v>1027.79847344153</v>
      </c>
      <c r="H957" s="13" t="n">
        <f aca="false">B957/G957</f>
        <v>19.0454651430396</v>
      </c>
      <c r="I957" s="14" t="n">
        <f aca="false">B957/Summary!$C$8*100</f>
        <v>196.158972252007</v>
      </c>
      <c r="J957" s="14" t="n">
        <f aca="false">G957/Summary!$E$8*100</f>
        <v>174.680336154192</v>
      </c>
      <c r="K957" s="15" t="n">
        <f aca="false">Summary!$D$9</f>
        <v>16.9374488591431</v>
      </c>
      <c r="L957" s="16" t="str">
        <f aca="false">IF(OR(D957="",E957=""),"edge hidden",IF(AND(H957&gt;=D957-0.02,H957&lt;=E957+0.02),"yes","no"))</f>
        <v>yes</v>
      </c>
    </row>
    <row r="958" customFormat="false" ht="15" hidden="false" customHeight="false" outlineLevel="0" collapsed="false">
      <c r="A958" s="9" t="n">
        <v>45175</v>
      </c>
      <c r="B958" s="10" t="n">
        <v>19611.05</v>
      </c>
      <c r="C958" s="11" t="n">
        <v>19.0754</v>
      </c>
      <c r="D958" s="11" t="n">
        <v>18.9514</v>
      </c>
      <c r="E958" s="11" t="n">
        <v>19.1994</v>
      </c>
      <c r="F958" s="12" t="n">
        <f aca="false">IF(C958="","",B958/C958)</f>
        <v>1028.08066934376</v>
      </c>
      <c r="G958" s="12" t="n">
        <f aca="false">MEDIAN(F948:F968)</f>
        <v>1027.79847344153</v>
      </c>
      <c r="H958" s="13" t="n">
        <f aca="false">B958/G958</f>
        <v>19.0806374077726</v>
      </c>
      <c r="I958" s="14" t="n">
        <f aca="false">B958/Summary!$C$8*100</f>
        <v>196.521229369382</v>
      </c>
      <c r="J958" s="14" t="n">
        <f aca="false">G958/Summary!$E$8*100</f>
        <v>174.680336154192</v>
      </c>
      <c r="K958" s="15" t="n">
        <f aca="false">Summary!$D$9</f>
        <v>16.9374488591431</v>
      </c>
      <c r="L958" s="16" t="str">
        <f aca="false">IF(OR(D958="",E958=""),"edge hidden",IF(AND(H958&gt;=D958-0.02,H958&lt;=E958+0.02),"yes","no"))</f>
        <v>yes</v>
      </c>
    </row>
    <row r="959" customFormat="false" ht="15" hidden="false" customHeight="false" outlineLevel="0" collapsed="false">
      <c r="A959" s="9" t="n">
        <v>45176</v>
      </c>
      <c r="B959" s="10" t="n">
        <v>19727.05</v>
      </c>
      <c r="C959" s="11" t="n">
        <v>19.1935</v>
      </c>
      <c r="D959" s="11" t="n">
        <v>19.0065</v>
      </c>
      <c r="E959" s="11" t="n">
        <v>19.3805</v>
      </c>
      <c r="F959" s="12" t="n">
        <f aca="false">IF(C959="","",B959/C959)</f>
        <v>1027.79847344153</v>
      </c>
      <c r="G959" s="12" t="n">
        <f aca="false">MEDIAN(F949:F969)</f>
        <v>1027.79847344153</v>
      </c>
      <c r="H959" s="13" t="n">
        <f aca="false">B959/G959</f>
        <v>19.1935</v>
      </c>
      <c r="I959" s="14" t="n">
        <f aca="false">B959/Summary!$C$8*100</f>
        <v>197.68365884699</v>
      </c>
      <c r="J959" s="14" t="n">
        <f aca="false">G959/Summary!$E$8*100</f>
        <v>174.680336154192</v>
      </c>
      <c r="K959" s="15" t="n">
        <f aca="false">Summary!$D$9</f>
        <v>16.9374488591431</v>
      </c>
      <c r="L959" s="16" t="str">
        <f aca="false">IF(OR(D959="",E959=""),"edge hidden",IF(AND(H959&gt;=D959-0.02,H959&lt;=E959+0.02),"yes","no"))</f>
        <v>yes</v>
      </c>
    </row>
    <row r="960" customFormat="false" ht="15" hidden="false" customHeight="false" outlineLevel="0" collapsed="false">
      <c r="A960" s="9" t="n">
        <v>45177</v>
      </c>
      <c r="B960" s="10" t="n">
        <v>19819.95</v>
      </c>
      <c r="C960" s="11" t="n">
        <v>19.221</v>
      </c>
      <c r="D960" s="11" t="n">
        <v>19.0458</v>
      </c>
      <c r="E960" s="11" t="n">
        <v>19.3962</v>
      </c>
      <c r="F960" s="12" t="n">
        <f aca="false">IF(C960="","",B960/C960)</f>
        <v>1031.16122990479</v>
      </c>
      <c r="G960" s="12" t="n">
        <f aca="false">MEDIAN(F950:F970)</f>
        <v>1028.08066934376</v>
      </c>
      <c r="H960" s="13" t="n">
        <f aca="false">B960/G960</f>
        <v>19.2785941716532</v>
      </c>
      <c r="I960" s="14" t="n">
        <f aca="false">B960/Summary!$C$8*100</f>
        <v>198.614604523454</v>
      </c>
      <c r="J960" s="14" t="n">
        <f aca="false">G960/Summary!$E$8*100</f>
        <v>174.728296991201</v>
      </c>
      <c r="K960" s="15" t="n">
        <f aca="false">Summary!$D$9</f>
        <v>16.9374488591431</v>
      </c>
      <c r="L960" s="16" t="str">
        <f aca="false">IF(OR(D960="",E960=""),"edge hidden",IF(AND(H960&gt;=D960-0.02,H960&lt;=E960+0.02),"yes","no"))</f>
        <v>yes</v>
      </c>
    </row>
    <row r="961" customFormat="false" ht="15" hidden="false" customHeight="false" outlineLevel="0" collapsed="false">
      <c r="A961" s="9" t="n">
        <v>45180</v>
      </c>
      <c r="B961" s="10" t="n">
        <v>19996.35</v>
      </c>
      <c r="C961" s="11" t="n">
        <v>19.3706</v>
      </c>
      <c r="D961" s="11" t="n">
        <v>19.1876</v>
      </c>
      <c r="E961" s="11" t="n">
        <v>19.5537</v>
      </c>
      <c r="F961" s="12" t="n">
        <f aca="false">IF(C961="","",B961/C961)</f>
        <v>1032.3041103528</v>
      </c>
      <c r="G961" s="12" t="n">
        <f aca="false">MEDIAN(F951:F971)</f>
        <v>1030.23987598109</v>
      </c>
      <c r="H961" s="13" t="n">
        <f aca="false">B961/G961</f>
        <v>19.4094117944694</v>
      </c>
      <c r="I961" s="14" t="n">
        <f aca="false">B961/Summary!$C$8*100</f>
        <v>200.38229900492</v>
      </c>
      <c r="J961" s="14" t="n">
        <f aca="false">G961/Summary!$E$8*100</f>
        <v>175.095266733793</v>
      </c>
      <c r="K961" s="15" t="n">
        <f aca="false">Summary!$D$9</f>
        <v>16.9374488591431</v>
      </c>
      <c r="L961" s="16" t="str">
        <f aca="false">IF(OR(D961="",E961=""),"edge hidden",IF(AND(H961&gt;=D961-0.02,H961&lt;=E961+0.02),"yes","no"))</f>
        <v>yes</v>
      </c>
    </row>
    <row r="962" customFormat="false" ht="15" hidden="false" customHeight="false" outlineLevel="0" collapsed="false">
      <c r="A962" s="9" t="n">
        <v>45181</v>
      </c>
      <c r="B962" s="10" t="n">
        <v>19993.2</v>
      </c>
      <c r="C962" s="11" t="n">
        <v>19.3943</v>
      </c>
      <c r="D962" s="11" t="n">
        <v>19.1954</v>
      </c>
      <c r="E962" s="11" t="n">
        <v>19.5931</v>
      </c>
      <c r="F962" s="12" t="n">
        <f aca="false">IF(C962="","",B962/C962)</f>
        <v>1030.88020707115</v>
      </c>
      <c r="G962" s="12" t="n">
        <f aca="false">MEDIAN(F952:F972)</f>
        <v>1030.88020707115</v>
      </c>
      <c r="H962" s="13" t="n">
        <f aca="false">B962/G962</f>
        <v>19.3943</v>
      </c>
      <c r="I962" s="14" t="n">
        <f aca="false">B962/Summary!$C$8*100</f>
        <v>200.350733032037</v>
      </c>
      <c r="J962" s="14" t="n">
        <f aca="false">G962/Summary!$E$8*100</f>
        <v>175.204094731646</v>
      </c>
      <c r="K962" s="15" t="n">
        <f aca="false">Summary!$D$9</f>
        <v>16.9374488591431</v>
      </c>
      <c r="L962" s="16" t="str">
        <f aca="false">IF(OR(D962="",E962=""),"edge hidden",IF(AND(H962&gt;=D962-0.02,H962&lt;=E962+0.02),"yes","no"))</f>
        <v>yes</v>
      </c>
    </row>
    <row r="963" customFormat="false" ht="15" hidden="false" customHeight="false" outlineLevel="0" collapsed="false">
      <c r="A963" s="9" t="n">
        <v>45182</v>
      </c>
      <c r="B963" s="10" t="n">
        <v>20070</v>
      </c>
      <c r="C963" s="11" t="n">
        <v>19.4809</v>
      </c>
      <c r="D963" s="11" t="n">
        <v>19.3529</v>
      </c>
      <c r="E963" s="11" t="n">
        <v>19.6088</v>
      </c>
      <c r="F963" s="12" t="n">
        <f aca="false">IF(C963="","",B963/C963)</f>
        <v>1030.23987598109</v>
      </c>
      <c r="G963" s="12" t="n">
        <f aca="false">MEDIAN(F953:F973)</f>
        <v>1031.10798805946</v>
      </c>
      <c r="H963" s="13" t="n">
        <f aca="false">B963/G963</f>
        <v>19.4644986096672</v>
      </c>
      <c r="I963" s="14" t="n">
        <f aca="false">B963/Summary!$C$8*100</f>
        <v>201.120341513764</v>
      </c>
      <c r="J963" s="14" t="n">
        <f aca="false">G963/Summary!$E$8*100</f>
        <v>175.242807437138</v>
      </c>
      <c r="K963" s="15" t="n">
        <f aca="false">Summary!$D$9</f>
        <v>16.9374488591431</v>
      </c>
      <c r="L963" s="16" t="str">
        <f aca="false">IF(OR(D963="",E963=""),"edge hidden",IF(AND(H963&gt;=D963-0.02,H963&lt;=E963+0.02),"yes","no"))</f>
        <v>yes</v>
      </c>
    </row>
    <row r="964" customFormat="false" ht="15" hidden="false" customHeight="false" outlineLevel="0" collapsed="false">
      <c r="A964" s="9" t="n">
        <v>45183</v>
      </c>
      <c r="B964" s="10" t="n">
        <v>20103.1</v>
      </c>
      <c r="C964" s="11" t="n">
        <v>19.4966</v>
      </c>
      <c r="D964" s="11" t="n">
        <v>19.3844</v>
      </c>
      <c r="E964" s="11" t="n">
        <v>19.6088</v>
      </c>
      <c r="F964" s="12" t="n">
        <f aca="false">IF(C964="","",B964/C964)</f>
        <v>1031.10798805946</v>
      </c>
      <c r="G964" s="12" t="n">
        <f aca="false">MEDIAN(F954:F974)</f>
        <v>1031.16122990479</v>
      </c>
      <c r="H964" s="13" t="n">
        <f aca="false">B964/G964</f>
        <v>19.4955933339892</v>
      </c>
      <c r="I964" s="14" t="n">
        <f aca="false">B964/Summary!$C$8*100</f>
        <v>201.452034752633</v>
      </c>
      <c r="J964" s="14" t="n">
        <f aca="false">G964/Summary!$E$8*100</f>
        <v>175.251856198817</v>
      </c>
      <c r="K964" s="15" t="n">
        <f aca="false">Summary!$D$9</f>
        <v>16.9374488591431</v>
      </c>
      <c r="L964" s="16" t="str">
        <f aca="false">IF(OR(D964="",E964=""),"edge hidden",IF(AND(H964&gt;=D964-0.02,H964&lt;=E964+0.02),"yes","no"))</f>
        <v>yes</v>
      </c>
    </row>
    <row r="965" customFormat="false" ht="15" hidden="false" customHeight="false" outlineLevel="0" collapsed="false">
      <c r="A965" s="9" t="n">
        <v>45184</v>
      </c>
      <c r="B965" s="10" t="n">
        <v>20192.35</v>
      </c>
      <c r="C965" s="11" t="n">
        <v>19.5045</v>
      </c>
      <c r="D965" s="11" t="n">
        <v>19.4002</v>
      </c>
      <c r="E965" s="11" t="n">
        <v>19.6088</v>
      </c>
      <c r="F965" s="12" t="n">
        <f aca="false">IF(C965="","",B965/C965)</f>
        <v>1035.26622061576</v>
      </c>
      <c r="G965" s="12" t="n">
        <f aca="false">MEDIAN(F955:F975)</f>
        <v>1031.21451689924</v>
      </c>
      <c r="H965" s="13" t="n">
        <f aca="false">B965/G965</f>
        <v>19.5811343508976</v>
      </c>
      <c r="I965" s="14" t="n">
        <f aca="false">B965/Summary!$C$8*100</f>
        <v>202.346403984327</v>
      </c>
      <c r="J965" s="14" t="n">
        <f aca="false">G965/Summary!$E$8*100</f>
        <v>175.260912633852</v>
      </c>
      <c r="K965" s="15" t="n">
        <f aca="false">Summary!$D$9</f>
        <v>16.9374488591431</v>
      </c>
      <c r="L965" s="16" t="str">
        <f aca="false">IF(OR(D965="",E965=""),"edge hidden",IF(AND(H965&gt;=D965-0.02,H965&lt;=E965+0.02),"yes","no"))</f>
        <v>yes</v>
      </c>
    </row>
    <row r="966" customFormat="false" ht="15" hidden="false" customHeight="false" outlineLevel="0" collapsed="false">
      <c r="A966" s="9" t="n">
        <v>45187</v>
      </c>
      <c r="B966" s="10" t="n">
        <v>20133.3</v>
      </c>
      <c r="C966" s="11" t="n">
        <v>19.3195</v>
      </c>
      <c r="D966" s="11" t="n">
        <v>19.0537</v>
      </c>
      <c r="E966" s="11" t="n">
        <v>19.5852</v>
      </c>
      <c r="F966" s="12" t="n">
        <f aca="false">IF(C966="","",B966/C966)</f>
        <v>1042.12324335516</v>
      </c>
      <c r="G966" s="12" t="n">
        <f aca="false">MEDIAN(F956:F976)</f>
        <v>1031.80215678142</v>
      </c>
      <c r="H966" s="13" t="n">
        <f aca="false">B966/G966</f>
        <v>19.5127523892791</v>
      </c>
      <c r="I966" s="14" t="n">
        <f aca="false">B966/Summary!$C$8*100</f>
        <v>201.754667254562</v>
      </c>
      <c r="J966" s="14" t="n">
        <f aca="false">G966/Summary!$E$8*100</f>
        <v>175.360785454068</v>
      </c>
      <c r="K966" s="15" t="n">
        <f aca="false">Summary!$D$9</f>
        <v>16.9374488591431</v>
      </c>
      <c r="L966" s="16" t="str">
        <f aca="false">IF(OR(D966="",E966=""),"edge hidden",IF(AND(H966&gt;=D966-0.02,H966&lt;=E966+0.02),"yes","no"))</f>
        <v>yes</v>
      </c>
    </row>
    <row r="967" customFormat="false" ht="15" hidden="false" customHeight="false" outlineLevel="0" collapsed="false">
      <c r="A967" s="9" t="n">
        <v>45189</v>
      </c>
      <c r="B967" s="10" t="n">
        <v>19901.4</v>
      </c>
      <c r="C967" s="11" t="n">
        <v>19.288</v>
      </c>
      <c r="D967" s="11" t="n">
        <v>19.0222</v>
      </c>
      <c r="E967" s="11" t="n">
        <v>19.5537</v>
      </c>
      <c r="F967" s="12" t="n">
        <f aca="false">IF(C967="","",B967/C967)</f>
        <v>1031.80215678142</v>
      </c>
      <c r="G967" s="12" t="n">
        <f aca="false">MEDIAN(F957:F977)</f>
        <v>1032.2329080729</v>
      </c>
      <c r="H967" s="13" t="n">
        <f aca="false">B967/G967</f>
        <v>19.2799511082769</v>
      </c>
      <c r="I967" s="14" t="n">
        <f aca="false">B967/Summary!$C$8*100</f>
        <v>199.430810393723</v>
      </c>
      <c r="J967" s="14" t="n">
        <f aca="false">G967/Summary!$E$8*100</f>
        <v>175.433994144622</v>
      </c>
      <c r="K967" s="15" t="n">
        <f aca="false">Summary!$D$9</f>
        <v>16.9374488591431</v>
      </c>
      <c r="L967" s="16" t="str">
        <f aca="false">IF(OR(D967="",E967=""),"edge hidden",IF(AND(H967&gt;=D967-0.02,H967&lt;=E967+0.02),"yes","no"))</f>
        <v>yes</v>
      </c>
    </row>
    <row r="968" customFormat="false" ht="15" hidden="false" customHeight="false" outlineLevel="0" collapsed="false">
      <c r="A968" s="9" t="n">
        <v>45190</v>
      </c>
      <c r="B968" s="10" t="n">
        <v>19742.35</v>
      </c>
      <c r="C968" s="11" t="n">
        <v>19.2525</v>
      </c>
      <c r="D968" s="11" t="n">
        <v>19.0065</v>
      </c>
      <c r="E968" s="11" t="n">
        <v>19.4986</v>
      </c>
      <c r="F968" s="12" t="n">
        <f aca="false">IF(C968="","",B968/C968)</f>
        <v>1025.44344890274</v>
      </c>
      <c r="G968" s="12" t="n">
        <f aca="false">MEDIAN(F958:F978)</f>
        <v>1032.3041103528</v>
      </c>
      <c r="H968" s="13" t="n">
        <f aca="false">B968/G968</f>
        <v>19.1245484755968</v>
      </c>
      <c r="I968" s="14" t="n">
        <f aca="false">B968/Summary!$C$8*100</f>
        <v>197.836979286709</v>
      </c>
      <c r="J968" s="14" t="n">
        <f aca="false">G968/Summary!$E$8*100</f>
        <v>175.446095386753</v>
      </c>
      <c r="K968" s="15" t="n">
        <f aca="false">Summary!$D$9</f>
        <v>16.9374488591431</v>
      </c>
      <c r="L968" s="16" t="str">
        <f aca="false">IF(OR(D968="",E968=""),"edge hidden",IF(AND(H968&gt;=D968-0.02,H968&lt;=E968+0.02),"yes","no"))</f>
        <v>yes</v>
      </c>
    </row>
    <row r="969" customFormat="false" ht="15" hidden="false" customHeight="false" outlineLevel="0" collapsed="false">
      <c r="A969" s="9" t="n">
        <v>45191</v>
      </c>
      <c r="B969" s="10" t="n">
        <v>19674.25</v>
      </c>
      <c r="C969" s="11" t="n">
        <v>19.1423</v>
      </c>
      <c r="D969" s="11" t="n">
        <v>18.9907</v>
      </c>
      <c r="E969" s="11" t="n">
        <v>19.2939</v>
      </c>
      <c r="F969" s="12" t="n">
        <f aca="false">IF(C969="","",B969/C969)</f>
        <v>1027.78924162718</v>
      </c>
      <c r="G969" s="12" t="n">
        <f aca="false">MEDIAN(F959:F979)</f>
        <v>1035.26622061576</v>
      </c>
      <c r="H969" s="13" t="n">
        <f aca="false">B969/G969</f>
        <v>19.0040490148497</v>
      </c>
      <c r="I969" s="14" t="n">
        <f aca="false">B969/Summary!$C$8*100</f>
        <v>197.154553015803</v>
      </c>
      <c r="J969" s="14" t="n">
        <f aca="false">G969/Summary!$E$8*100</f>
        <v>175.949523276391</v>
      </c>
      <c r="K969" s="15" t="n">
        <f aca="false">Summary!$D$9</f>
        <v>16.9374488591431</v>
      </c>
      <c r="L969" s="16" t="str">
        <f aca="false">IF(OR(D969="",E969=""),"edge hidden",IF(AND(H969&gt;=D969-0.02,H969&lt;=E969+0.02),"yes","no"))</f>
        <v>yes</v>
      </c>
    </row>
    <row r="970" customFormat="false" ht="15" hidden="false" customHeight="false" outlineLevel="0" collapsed="false">
      <c r="A970" s="9" t="n">
        <v>45194</v>
      </c>
      <c r="B970" s="10" t="n">
        <v>19674.55</v>
      </c>
      <c r="C970" s="11" t="n">
        <v>18.9336</v>
      </c>
      <c r="D970" s="11" t="n">
        <v>18.849</v>
      </c>
      <c r="E970" s="11" t="n">
        <v>19.0183</v>
      </c>
      <c r="F970" s="12" t="n">
        <f aca="false">IF(C970="","",B970/C970)</f>
        <v>1039.13413191364</v>
      </c>
      <c r="G970" s="12" t="n">
        <f aca="false">MEDIAN(F960:F980)</f>
        <v>1035.73684517838</v>
      </c>
      <c r="H970" s="13" t="n">
        <f aca="false">B970/G970</f>
        <v>18.9957034854848</v>
      </c>
      <c r="I970" s="14" t="n">
        <f aca="false">B970/Summary!$C$8*100</f>
        <v>197.157559298935</v>
      </c>
      <c r="J970" s="14" t="n">
        <f aca="false">G970/Summary!$E$8*100</f>
        <v>176.029508661587</v>
      </c>
      <c r="K970" s="15" t="n">
        <f aca="false">Summary!$D$9</f>
        <v>16.9374488591431</v>
      </c>
      <c r="L970" s="16" t="str">
        <f aca="false">IF(OR(D970="",E970=""),"edge hidden",IF(AND(H970&gt;=D970-0.02,H970&lt;=E970+0.02),"yes","no"))</f>
        <v>yes</v>
      </c>
    </row>
    <row r="971" customFormat="false" ht="15" hidden="false" customHeight="false" outlineLevel="0" collapsed="false">
      <c r="A971" s="9" t="n">
        <v>45195</v>
      </c>
      <c r="B971" s="10" t="n">
        <v>19664.7</v>
      </c>
      <c r="C971" s="11" t="n">
        <v>18.9218</v>
      </c>
      <c r="D971" s="11" t="n">
        <v>18.8332</v>
      </c>
      <c r="E971" s="11" t="n">
        <v>19.0104</v>
      </c>
      <c r="F971" s="12" t="n">
        <f aca="false">IF(C971="","",B971/C971)</f>
        <v>1039.26159244892</v>
      </c>
      <c r="G971" s="12" t="n">
        <f aca="false">MEDIAN(F961:F981)</f>
        <v>1036.23277263882</v>
      </c>
      <c r="H971" s="13" t="n">
        <f aca="false">B971/G971</f>
        <v>18.9771068038341</v>
      </c>
      <c r="I971" s="14" t="n">
        <f aca="false">B971/Summary!$C$8*100</f>
        <v>197.058853002776</v>
      </c>
      <c r="J971" s="14" t="n">
        <f aca="false">G971/Summary!$E$8*100</f>
        <v>176.113794421623</v>
      </c>
      <c r="K971" s="15" t="n">
        <f aca="false">Summary!$D$9</f>
        <v>16.9374488591431</v>
      </c>
      <c r="L971" s="16" t="str">
        <f aca="false">IF(OR(D971="",E971=""),"edge hidden",IF(AND(H971&gt;=D971-0.02,H971&lt;=E971+0.02),"yes","no"))</f>
        <v>yes</v>
      </c>
    </row>
    <row r="972" customFormat="false" ht="15" hidden="false" customHeight="false" outlineLevel="0" collapsed="false">
      <c r="A972" s="9" t="n">
        <v>45196</v>
      </c>
      <c r="B972" s="10" t="n">
        <v>19716.45</v>
      </c>
      <c r="C972" s="11" t="n">
        <v>18.9218</v>
      </c>
      <c r="D972" s="11" t="n">
        <v>18.8332</v>
      </c>
      <c r="E972" s="11" t="n">
        <v>19.0104</v>
      </c>
      <c r="F972" s="12" t="n">
        <f aca="false">IF(C972="","",B972/C972)</f>
        <v>1041.99653309939</v>
      </c>
      <c r="G972" s="12" t="n">
        <f aca="false">MEDIAN(F962:F982)</f>
        <v>1039.13413191364</v>
      </c>
      <c r="H972" s="13" t="n">
        <f aca="false">B972/G972</f>
        <v>18.9739220322701</v>
      </c>
      <c r="I972" s="14" t="n">
        <f aca="false">B972/Summary!$C$8*100</f>
        <v>197.577436843002</v>
      </c>
      <c r="J972" s="14" t="n">
        <f aca="false">G972/Summary!$E$8*100</f>
        <v>176.606897327032</v>
      </c>
      <c r="K972" s="15" t="n">
        <f aca="false">Summary!$D$9</f>
        <v>16.9374488591431</v>
      </c>
      <c r="L972" s="16" t="str">
        <f aca="false">IF(OR(D972="",E972=""),"edge hidden",IF(AND(H972&gt;=D972-0.02,H972&lt;=E972+0.02),"yes","no"))</f>
        <v>yes</v>
      </c>
    </row>
    <row r="973" customFormat="false" ht="15" hidden="false" customHeight="false" outlineLevel="0" collapsed="false">
      <c r="A973" s="9" t="n">
        <v>45197</v>
      </c>
      <c r="B973" s="10" t="n">
        <v>19523.55</v>
      </c>
      <c r="C973" s="11" t="n">
        <v>18.9139</v>
      </c>
      <c r="D973" s="11" t="n">
        <v>18.8254</v>
      </c>
      <c r="E973" s="11" t="n">
        <v>19.0025</v>
      </c>
      <c r="F973" s="12" t="n">
        <f aca="false">IF(C973="","",B973/C973)</f>
        <v>1032.2329080729</v>
      </c>
      <c r="G973" s="12" t="n">
        <f aca="false">MEDIAN(F963:F983)</f>
        <v>1039.26159244892</v>
      </c>
      <c r="H973" s="13" t="n">
        <f aca="false">B973/G973</f>
        <v>18.7859824146821</v>
      </c>
      <c r="I973" s="14" t="n">
        <f aca="false">B973/Summary!$C$8*100</f>
        <v>195.64439678929</v>
      </c>
      <c r="J973" s="14" t="n">
        <f aca="false">G973/Summary!$E$8*100</f>
        <v>176.628559987296</v>
      </c>
      <c r="K973" s="15" t="n">
        <f aca="false">Summary!$D$9</f>
        <v>16.9374488591431</v>
      </c>
      <c r="L973" s="16" t="str">
        <f aca="false">IF(OR(D973="",E973=""),"edge hidden",IF(AND(H973&gt;=D973-0.02,H973&lt;=E973+0.02),"yes","no"))</f>
        <v>no</v>
      </c>
    </row>
    <row r="974" customFormat="false" ht="15" hidden="false" customHeight="false" outlineLevel="0" collapsed="false">
      <c r="A974" s="9" t="n">
        <v>45198</v>
      </c>
      <c r="B974" s="10" t="n">
        <v>19638.3</v>
      </c>
      <c r="C974" s="11" t="n">
        <v>18.8785</v>
      </c>
      <c r="D974" s="11" t="n">
        <v>18.7781</v>
      </c>
      <c r="E974" s="11" t="n">
        <v>18.9789</v>
      </c>
      <c r="F974" s="12" t="n">
        <f aca="false">IF(C974="","",B974/C974)</f>
        <v>1040.24684164526</v>
      </c>
      <c r="G974" s="12" t="n">
        <f aca="false">MEDIAN(F964:F984)</f>
        <v>1040.24684164526</v>
      </c>
      <c r="H974" s="13" t="n">
        <f aca="false">B974/G974</f>
        <v>18.8785</v>
      </c>
      <c r="I974" s="14" t="n">
        <f aca="false">B974/Summary!$C$8*100</f>
        <v>196.794300087182</v>
      </c>
      <c r="J974" s="14" t="n">
        <f aca="false">G974/Summary!$E$8*100</f>
        <v>176.796008826012</v>
      </c>
      <c r="K974" s="15" t="n">
        <f aca="false">Summary!$D$9</f>
        <v>16.9374488591431</v>
      </c>
      <c r="L974" s="16" t="str">
        <f aca="false">IF(OR(D974="",E974=""),"edge hidden",IF(AND(H974&gt;=D974-0.02,H974&lt;=E974+0.02),"yes","no"))</f>
        <v>yes</v>
      </c>
    </row>
    <row r="975" customFormat="false" ht="15" hidden="false" customHeight="false" outlineLevel="0" collapsed="false">
      <c r="A975" s="9" t="n">
        <v>45202</v>
      </c>
      <c r="B975" s="10" t="n">
        <v>19528.75</v>
      </c>
      <c r="C975" s="11" t="n">
        <v>18.7565</v>
      </c>
      <c r="D975" s="11" t="n">
        <v>18.6521</v>
      </c>
      <c r="E975" s="11" t="n">
        <v>18.8608</v>
      </c>
      <c r="F975" s="12" t="n">
        <f aca="false">IF(C975="","",B975/C975)</f>
        <v>1041.17239357023</v>
      </c>
      <c r="G975" s="12" t="n">
        <f aca="false">MEDIAN(F965:F985)</f>
        <v>1041.17239357023</v>
      </c>
      <c r="H975" s="13" t="n">
        <f aca="false">B975/G975</f>
        <v>18.7565</v>
      </c>
      <c r="I975" s="14" t="n">
        <f aca="false">B975/Summary!$C$8*100</f>
        <v>195.696505696907</v>
      </c>
      <c r="J975" s="14" t="n">
        <f aca="false">G975/Summary!$E$8*100</f>
        <v>176.9533117658</v>
      </c>
      <c r="K975" s="15" t="n">
        <f aca="false">Summary!$D$9</f>
        <v>16.9374488591431</v>
      </c>
      <c r="L975" s="16" t="str">
        <f aca="false">IF(OR(D975="",E975=""),"edge hidden",IF(AND(H975&gt;=D975-0.02,H975&lt;=E975+0.02),"yes","no"))</f>
        <v>yes</v>
      </c>
    </row>
    <row r="976" customFormat="false" ht="15" hidden="false" customHeight="false" outlineLevel="0" collapsed="false">
      <c r="A976" s="9" t="n">
        <v>45203</v>
      </c>
      <c r="B976" s="10" t="n">
        <v>19436.1</v>
      </c>
      <c r="C976" s="11" t="n">
        <v>18.7565</v>
      </c>
      <c r="D976" s="11" t="n">
        <v>18.6521</v>
      </c>
      <c r="E976" s="11" t="n">
        <v>18.8608</v>
      </c>
      <c r="F976" s="12" t="n">
        <f aca="false">IF(C976="","",B976/C976)</f>
        <v>1036.23277263882</v>
      </c>
      <c r="G976" s="12" t="n">
        <f aca="false">MEDIAN(F966:F986)</f>
        <v>1041.8621138142</v>
      </c>
      <c r="H976" s="13" t="n">
        <f aca="false">B976/G976</f>
        <v>18.6551557469015</v>
      </c>
      <c r="I976" s="14" t="n">
        <f aca="false">B976/Summary!$C$8*100</f>
        <v>194.768065256386</v>
      </c>
      <c r="J976" s="14" t="n">
        <f aca="false">G976/Summary!$E$8*100</f>
        <v>177.070533737989</v>
      </c>
      <c r="K976" s="15" t="n">
        <f aca="false">Summary!$D$9</f>
        <v>16.9374488591431</v>
      </c>
      <c r="L976" s="16" t="str">
        <f aca="false">IF(OR(D976="",E976=""),"edge hidden",IF(AND(H976&gt;=D976-0.02,H976&lt;=E976+0.02),"yes","no"))</f>
        <v>yes</v>
      </c>
    </row>
    <row r="977" customFormat="false" ht="15" hidden="false" customHeight="false" outlineLevel="0" collapsed="false">
      <c r="A977" s="9" t="n">
        <v>45204</v>
      </c>
      <c r="B977" s="10" t="n">
        <v>19545.75</v>
      </c>
      <c r="C977" s="11" t="n">
        <v>18.7604</v>
      </c>
      <c r="D977" s="11" t="n">
        <v>18.66</v>
      </c>
      <c r="E977" s="11" t="n">
        <v>18.8608</v>
      </c>
      <c r="F977" s="12" t="n">
        <f aca="false">IF(C977="","",B977/C977)</f>
        <v>1041.8621138142</v>
      </c>
      <c r="G977" s="12" t="n">
        <f aca="false">MEDIAN(F967:F987)</f>
        <v>1041.8621138142</v>
      </c>
      <c r="H977" s="13" t="n">
        <f aca="false">B977/G977</f>
        <v>18.7604</v>
      </c>
      <c r="I977" s="14" t="n">
        <f aca="false">B977/Summary!$C$8*100</f>
        <v>195.866861741039</v>
      </c>
      <c r="J977" s="14" t="n">
        <f aca="false">G977/Summary!$E$8*100</f>
        <v>177.070533737989</v>
      </c>
      <c r="K977" s="15" t="n">
        <f aca="false">Summary!$D$9</f>
        <v>16.9374488591431</v>
      </c>
      <c r="L977" s="16" t="str">
        <f aca="false">IF(OR(D977="",E977=""),"edge hidden",IF(AND(H977&gt;=D977-0.02,H977&lt;=E977+0.02),"yes","no"))</f>
        <v>yes</v>
      </c>
    </row>
    <row r="978" customFormat="false" ht="15" hidden="false" customHeight="false" outlineLevel="0" collapsed="false">
      <c r="A978" s="9" t="n">
        <v>45205</v>
      </c>
      <c r="B978" s="10" t="n">
        <v>19653.5</v>
      </c>
      <c r="C978" s="11" t="n">
        <v>18.7722</v>
      </c>
      <c r="D978" s="11" t="n">
        <v>18.6679</v>
      </c>
      <c r="E978" s="11" t="n">
        <v>18.8765</v>
      </c>
      <c r="F978" s="12" t="n">
        <f aca="false">IF(C978="","",B978/C978)</f>
        <v>1046.94708132238</v>
      </c>
      <c r="G978" s="12" t="n">
        <f aca="false">MEDIAN(F968:F988)</f>
        <v>1041.99653309939</v>
      </c>
      <c r="H978" s="13" t="n">
        <f aca="false">B978/G978</f>
        <v>18.8613871310505</v>
      </c>
      <c r="I978" s="14" t="n">
        <f aca="false">B978/Summary!$C$8*100</f>
        <v>196.946618432524</v>
      </c>
      <c r="J978" s="14" t="n">
        <f aca="false">G978/Summary!$E$8*100</f>
        <v>177.093379078324</v>
      </c>
      <c r="K978" s="15" t="n">
        <f aca="false">Summary!$D$9</f>
        <v>16.9374488591431</v>
      </c>
      <c r="L978" s="16" t="str">
        <f aca="false">IF(OR(D978="",E978=""),"edge hidden",IF(AND(H978&gt;=D978-0.02,H978&lt;=E978+0.02),"yes","no"))</f>
        <v>yes</v>
      </c>
    </row>
    <row r="979" customFormat="false" ht="15" hidden="false" customHeight="false" outlineLevel="0" collapsed="false">
      <c r="A979" s="9" t="n">
        <v>45208</v>
      </c>
      <c r="B979" s="10" t="n">
        <v>19512.35</v>
      </c>
      <c r="C979" s="11" t="n">
        <v>18.8391</v>
      </c>
      <c r="D979" s="11" t="n">
        <v>18.7151</v>
      </c>
      <c r="E979" s="11" t="n">
        <v>18.9632</v>
      </c>
      <c r="F979" s="12" t="n">
        <f aca="false">IF(C979="","",B979/C979)</f>
        <v>1035.73684517838</v>
      </c>
      <c r="G979" s="12" t="n">
        <f aca="false">MEDIAN(F969:F989)</f>
        <v>1044.49896557212</v>
      </c>
      <c r="H979" s="13" t="n">
        <f aca="false">B979/G979</f>
        <v>18.6810620624332</v>
      </c>
      <c r="I979" s="14" t="n">
        <f aca="false">B979/Summary!$C$8*100</f>
        <v>195.532162219038</v>
      </c>
      <c r="J979" s="14" t="n">
        <f aca="false">G979/Summary!$E$8*100</f>
        <v>177.518682050487</v>
      </c>
      <c r="K979" s="15" t="n">
        <f aca="false">Summary!$D$9</f>
        <v>16.9374488591431</v>
      </c>
      <c r="L979" s="16" t="str">
        <f aca="false">IF(OR(D979="",E979=""),"edge hidden",IF(AND(H979&gt;=D979-0.02,H979&lt;=E979+0.02),"yes","no"))</f>
        <v>no</v>
      </c>
    </row>
    <row r="980" customFormat="false" ht="15" hidden="false" customHeight="false" outlineLevel="0" collapsed="false">
      <c r="A980" s="9" t="n">
        <v>45209</v>
      </c>
      <c r="B980" s="10" t="n">
        <v>19689.85</v>
      </c>
      <c r="C980" s="11" t="n">
        <v>18.851</v>
      </c>
      <c r="D980" s="11" t="n">
        <v>18.7309</v>
      </c>
      <c r="E980" s="11" t="n">
        <v>18.971</v>
      </c>
      <c r="F980" s="12" t="n">
        <f aca="false">IF(C980="","",B980/C980)</f>
        <v>1044.49896557212</v>
      </c>
      <c r="G980" s="12" t="n">
        <f aca="false">MEDIAN(F970:F990)</f>
        <v>1046.94708132238</v>
      </c>
      <c r="H980" s="13" t="n">
        <f aca="false">B980/G980</f>
        <v>18.8069199974559</v>
      </c>
      <c r="I980" s="14" t="n">
        <f aca="false">B980/Summary!$C$8*100</f>
        <v>197.310879738654</v>
      </c>
      <c r="J980" s="14" t="n">
        <f aca="false">G980/Summary!$E$8*100</f>
        <v>177.934753579343</v>
      </c>
      <c r="K980" s="15" t="n">
        <f aca="false">Summary!$D$9</f>
        <v>16.9374488591431</v>
      </c>
      <c r="L980" s="16" t="str">
        <f aca="false">IF(OR(D980="",E980=""),"edge hidden",IF(AND(H980&gt;=D980-0.02,H980&lt;=E980+0.02),"yes","no"))</f>
        <v>yes</v>
      </c>
    </row>
    <row r="981" customFormat="false" ht="15" hidden="false" customHeight="false" outlineLevel="0" collapsed="false">
      <c r="A981" s="9" t="n">
        <v>45210</v>
      </c>
      <c r="B981" s="10" t="n">
        <v>19811.35</v>
      </c>
      <c r="C981" s="11" t="n">
        <v>18.851</v>
      </c>
      <c r="D981" s="11" t="n">
        <v>18.7309</v>
      </c>
      <c r="E981" s="11" t="n">
        <v>18.971</v>
      </c>
      <c r="F981" s="12" t="n">
        <f aca="false">IF(C981="","",B981/C981)</f>
        <v>1050.94424698955</v>
      </c>
      <c r="G981" s="12" t="n">
        <f aca="false">MEDIAN(F971:F991)</f>
        <v>1046.94708132238</v>
      </c>
      <c r="H981" s="13" t="n">
        <f aca="false">B981/G981</f>
        <v>18.9229717083471</v>
      </c>
      <c r="I981" s="14" t="n">
        <f aca="false">B981/Summary!$C$8*100</f>
        <v>198.528424407011</v>
      </c>
      <c r="J981" s="14" t="n">
        <f aca="false">G981/Summary!$E$8*100</f>
        <v>177.934753579343</v>
      </c>
      <c r="K981" s="15" t="n">
        <f aca="false">Summary!$D$9</f>
        <v>16.9374488591431</v>
      </c>
      <c r="L981" s="16" t="str">
        <f aca="false">IF(OR(D981="",E981=""),"edge hidden",IF(AND(H981&gt;=D981-0.02,H981&lt;=E981+0.02),"yes","no"))</f>
        <v>yes</v>
      </c>
    </row>
    <row r="982" customFormat="false" ht="15" hidden="false" customHeight="false" outlineLevel="0" collapsed="false">
      <c r="A982" s="9" t="n">
        <v>45211</v>
      </c>
      <c r="B982" s="10" t="n">
        <v>19794</v>
      </c>
      <c r="C982" s="11" t="n">
        <v>18.8588</v>
      </c>
      <c r="D982" s="11" t="n">
        <v>18.7466</v>
      </c>
      <c r="E982" s="11" t="n">
        <v>18.971</v>
      </c>
      <c r="F982" s="12" t="n">
        <f aca="false">IF(C982="","",B982/C982)</f>
        <v>1049.58958152162</v>
      </c>
      <c r="G982" s="12" t="n">
        <f aca="false">MEDIAN(F972:F992)</f>
        <v>1047.96784634159</v>
      </c>
      <c r="H982" s="13" t="n">
        <f aca="false">B982/G982</f>
        <v>18.8879840818589</v>
      </c>
      <c r="I982" s="14" t="n">
        <f aca="false">B982/Summary!$C$8*100</f>
        <v>198.354561032558</v>
      </c>
      <c r="J982" s="14" t="n">
        <f aca="false">G982/Summary!$E$8*100</f>
        <v>178.10823853899</v>
      </c>
      <c r="K982" s="15" t="n">
        <f aca="false">Summary!$D$9</f>
        <v>16.9374488591431</v>
      </c>
      <c r="L982" s="16" t="str">
        <f aca="false">IF(OR(D982="",E982=""),"edge hidden",IF(AND(H982&gt;=D982-0.02,H982&lt;=E982+0.02),"yes","no"))</f>
        <v>yes</v>
      </c>
    </row>
    <row r="983" customFormat="false" ht="15" hidden="false" customHeight="false" outlineLevel="0" collapsed="false">
      <c r="A983" s="9" t="n">
        <v>45212</v>
      </c>
      <c r="B983" s="10" t="n">
        <v>19751.05</v>
      </c>
      <c r="C983" s="11" t="n">
        <v>18.847</v>
      </c>
      <c r="D983" s="11" t="n">
        <v>18.7388</v>
      </c>
      <c r="E983" s="11" t="n">
        <v>18.9553</v>
      </c>
      <c r="F983" s="12" t="n">
        <f aca="false">IF(C983="","",B983/C983)</f>
        <v>1047.96784634159</v>
      </c>
      <c r="G983" s="12" t="n">
        <f aca="false">MEDIAN(F973:F993)</f>
        <v>1049.58958152162</v>
      </c>
      <c r="H983" s="13" t="n">
        <f aca="false">B983/G983</f>
        <v>18.817879243205</v>
      </c>
      <c r="I983" s="14" t="n">
        <f aca="false">B983/Summary!$C$8*100</f>
        <v>197.92416149753</v>
      </c>
      <c r="J983" s="14" t="n">
        <f aca="false">G983/Summary!$E$8*100</f>
        <v>178.38386187734</v>
      </c>
      <c r="K983" s="15" t="n">
        <f aca="false">Summary!$D$9</f>
        <v>16.9374488591431</v>
      </c>
      <c r="L983" s="16" t="str">
        <f aca="false">IF(OR(D983="",E983=""),"edge hidden",IF(AND(H983&gt;=D983-0.02,H983&lt;=E983+0.02),"yes","no"))</f>
        <v>yes</v>
      </c>
    </row>
    <row r="984" customFormat="false" ht="15" hidden="false" customHeight="false" outlineLevel="0" collapsed="false">
      <c r="A984" s="9" t="n">
        <v>45215</v>
      </c>
      <c r="B984" s="10" t="n">
        <v>19731.75</v>
      </c>
      <c r="C984" s="11" t="n">
        <v>18.7328</v>
      </c>
      <c r="D984" s="11" t="n">
        <v>18.5734</v>
      </c>
      <c r="E984" s="11" t="n">
        <v>18.8923</v>
      </c>
      <c r="F984" s="12" t="n">
        <f aca="false">IF(C984="","",B984/C984)</f>
        <v>1053.32625128118</v>
      </c>
      <c r="G984" s="12" t="n">
        <f aca="false">MEDIAN(F974:F994)</f>
        <v>1050.94424698955</v>
      </c>
      <c r="H984" s="13" t="n">
        <f aca="false">B984/G984</f>
        <v>18.7752585891421</v>
      </c>
      <c r="I984" s="14" t="n">
        <f aca="false">B984/Summary!$C$8*100</f>
        <v>197.730757282721</v>
      </c>
      <c r="J984" s="14" t="n">
        <f aca="false">G984/Summary!$E$8*100</f>
        <v>178.614095162783</v>
      </c>
      <c r="K984" s="15" t="n">
        <f aca="false">Summary!$D$9</f>
        <v>16.9374488591431</v>
      </c>
      <c r="L984" s="16" t="str">
        <f aca="false">IF(OR(D984="",E984=""),"edge hidden",IF(AND(H984&gt;=D984-0.02,H984&lt;=E984+0.02),"yes","no"))</f>
        <v>yes</v>
      </c>
    </row>
    <row r="985" customFormat="false" ht="15" hidden="false" customHeight="false" outlineLevel="0" collapsed="false">
      <c r="A985" s="9" t="n">
        <v>45216</v>
      </c>
      <c r="B985" s="10" t="n">
        <v>19811.5</v>
      </c>
      <c r="C985" s="11" t="n">
        <v>18.7014</v>
      </c>
      <c r="D985" s="11" t="n">
        <v>18.5262</v>
      </c>
      <c r="E985" s="11" t="n">
        <v>18.8765</v>
      </c>
      <c r="F985" s="12" t="n">
        <f aca="false">IF(C985="","",B985/C985)</f>
        <v>1059.35919235993</v>
      </c>
      <c r="G985" s="12" t="n">
        <f aca="false">MEDIAN(F975:F995)</f>
        <v>1050.94424698955</v>
      </c>
      <c r="H985" s="13" t="n">
        <f aca="false">B985/G985</f>
        <v>18.8511427287893</v>
      </c>
      <c r="I985" s="14" t="n">
        <f aca="false">B985/Summary!$C$8*100</f>
        <v>198.529927548577</v>
      </c>
      <c r="J985" s="14" t="n">
        <f aca="false">G985/Summary!$E$8*100</f>
        <v>178.614095162783</v>
      </c>
      <c r="K985" s="15" t="n">
        <f aca="false">Summary!$D$9</f>
        <v>16.9374488591431</v>
      </c>
      <c r="L985" s="16" t="str">
        <f aca="false">IF(OR(D985="",E985=""),"edge hidden",IF(AND(H985&gt;=D985-0.02,H985&lt;=E985+0.02),"yes","no"))</f>
        <v>yes</v>
      </c>
    </row>
    <row r="986" customFormat="false" ht="15" hidden="false" customHeight="false" outlineLevel="0" collapsed="false">
      <c r="A986" s="9" t="n">
        <v>45217</v>
      </c>
      <c r="B986" s="10" t="n">
        <v>19671.1</v>
      </c>
      <c r="C986" s="11" t="n">
        <v>18.6541</v>
      </c>
      <c r="D986" s="11" t="n">
        <v>18.4789</v>
      </c>
      <c r="E986" s="11" t="n">
        <v>18.8293</v>
      </c>
      <c r="F986" s="12" t="n">
        <f aca="false">IF(C986="","",B986/C986)</f>
        <v>1054.51884572292</v>
      </c>
      <c r="G986" s="12" t="n">
        <f aca="false">MEDIAN(F976:F996)</f>
        <v>1050.94424698955</v>
      </c>
      <c r="H986" s="13" t="n">
        <f aca="false">B986/G986</f>
        <v>18.7175485819997</v>
      </c>
      <c r="I986" s="14" t="n">
        <f aca="false">B986/Summary!$C$8*100</f>
        <v>197.12298704292</v>
      </c>
      <c r="J986" s="14" t="n">
        <f aca="false">G986/Summary!$E$8*100</f>
        <v>178.614095162783</v>
      </c>
      <c r="K986" s="15" t="n">
        <f aca="false">Summary!$D$9</f>
        <v>16.9374488591431</v>
      </c>
      <c r="L986" s="16" t="str">
        <f aca="false">IF(OR(D986="",E986=""),"edge hidden",IF(AND(H986&gt;=D986-0.02,H986&lt;=E986+0.02),"yes","no"))</f>
        <v>yes</v>
      </c>
    </row>
    <row r="987" customFormat="false" ht="15" hidden="false" customHeight="false" outlineLevel="0" collapsed="false">
      <c r="A987" s="9" t="n">
        <v>45218</v>
      </c>
      <c r="B987" s="10" t="n">
        <v>19624.7</v>
      </c>
      <c r="C987" s="11" t="n">
        <v>18.5321</v>
      </c>
      <c r="D987" s="11" t="n">
        <v>18.2821</v>
      </c>
      <c r="E987" s="11" t="n">
        <v>18.7821</v>
      </c>
      <c r="F987" s="12" t="n">
        <f aca="false">IF(C987="","",B987/C987)</f>
        <v>1058.95716081826</v>
      </c>
      <c r="G987" s="12" t="n">
        <f aca="false">MEDIAN(F977:F997)</f>
        <v>1053.32625128118</v>
      </c>
      <c r="H987" s="13" t="n">
        <f aca="false">B987/G987</f>
        <v>18.6311695698557</v>
      </c>
      <c r="I987" s="14" t="n">
        <f aca="false">B987/Summary!$C$8*100</f>
        <v>196.658015251876</v>
      </c>
      <c r="J987" s="14" t="n">
        <f aca="false">G987/Summary!$E$8*100</f>
        <v>179.01893066423</v>
      </c>
      <c r="K987" s="15" t="n">
        <f aca="false">Summary!$D$9</f>
        <v>16.9374488591431</v>
      </c>
      <c r="L987" s="16" t="str">
        <f aca="false">IF(OR(D987="",E987=""),"edge hidden",IF(AND(H987&gt;=D987-0.02,H987&lt;=E987+0.02),"yes","no"))</f>
        <v>yes</v>
      </c>
    </row>
    <row r="988" customFormat="false" ht="15" hidden="false" customHeight="false" outlineLevel="0" collapsed="false">
      <c r="A988" s="9" t="n">
        <v>45219</v>
      </c>
      <c r="B988" s="10" t="n">
        <v>19542.65</v>
      </c>
      <c r="C988" s="11" t="n">
        <v>18.4691</v>
      </c>
      <c r="D988" s="11" t="n">
        <v>18.2506</v>
      </c>
      <c r="E988" s="11" t="n">
        <v>18.6876</v>
      </c>
      <c r="F988" s="12" t="n">
        <f aca="false">IF(C988="","",B988/C988)</f>
        <v>1058.12681722445</v>
      </c>
      <c r="G988" s="12" t="n">
        <f aca="false">MEDIAN(F978:F998)</f>
        <v>1053.32625128118</v>
      </c>
      <c r="H988" s="13" t="n">
        <f aca="false">B988/G988</f>
        <v>18.5532734765036</v>
      </c>
      <c r="I988" s="14" t="n">
        <f aca="false">B988/Summary!$C$8*100</f>
        <v>195.835796815344</v>
      </c>
      <c r="J988" s="14" t="n">
        <f aca="false">G988/Summary!$E$8*100</f>
        <v>179.01893066423</v>
      </c>
      <c r="K988" s="15" t="n">
        <f aca="false">Summary!$D$9</f>
        <v>16.9374488591431</v>
      </c>
      <c r="L988" s="16" t="str">
        <f aca="false">IF(OR(D988="",E988=""),"edge hidden",IF(AND(H988&gt;=D988-0.02,H988&lt;=E988+0.02),"yes","no"))</f>
        <v>yes</v>
      </c>
    </row>
    <row r="989" customFormat="false" ht="15" hidden="false" customHeight="false" outlineLevel="0" collapsed="false">
      <c r="A989" s="9" t="n">
        <v>45222</v>
      </c>
      <c r="B989" s="10" t="n">
        <v>19281.75</v>
      </c>
      <c r="C989" s="11" t="n">
        <v>18.1777</v>
      </c>
      <c r="D989" s="11" t="n">
        <v>17.8569</v>
      </c>
      <c r="E989" s="11" t="n">
        <v>18.4986</v>
      </c>
      <c r="F989" s="12" t="n">
        <f aca="false">IF(C989="","",B989/C989)</f>
        <v>1060.73650681879</v>
      </c>
      <c r="G989" s="12" t="n">
        <f aca="false">MEDIAN(F979:F999)</f>
        <v>1053.32625128118</v>
      </c>
      <c r="H989" s="13" t="n">
        <f aca="false">B989/G989</f>
        <v>18.3055819377399</v>
      </c>
      <c r="I989" s="14" t="n">
        <f aca="false">B989/Summary!$C$8*100</f>
        <v>193.221332585103</v>
      </c>
      <c r="J989" s="14" t="n">
        <f aca="false">G989/Summary!$E$8*100</f>
        <v>179.01893066423</v>
      </c>
      <c r="K989" s="15" t="n">
        <f aca="false">Summary!$D$9</f>
        <v>16.9374488591431</v>
      </c>
      <c r="L989" s="16" t="str">
        <f aca="false">IF(OR(D989="",E989=""),"edge hidden",IF(AND(H989&gt;=D989-0.02,H989&lt;=E989+0.02),"yes","no"))</f>
        <v>yes</v>
      </c>
    </row>
    <row r="990" customFormat="false" ht="15" hidden="false" customHeight="false" outlineLevel="0" collapsed="false">
      <c r="A990" s="9" t="n">
        <v>45224</v>
      </c>
      <c r="B990" s="10" t="n">
        <v>19122.15</v>
      </c>
      <c r="C990" s="11" t="n">
        <v>18.0793</v>
      </c>
      <c r="D990" s="11" t="n">
        <v>17.8411</v>
      </c>
      <c r="E990" s="11" t="n">
        <v>18.3175</v>
      </c>
      <c r="F990" s="12" t="n">
        <f aca="false">IF(C990="","",B990/C990)</f>
        <v>1057.68198990005</v>
      </c>
      <c r="G990" s="12" t="n">
        <f aca="false">MEDIAN(F980:F1000)</f>
        <v>1053.32625128118</v>
      </c>
      <c r="H990" s="13" t="n">
        <f aca="false">B990/G990</f>
        <v>18.1540619316584</v>
      </c>
      <c r="I990" s="14" t="n">
        <f aca="false">B990/Summary!$C$8*100</f>
        <v>191.621989959014</v>
      </c>
      <c r="J990" s="14" t="n">
        <f aca="false">G990/Summary!$E$8*100</f>
        <v>179.01893066423</v>
      </c>
      <c r="K990" s="15" t="n">
        <f aca="false">Summary!$D$9</f>
        <v>16.9374488591431</v>
      </c>
      <c r="L990" s="16" t="str">
        <f aca="false">IF(OR(D990="",E990=""),"edge hidden",IF(AND(H990&gt;=D990-0.02,H990&lt;=E990+0.02),"yes","no"))</f>
        <v>yes</v>
      </c>
    </row>
    <row r="991" customFormat="false" ht="15" hidden="false" customHeight="false" outlineLevel="0" collapsed="false">
      <c r="A991" s="9" t="n">
        <v>45225</v>
      </c>
      <c r="B991" s="10" t="n">
        <v>18857.25</v>
      </c>
      <c r="C991" s="11" t="n">
        <v>18.0281</v>
      </c>
      <c r="D991" s="11" t="n">
        <v>17.8411</v>
      </c>
      <c r="E991" s="11" t="n">
        <v>18.2151</v>
      </c>
      <c r="F991" s="12" t="n">
        <f aca="false">IF(C991="","",B991/C991)</f>
        <v>1045.99209012597</v>
      </c>
      <c r="G991" s="12" t="n">
        <f aca="false">MEDIAN(F981:F1001)</f>
        <v>1053.32625128118</v>
      </c>
      <c r="H991" s="13" t="n">
        <f aca="false">B991/G991</f>
        <v>17.9025728990079</v>
      </c>
      <c r="I991" s="14" t="n">
        <f aca="false">B991/Summary!$C$8*100</f>
        <v>188.967441953683</v>
      </c>
      <c r="J991" s="14" t="n">
        <f aca="false">G991/Summary!$E$8*100</f>
        <v>179.01893066423</v>
      </c>
      <c r="K991" s="15" t="n">
        <f aca="false">Summary!$D$9</f>
        <v>16.9374488591431</v>
      </c>
      <c r="L991" s="16" t="str">
        <f aca="false">IF(OR(D991="",E991=""),"edge hidden",IF(AND(H991&gt;=D991-0.02,H991&lt;=E991+0.02),"yes","no"))</f>
        <v>yes</v>
      </c>
    </row>
    <row r="992" customFormat="false" ht="15" hidden="false" customHeight="false" outlineLevel="0" collapsed="false">
      <c r="A992" s="9" t="n">
        <v>45226</v>
      </c>
      <c r="B992" s="10" t="n">
        <v>19047.25</v>
      </c>
      <c r="C992" s="11" t="n">
        <v>17.9888</v>
      </c>
      <c r="D992" s="11" t="n">
        <v>17.849</v>
      </c>
      <c r="E992" s="11" t="n">
        <v>18.1285</v>
      </c>
      <c r="F992" s="12" t="n">
        <f aca="false">IF(C992="","",B992/C992)</f>
        <v>1058.83938895313</v>
      </c>
      <c r="G992" s="12" t="n">
        <f aca="false">MEDIAN(F982:F1002)</f>
        <v>1053.32625128118</v>
      </c>
      <c r="H992" s="13" t="n">
        <f aca="false">B992/G992</f>
        <v>18.0829538586289</v>
      </c>
      <c r="I992" s="14" t="n">
        <f aca="false">B992/Summary!$C$8*100</f>
        <v>190.871421270455</v>
      </c>
      <c r="J992" s="14" t="n">
        <f aca="false">G992/Summary!$E$8*100</f>
        <v>179.01893066423</v>
      </c>
      <c r="K992" s="15" t="n">
        <f aca="false">Summary!$D$9</f>
        <v>16.9374488591431</v>
      </c>
      <c r="L992" s="16" t="str">
        <f aca="false">IF(OR(D992="",E992=""),"edge hidden",IF(AND(H992&gt;=D992-0.02,H992&lt;=E992+0.02),"yes","no"))</f>
        <v>yes</v>
      </c>
    </row>
    <row r="993" customFormat="false" ht="15" hidden="false" customHeight="false" outlineLevel="0" collapsed="false">
      <c r="A993" s="9" t="n">
        <v>45229</v>
      </c>
      <c r="B993" s="10" t="n">
        <v>19140.9</v>
      </c>
      <c r="C993" s="11" t="n">
        <v>18.099</v>
      </c>
      <c r="D993" s="11" t="n">
        <v>17.9277</v>
      </c>
      <c r="E993" s="11" t="n">
        <v>18.2702</v>
      </c>
      <c r="F993" s="12" t="n">
        <f aca="false">IF(C993="","",B993/C993)</f>
        <v>1057.56671639317</v>
      </c>
      <c r="G993" s="12" t="n">
        <f aca="false">MEDIAN(F983:F1003)</f>
        <v>1053.32625128118</v>
      </c>
      <c r="H993" s="13" t="n">
        <f aca="false">B993/G993</f>
        <v>18.1718626842525</v>
      </c>
      <c r="I993" s="14" t="n">
        <f aca="false">B993/Summary!$C$8*100</f>
        <v>191.809882654748</v>
      </c>
      <c r="J993" s="14" t="n">
        <f aca="false">G993/Summary!$E$8*100</f>
        <v>179.01893066423</v>
      </c>
      <c r="K993" s="15" t="n">
        <f aca="false">Summary!$D$9</f>
        <v>16.9374488591431</v>
      </c>
      <c r="L993" s="16" t="str">
        <f aca="false">IF(OR(D993="",E993=""),"edge hidden",IF(AND(H993&gt;=D993-0.02,H993&lt;=E993+0.02),"yes","no"))</f>
        <v>yes</v>
      </c>
    </row>
    <row r="994" customFormat="false" ht="15" hidden="false" customHeight="false" outlineLevel="0" collapsed="false">
      <c r="A994" s="9" t="n">
        <v>45230</v>
      </c>
      <c r="B994" s="10" t="n">
        <v>19079.6</v>
      </c>
      <c r="C994" s="11" t="n">
        <v>18.1108</v>
      </c>
      <c r="D994" s="11" t="n">
        <v>17.9356</v>
      </c>
      <c r="E994" s="11" t="n">
        <v>18.286</v>
      </c>
      <c r="F994" s="12" t="n">
        <f aca="false">IF(C994="","",B994/C994)</f>
        <v>1053.49294343707</v>
      </c>
      <c r="G994" s="12" t="n">
        <f aca="false">MEDIAN(F984:F1004)</f>
        <v>1053.49294343707</v>
      </c>
      <c r="H994" s="13" t="n">
        <f aca="false">B994/G994</f>
        <v>18.1108</v>
      </c>
      <c r="I994" s="14" t="n">
        <f aca="false">B994/Summary!$C$8*100</f>
        <v>191.195598801495</v>
      </c>
      <c r="J994" s="14" t="n">
        <f aca="false">G994/Summary!$E$8*100</f>
        <v>179.047260966889</v>
      </c>
      <c r="K994" s="15" t="n">
        <f aca="false">Summary!$D$9</f>
        <v>16.9374488591431</v>
      </c>
      <c r="L994" s="16" t="str">
        <f aca="false">IF(OR(D994="",E994=""),"edge hidden",IF(AND(H994&gt;=D994-0.02,H994&lt;=E994+0.02),"yes","no"))</f>
        <v>yes</v>
      </c>
    </row>
    <row r="995" customFormat="false" ht="15" hidden="false" customHeight="false" outlineLevel="0" collapsed="false">
      <c r="A995" s="9" t="n">
        <v>45231</v>
      </c>
      <c r="B995" s="10" t="n">
        <v>18989.15</v>
      </c>
      <c r="C995" s="11" t="n">
        <v>18.1265</v>
      </c>
      <c r="D995" s="11" t="n">
        <v>17.9356</v>
      </c>
      <c r="E995" s="11" t="n">
        <v>18.3175</v>
      </c>
      <c r="F995" s="12" t="n">
        <f aca="false">IF(C995="","",B995/C995)</f>
        <v>1047.59054423082</v>
      </c>
      <c r="G995" s="12" t="n">
        <f aca="false">MEDIAN(F985:F1005)</f>
        <v>1054.26875065102</v>
      </c>
      <c r="H995" s="13" t="n">
        <f aca="false">B995/G995</f>
        <v>18.0116786998326</v>
      </c>
      <c r="I995" s="14" t="n">
        <f aca="false">B995/Summary!$C$8*100</f>
        <v>190.289204437274</v>
      </c>
      <c r="J995" s="14" t="n">
        <f aca="false">G995/Summary!$E$8*100</f>
        <v>179.17911392097</v>
      </c>
      <c r="K995" s="15" t="n">
        <f aca="false">Summary!$D$9</f>
        <v>16.9374488591431</v>
      </c>
      <c r="L995" s="16" t="str">
        <f aca="false">IF(OR(D995="",E995=""),"edge hidden",IF(AND(H995&gt;=D995-0.02,H995&lt;=E995+0.02),"yes","no"))</f>
        <v>yes</v>
      </c>
    </row>
    <row r="996" customFormat="false" ht="15" hidden="false" customHeight="false" outlineLevel="0" collapsed="false">
      <c r="A996" s="9" t="n">
        <v>45232</v>
      </c>
      <c r="B996" s="10" t="n">
        <v>19133.25</v>
      </c>
      <c r="C996" s="11" t="n">
        <v>18.221</v>
      </c>
      <c r="D996" s="11" t="n">
        <v>17.9435</v>
      </c>
      <c r="E996" s="11" t="n">
        <v>18.4986</v>
      </c>
      <c r="F996" s="12" t="n">
        <f aca="false">IF(C996="","",B996/C996)</f>
        <v>1050.06585807585</v>
      </c>
      <c r="G996" s="12" t="n">
        <f aca="false">MEDIAN(F986:F1006)</f>
        <v>1054.26875065102</v>
      </c>
      <c r="H996" s="13" t="n">
        <f aca="false">B996/G996</f>
        <v>18.1483611158778</v>
      </c>
      <c r="I996" s="14" t="n">
        <f aca="false">B996/Summary!$C$8*100</f>
        <v>191.733222434889</v>
      </c>
      <c r="J996" s="14" t="n">
        <f aca="false">G996/Summary!$E$8*100</f>
        <v>179.17911392097</v>
      </c>
      <c r="K996" s="15" t="n">
        <f aca="false">Summary!$D$9</f>
        <v>16.9374488591431</v>
      </c>
      <c r="L996" s="16" t="str">
        <f aca="false">IF(OR(D996="",E996=""),"edge hidden",IF(AND(H996&gt;=D996-0.02,H996&lt;=E996+0.02),"yes","no"))</f>
        <v>yes</v>
      </c>
    </row>
    <row r="997" customFormat="false" ht="15" hidden="false" customHeight="false" outlineLevel="0" collapsed="false">
      <c r="A997" s="9" t="n">
        <v>45233</v>
      </c>
      <c r="B997" s="10" t="n">
        <v>19230.6</v>
      </c>
      <c r="C997" s="11" t="n">
        <v>18.2407</v>
      </c>
      <c r="D997" s="11" t="n">
        <v>17.9592</v>
      </c>
      <c r="E997" s="11" t="n">
        <v>18.5222</v>
      </c>
      <c r="F997" s="12" t="n">
        <f aca="false">IF(C997="","",B997/C997)</f>
        <v>1054.26875065102</v>
      </c>
      <c r="G997" s="12" t="n">
        <f aca="false">MEDIAN(F987:F1007)</f>
        <v>1053.52127744938</v>
      </c>
      <c r="H997" s="13" t="n">
        <f aca="false">B997/G997</f>
        <v>18.2536417741444</v>
      </c>
      <c r="I997" s="14" t="n">
        <f aca="false">B997/Summary!$C$8*100</f>
        <v>192.70876131114</v>
      </c>
      <c r="J997" s="14" t="n">
        <f aca="false">G997/Summary!$E$8*100</f>
        <v>179.052076497291</v>
      </c>
      <c r="K997" s="15" t="n">
        <f aca="false">Summary!$D$9</f>
        <v>16.9374488591431</v>
      </c>
      <c r="L997" s="16" t="str">
        <f aca="false">IF(OR(D997="",E997=""),"edge hidden",IF(AND(H997&gt;=D997-0.02,H997&lt;=E997+0.02),"yes","no"))</f>
        <v>yes</v>
      </c>
    </row>
    <row r="998" customFormat="false" ht="15" hidden="false" customHeight="false" outlineLevel="0" collapsed="false">
      <c r="A998" s="9" t="n">
        <v>45236</v>
      </c>
      <c r="B998" s="10" t="n">
        <v>19411.75</v>
      </c>
      <c r="C998" s="11" t="n">
        <v>18.4297</v>
      </c>
      <c r="D998" s="11" t="n">
        <v>18.3057</v>
      </c>
      <c r="E998" s="11" t="n">
        <v>18.5537</v>
      </c>
      <c r="F998" s="12" t="n">
        <f aca="false">IF(C998="","",B998/C998)</f>
        <v>1053.28627161592</v>
      </c>
      <c r="G998" s="12" t="n">
        <f aca="false">MEDIAN(F988:F1008)</f>
        <v>1053.52127744938</v>
      </c>
      <c r="H998" s="13" t="n">
        <f aca="false">B998/G998</f>
        <v>18.4255889420636</v>
      </c>
      <c r="I998" s="14" t="n">
        <f aca="false">B998/Summary!$C$8*100</f>
        <v>194.524055275526</v>
      </c>
      <c r="J998" s="14" t="n">
        <f aca="false">G998/Summary!$E$8*100</f>
        <v>179.052076497291</v>
      </c>
      <c r="K998" s="15" t="n">
        <f aca="false">Summary!$D$9</f>
        <v>16.9374488591431</v>
      </c>
      <c r="L998" s="16" t="str">
        <f aca="false">IF(OR(D998="",E998=""),"edge hidden",IF(AND(H998&gt;=D998-0.02,H998&lt;=E998+0.02),"yes","no"))</f>
        <v>yes</v>
      </c>
    </row>
    <row r="999" customFormat="false" ht="15" hidden="false" customHeight="false" outlineLevel="0" collapsed="false">
      <c r="A999" s="9" t="n">
        <v>45237</v>
      </c>
      <c r="B999" s="10" t="n">
        <v>19406.7</v>
      </c>
      <c r="C999" s="11" t="n">
        <v>18.4651</v>
      </c>
      <c r="D999" s="11" t="n">
        <v>18.3687</v>
      </c>
      <c r="E999" s="11" t="n">
        <v>18.5616</v>
      </c>
      <c r="F999" s="12" t="n">
        <f aca="false">IF(C999="","",B999/C999)</f>
        <v>1050.99349583809</v>
      </c>
      <c r="G999" s="12" t="n">
        <f aca="false">MEDIAN(F989:F1009)</f>
        <v>1053.52127744938</v>
      </c>
      <c r="H999" s="13" t="n">
        <f aca="false">B999/G999</f>
        <v>18.4207954935513</v>
      </c>
      <c r="I999" s="14" t="n">
        <f aca="false">B999/Summary!$C$8*100</f>
        <v>194.473449509475</v>
      </c>
      <c r="J999" s="14" t="n">
        <f aca="false">G999/Summary!$E$8*100</f>
        <v>179.052076497291</v>
      </c>
      <c r="K999" s="15" t="n">
        <f aca="false">Summary!$D$9</f>
        <v>16.9374488591431</v>
      </c>
      <c r="L999" s="16" t="str">
        <f aca="false">IF(OR(D999="",E999=""),"edge hidden",IF(AND(H999&gt;=D999-0.02,H999&lt;=E999+0.02),"yes","no"))</f>
        <v>yes</v>
      </c>
    </row>
    <row r="1000" customFormat="false" ht="15" hidden="false" customHeight="false" outlineLevel="0" collapsed="false">
      <c r="A1000" s="9" t="n">
        <v>45238</v>
      </c>
      <c r="B1000" s="10" t="n">
        <v>19443.5</v>
      </c>
      <c r="C1000" s="11" t="n">
        <v>18.5163</v>
      </c>
      <c r="D1000" s="11" t="n">
        <v>18.471</v>
      </c>
      <c r="E1000" s="11" t="n">
        <v>18.5616</v>
      </c>
      <c r="F1000" s="12" t="n">
        <f aca="false">IF(C1000="","",B1000/C1000)</f>
        <v>1050.07479896092</v>
      </c>
      <c r="G1000" s="12" t="n">
        <f aca="false">MEDIAN(F990:F1010)</f>
        <v>1053.52127744938</v>
      </c>
      <c r="H1000" s="13" t="n">
        <f aca="false">B1000/G1000</f>
        <v>18.4557259698385</v>
      </c>
      <c r="I1000" s="14" t="n">
        <f aca="false">B1000/Summary!$C$8*100</f>
        <v>194.842220240302</v>
      </c>
      <c r="J1000" s="14" t="n">
        <f aca="false">G1000/Summary!$E$8*100</f>
        <v>179.052076497291</v>
      </c>
      <c r="K1000" s="15" t="n">
        <f aca="false">Summary!$D$9</f>
        <v>16.9374488591431</v>
      </c>
      <c r="L1000" s="16" t="str">
        <f aca="false">IF(OR(D1000="",E1000=""),"edge hidden",IF(AND(H1000&gt;=D1000-0.02,H1000&lt;=E1000+0.02),"yes","no"))</f>
        <v>yes</v>
      </c>
    </row>
    <row r="1001" customFormat="false" ht="15" hidden="false" customHeight="false" outlineLevel="0" collapsed="false">
      <c r="A1001" s="9" t="n">
        <v>45239</v>
      </c>
      <c r="B1001" s="10" t="n">
        <v>19395.3</v>
      </c>
      <c r="C1001" s="11" t="n">
        <v>18.5321</v>
      </c>
      <c r="D1001" s="11" t="n">
        <v>18.4947</v>
      </c>
      <c r="E1001" s="11" t="n">
        <v>18.5695</v>
      </c>
      <c r="F1001" s="12" t="n">
        <f aca="false">IF(C1001="","",B1001/C1001)</f>
        <v>1046.57863922599</v>
      </c>
      <c r="G1001" s="12" t="n">
        <f aca="false">MEDIAN(F991:F1011)</f>
        <v>1053.52127744938</v>
      </c>
      <c r="H1001" s="13" t="n">
        <f aca="false">B1001/G1001</f>
        <v>18.4099746394841</v>
      </c>
      <c r="I1001" s="14" t="n">
        <f aca="false">B1001/Summary!$C$8*100</f>
        <v>194.359210750468</v>
      </c>
      <c r="J1001" s="14" t="n">
        <f aca="false">G1001/Summary!$E$8*100</f>
        <v>179.052076497291</v>
      </c>
      <c r="K1001" s="15" t="n">
        <f aca="false">Summary!$D$9</f>
        <v>16.9374488591431</v>
      </c>
      <c r="L1001" s="16" t="str">
        <f aca="false">IF(OR(D1001="",E1001=""),"edge hidden",IF(AND(H1001&gt;=D1001-0.02,H1001&lt;=E1001+0.02),"yes","no"))</f>
        <v>no</v>
      </c>
    </row>
    <row r="1002" customFormat="false" ht="15" hidden="false" customHeight="false" outlineLevel="0" collapsed="false">
      <c r="A1002" s="9" t="n">
        <v>45240</v>
      </c>
      <c r="B1002" s="10" t="n">
        <v>19425.35</v>
      </c>
      <c r="C1002" s="11" t="n">
        <v>18.536</v>
      </c>
      <c r="D1002" s="11" t="n">
        <v>18.4947</v>
      </c>
      <c r="E1002" s="11" t="n">
        <v>18.5773</v>
      </c>
      <c r="F1002" s="12" t="n">
        <f aca="false">IF(C1002="","",B1002/C1002)</f>
        <v>1047.97960725076</v>
      </c>
      <c r="G1002" s="12" t="n">
        <f aca="false">MEDIAN(F992:F1012)</f>
        <v>1053.52127744938</v>
      </c>
      <c r="H1002" s="13" t="n">
        <f aca="false">B1002/G1002</f>
        <v>18.4384980311262</v>
      </c>
      <c r="I1002" s="14" t="n">
        <f aca="false">B1002/Summary!$C$8*100</f>
        <v>194.660340110832</v>
      </c>
      <c r="J1002" s="14" t="n">
        <f aca="false">G1002/Summary!$E$8*100</f>
        <v>179.052076497291</v>
      </c>
      <c r="K1002" s="15" t="n">
        <f aca="false">Summary!$D$9</f>
        <v>16.9374488591431</v>
      </c>
      <c r="L1002" s="16" t="str">
        <f aca="false">IF(OR(D1002="",E1002=""),"edge hidden",IF(AND(H1002&gt;=D1002-0.02,H1002&lt;=E1002+0.02),"yes","no"))</f>
        <v>no</v>
      </c>
    </row>
    <row r="1003" customFormat="false" ht="15" hidden="false" customHeight="false" outlineLevel="0" collapsed="false">
      <c r="A1003" s="9" t="n">
        <v>45243</v>
      </c>
      <c r="B1003" s="10" t="n">
        <v>19443.55</v>
      </c>
      <c r="C1003" s="11" t="n">
        <v>18.6226</v>
      </c>
      <c r="D1003" s="11" t="n">
        <v>18.4789</v>
      </c>
      <c r="E1003" s="11" t="n">
        <v>18.7663</v>
      </c>
      <c r="F1003" s="12" t="n">
        <f aca="false">IF(C1003="","",B1003/C1003)</f>
        <v>1044.08353291162</v>
      </c>
      <c r="G1003" s="12" t="n">
        <f aca="false">MEDIAN(F993:F1013)</f>
        <v>1053.52127744938</v>
      </c>
      <c r="H1003" s="13" t="n">
        <f aca="false">B1003/G1003</f>
        <v>18.4557734297248</v>
      </c>
      <c r="I1003" s="14" t="n">
        <f aca="false">B1003/Summary!$C$8*100</f>
        <v>194.842721287491</v>
      </c>
      <c r="J1003" s="14" t="n">
        <f aca="false">G1003/Summary!$E$8*100</f>
        <v>179.052076497291</v>
      </c>
      <c r="K1003" s="15" t="n">
        <f aca="false">Summary!$D$9</f>
        <v>16.9374488591431</v>
      </c>
      <c r="L1003" s="16" t="str">
        <f aca="false">IF(OR(D1003="",E1003=""),"edge hidden",IF(AND(H1003&gt;=D1003-0.02,H1003&lt;=E1003+0.02),"yes","no"))</f>
        <v>no</v>
      </c>
    </row>
    <row r="1004" customFormat="false" ht="15" hidden="false" customHeight="false" outlineLevel="0" collapsed="false">
      <c r="A1004" s="9" t="n">
        <v>45245</v>
      </c>
      <c r="B1004" s="10" t="n">
        <v>19675.45</v>
      </c>
      <c r="C1004" s="11" t="n">
        <v>18.6305</v>
      </c>
      <c r="D1004" s="11" t="n">
        <v>18.4868</v>
      </c>
      <c r="E1004" s="11" t="n">
        <v>18.7742</v>
      </c>
      <c r="F1004" s="12" t="n">
        <f aca="false">IF(C1004="","",B1004/C1004)</f>
        <v>1056.08813504737</v>
      </c>
      <c r="G1004" s="12" t="n">
        <f aca="false">MEDIAN(F994:F1014)</f>
        <v>1053.52127744938</v>
      </c>
      <c r="H1004" s="13" t="n">
        <f aca="false">B1004/G1004</f>
        <v>18.6758923821976</v>
      </c>
      <c r="I1004" s="14" t="n">
        <f aca="false">B1004/Summary!$C$8*100</f>
        <v>197.16657814833</v>
      </c>
      <c r="J1004" s="14" t="n">
        <f aca="false">G1004/Summary!$E$8*100</f>
        <v>179.052076497291</v>
      </c>
      <c r="K1004" s="15" t="n">
        <f aca="false">Summary!$D$9</f>
        <v>16.9374488591431</v>
      </c>
      <c r="L1004" s="16" t="str">
        <f aca="false">IF(OR(D1004="",E1004=""),"edge hidden",IF(AND(H1004&gt;=D1004-0.02,H1004&lt;=E1004+0.02),"yes","no"))</f>
        <v>yes</v>
      </c>
    </row>
    <row r="1005" customFormat="false" ht="15" hidden="false" customHeight="false" outlineLevel="0" collapsed="false">
      <c r="A1005" s="9" t="n">
        <v>45246</v>
      </c>
      <c r="B1005" s="10" t="n">
        <v>19765.2</v>
      </c>
      <c r="C1005" s="11" t="n">
        <v>18.6344</v>
      </c>
      <c r="D1005" s="11" t="n">
        <v>18.5025</v>
      </c>
      <c r="E1005" s="11" t="n">
        <v>18.7663</v>
      </c>
      <c r="F1005" s="12" t="n">
        <f aca="false">IF(C1005="","",B1005/C1005)</f>
        <v>1060.68346713605</v>
      </c>
      <c r="G1005" s="12" t="n">
        <f aca="false">MEDIAN(F995:F1015)</f>
        <v>1053.52127744938</v>
      </c>
      <c r="H1005" s="13" t="n">
        <f aca="false">B1005/G1005</f>
        <v>18.7610828780339</v>
      </c>
      <c r="I1005" s="14" t="n">
        <f aca="false">B1005/Summary!$C$8*100</f>
        <v>198.065957851911</v>
      </c>
      <c r="J1005" s="14" t="n">
        <f aca="false">G1005/Summary!$E$8*100</f>
        <v>179.052076497291</v>
      </c>
      <c r="K1005" s="15" t="n">
        <f aca="false">Summary!$D$9</f>
        <v>16.9374488591431</v>
      </c>
      <c r="L1005" s="16" t="str">
        <f aca="false">IF(OR(D1005="",E1005=""),"edge hidden",IF(AND(H1005&gt;=D1005-0.02,H1005&lt;=E1005+0.02),"yes","no"))</f>
        <v>yes</v>
      </c>
    </row>
    <row r="1006" customFormat="false" ht="15" hidden="false" customHeight="false" outlineLevel="0" collapsed="false">
      <c r="A1006" s="9" t="n">
        <v>45247</v>
      </c>
      <c r="B1006" s="10" t="n">
        <v>19731.8</v>
      </c>
      <c r="C1006" s="11" t="n">
        <v>18.6856</v>
      </c>
      <c r="D1006" s="11" t="n">
        <v>18.6049</v>
      </c>
      <c r="E1006" s="11" t="n">
        <v>18.7663</v>
      </c>
      <c r="F1006" s="12" t="n">
        <f aca="false">IF(C1006="","",B1006/C1006)</f>
        <v>1055.98963908036</v>
      </c>
      <c r="G1006" s="12" t="n">
        <f aca="false">MEDIAN(F996:F1016)</f>
        <v>1054.26875065102</v>
      </c>
      <c r="H1006" s="13" t="n">
        <f aca="false">B1006/G1006</f>
        <v>18.7161006032053</v>
      </c>
      <c r="I1006" s="14" t="n">
        <f aca="false">B1006/Summary!$C$8*100</f>
        <v>197.73125832991</v>
      </c>
      <c r="J1006" s="14" t="n">
        <f aca="false">G1006/Summary!$E$8*100</f>
        <v>179.17911392097</v>
      </c>
      <c r="K1006" s="15" t="n">
        <f aca="false">Summary!$D$9</f>
        <v>16.9374488591431</v>
      </c>
      <c r="L1006" s="16" t="str">
        <f aca="false">IF(OR(D1006="",E1006=""),"edge hidden",IF(AND(H1006&gt;=D1006-0.02,H1006&lt;=E1006+0.02),"yes","no"))</f>
        <v>yes</v>
      </c>
    </row>
    <row r="1007" customFormat="false" ht="15" hidden="false" customHeight="false" outlineLevel="0" collapsed="false">
      <c r="A1007" s="9" t="n">
        <v>45250</v>
      </c>
      <c r="B1007" s="10" t="n">
        <v>19694</v>
      </c>
      <c r="C1007" s="11" t="n">
        <v>18.6935</v>
      </c>
      <c r="D1007" s="11" t="n">
        <v>18.6521</v>
      </c>
      <c r="E1007" s="11" t="n">
        <v>18.7348</v>
      </c>
      <c r="F1007" s="12" t="n">
        <f aca="false">IF(C1007="","",B1007/C1007)</f>
        <v>1053.52127744938</v>
      </c>
      <c r="G1007" s="12" t="n">
        <f aca="false">MEDIAN(F997:F1017)</f>
        <v>1055.98963908036</v>
      </c>
      <c r="H1007" s="13" t="n">
        <f aca="false">B1007/G1007</f>
        <v>18.6498041942448</v>
      </c>
      <c r="I1007" s="14" t="n">
        <f aca="false">B1007/Summary!$C$8*100</f>
        <v>197.35246665531</v>
      </c>
      <c r="J1007" s="14" t="n">
        <f aca="false">G1007/Summary!$E$8*100</f>
        <v>179.47158893148</v>
      </c>
      <c r="K1007" s="15" t="n">
        <f aca="false">Summary!$D$9</f>
        <v>16.9374488591431</v>
      </c>
      <c r="L1007" s="16" t="str">
        <f aca="false">IF(OR(D1007="",E1007=""),"edge hidden",IF(AND(H1007&gt;=D1007-0.02,H1007&lt;=E1007+0.02),"yes","no"))</f>
        <v>yes</v>
      </c>
    </row>
    <row r="1008" customFormat="false" ht="15" hidden="false" customHeight="false" outlineLevel="0" collapsed="false">
      <c r="A1008" s="9" t="n">
        <v>45251</v>
      </c>
      <c r="B1008" s="10" t="n">
        <v>19783.4</v>
      </c>
      <c r="C1008" s="11" t="n">
        <v>18.6974</v>
      </c>
      <c r="D1008" s="11" t="n">
        <v>18.66</v>
      </c>
      <c r="E1008" s="11" t="n">
        <v>18.7348</v>
      </c>
      <c r="F1008" s="12" t="n">
        <f aca="false">IF(C1008="","",B1008/C1008)</f>
        <v>1058.08294201333</v>
      </c>
      <c r="G1008" s="12" t="n">
        <f aca="false">MEDIAN(F998:F1018)</f>
        <v>1056.08813504737</v>
      </c>
      <c r="H1008" s="13" t="n">
        <f aca="false">B1008/G1008</f>
        <v>18.7327168476452</v>
      </c>
      <c r="I1008" s="14" t="n">
        <f aca="false">B1008/Summary!$C$8*100</f>
        <v>198.24833902857</v>
      </c>
      <c r="J1008" s="14" t="n">
        <f aca="false">G1008/Summary!$E$8*100</f>
        <v>179.488328894684</v>
      </c>
      <c r="K1008" s="15" t="n">
        <f aca="false">Summary!$D$9</f>
        <v>16.9374488591431</v>
      </c>
      <c r="L1008" s="16" t="str">
        <f aca="false">IF(OR(D1008="",E1008=""),"edge hidden",IF(AND(H1008&gt;=D1008-0.02,H1008&lt;=E1008+0.02),"yes","no"))</f>
        <v>yes</v>
      </c>
    </row>
    <row r="1009" customFormat="false" ht="15" hidden="false" customHeight="false" outlineLevel="0" collapsed="false">
      <c r="A1009" s="9" t="n">
        <v>45252</v>
      </c>
      <c r="B1009" s="10" t="n">
        <v>19811.85</v>
      </c>
      <c r="C1009" s="11" t="n">
        <v>18.7014</v>
      </c>
      <c r="D1009" s="11" t="n">
        <v>18.6679</v>
      </c>
      <c r="E1009" s="11" t="n">
        <v>18.7348</v>
      </c>
      <c r="F1009" s="12" t="n">
        <f aca="false">IF(C1009="","",B1009/C1009)</f>
        <v>1059.37790753633</v>
      </c>
      <c r="G1009" s="12" t="n">
        <f aca="false">MEDIAN(F999:F1019)</f>
        <v>1056.54213699838</v>
      </c>
      <c r="H1009" s="13" t="n">
        <f aca="false">B1009/G1009</f>
        <v>18.7515947601344</v>
      </c>
      <c r="I1009" s="14" t="n">
        <f aca="false">B1009/Summary!$C$8*100</f>
        <v>198.533434878897</v>
      </c>
      <c r="J1009" s="14" t="n">
        <f aca="false">G1009/Summary!$E$8*100</f>
        <v>179.565489170231</v>
      </c>
      <c r="K1009" s="15" t="n">
        <f aca="false">Summary!$D$9</f>
        <v>16.9374488591431</v>
      </c>
      <c r="L1009" s="16" t="str">
        <f aca="false">IF(OR(D1009="",E1009=""),"edge hidden",IF(AND(H1009&gt;=D1009-0.02,H1009&lt;=E1009+0.02),"yes","no"))</f>
        <v>yes</v>
      </c>
    </row>
    <row r="1010" customFormat="false" ht="15" hidden="false" customHeight="false" outlineLevel="0" collapsed="false">
      <c r="A1010" s="9" t="n">
        <v>45253</v>
      </c>
      <c r="B1010" s="10" t="n">
        <v>19802</v>
      </c>
      <c r="C1010" s="11" t="n">
        <v>18.7132</v>
      </c>
      <c r="D1010" s="11" t="n">
        <v>18.6836</v>
      </c>
      <c r="E1010" s="11" t="n">
        <v>18.7427</v>
      </c>
      <c r="F1010" s="12" t="n">
        <f aca="false">IF(C1010="","",B1010/C1010)</f>
        <v>1058.18352820469</v>
      </c>
      <c r="G1010" s="12" t="n">
        <f aca="false">MEDIAN(F1000:F1020)</f>
        <v>1057.12683578104</v>
      </c>
      <c r="H1010" s="13" t="n">
        <f aca="false">B1010/G1010</f>
        <v>18.7319055100608</v>
      </c>
      <c r="I1010" s="14" t="n">
        <f aca="false">B1010/Summary!$C$8*100</f>
        <v>198.434728582738</v>
      </c>
      <c r="J1010" s="14" t="n">
        <f aca="false">G1010/Summary!$E$8*100</f>
        <v>179.664862133456</v>
      </c>
      <c r="K1010" s="15" t="n">
        <f aca="false">Summary!$D$9</f>
        <v>16.9374488591431</v>
      </c>
      <c r="L1010" s="16" t="str">
        <f aca="false">IF(OR(D1010="",E1010=""),"edge hidden",IF(AND(H1010&gt;=D1010-0.02,H1010&lt;=E1010+0.02),"yes","no"))</f>
        <v>yes</v>
      </c>
    </row>
    <row r="1011" customFormat="false" ht="15" hidden="false" customHeight="false" outlineLevel="0" collapsed="false">
      <c r="A1011" s="9" t="n">
        <v>45254</v>
      </c>
      <c r="B1011" s="10" t="n">
        <v>19794.7</v>
      </c>
      <c r="C1011" s="11" t="n">
        <v>18.725</v>
      </c>
      <c r="D1011" s="11" t="n">
        <v>18.6915</v>
      </c>
      <c r="E1011" s="11" t="n">
        <v>18.7584</v>
      </c>
      <c r="F1011" s="12" t="n">
        <f aca="false">IF(C1011="","",B1011/C1011)</f>
        <v>1057.12683578104</v>
      </c>
      <c r="G1011" s="12" t="n">
        <f aca="false">MEDIAN(F1001:F1021)</f>
        <v>1057.12683578104</v>
      </c>
      <c r="H1011" s="13" t="n">
        <f aca="false">B1011/G1011</f>
        <v>18.725</v>
      </c>
      <c r="I1011" s="14" t="n">
        <f aca="false">B1011/Summary!$C$8*100</f>
        <v>198.361575693199</v>
      </c>
      <c r="J1011" s="14" t="n">
        <f aca="false">G1011/Summary!$E$8*100</f>
        <v>179.664862133456</v>
      </c>
      <c r="K1011" s="15" t="n">
        <f aca="false">Summary!$D$9</f>
        <v>16.9374488591431</v>
      </c>
      <c r="L1011" s="16" t="str">
        <f aca="false">IF(OR(D1011="",E1011=""),"edge hidden",IF(AND(H1011&gt;=D1011-0.02,H1011&lt;=E1011+0.02),"yes","no"))</f>
        <v>yes</v>
      </c>
    </row>
    <row r="1012" customFormat="false" ht="15" hidden="false" customHeight="false" outlineLevel="0" collapsed="false">
      <c r="A1012" s="9" t="n">
        <v>45258</v>
      </c>
      <c r="B1012" s="10" t="n">
        <v>19889.7</v>
      </c>
      <c r="C1012" s="11" t="n">
        <v>18.8982</v>
      </c>
      <c r="D1012" s="11" t="n">
        <v>18.6915</v>
      </c>
      <c r="E1012" s="11" t="n">
        <v>19.1049</v>
      </c>
      <c r="F1012" s="12" t="n">
        <f aca="false">IF(C1012="","",B1012/C1012)</f>
        <v>1052.4653141569</v>
      </c>
      <c r="G1012" s="12" t="n">
        <f aca="false">MEDIAN(F1002:F1022)</f>
        <v>1057.12683578104</v>
      </c>
      <c r="H1012" s="13" t="n">
        <f aca="false">B1012/G1012</f>
        <v>18.8148662268183</v>
      </c>
      <c r="I1012" s="14" t="n">
        <f aca="false">B1012/Summary!$C$8*100</f>
        <v>199.313565351585</v>
      </c>
      <c r="J1012" s="14" t="n">
        <f aca="false">G1012/Summary!$E$8*100</f>
        <v>179.664862133456</v>
      </c>
      <c r="K1012" s="15" t="n">
        <f aca="false">Summary!$D$9</f>
        <v>16.9374488591431</v>
      </c>
      <c r="L1012" s="16" t="str">
        <f aca="false">IF(OR(D1012="",E1012=""),"edge hidden",IF(AND(H1012&gt;=D1012-0.02,H1012&lt;=E1012+0.02),"yes","no"))</f>
        <v>yes</v>
      </c>
    </row>
    <row r="1013" customFormat="false" ht="15" hidden="false" customHeight="false" outlineLevel="0" collapsed="false">
      <c r="A1013" s="9" t="n">
        <v>45259</v>
      </c>
      <c r="B1013" s="10" t="n">
        <v>20096.6</v>
      </c>
      <c r="C1013" s="11" t="n">
        <v>18.9218</v>
      </c>
      <c r="D1013" s="11" t="n">
        <v>18.7073</v>
      </c>
      <c r="E1013" s="11" t="n">
        <v>19.1364</v>
      </c>
      <c r="F1013" s="12" t="n">
        <f aca="false">IF(C1013="","",B1013/C1013)</f>
        <v>1062.0871164477</v>
      </c>
      <c r="G1013" s="12" t="n">
        <f aca="false">MEDIAN(F1003:F1023)</f>
        <v>1057.12683578104</v>
      </c>
      <c r="H1013" s="13" t="n">
        <f aca="false">B1013/G1013</f>
        <v>19.0105854092257</v>
      </c>
      <c r="I1013" s="14" t="n">
        <f aca="false">B1013/Summary!$C$8*100</f>
        <v>201.386898618112</v>
      </c>
      <c r="J1013" s="14" t="n">
        <f aca="false">G1013/Summary!$E$8*100</f>
        <v>179.664862133456</v>
      </c>
      <c r="K1013" s="15" t="n">
        <f aca="false">Summary!$D$9</f>
        <v>16.9374488591431</v>
      </c>
      <c r="L1013" s="16" t="str">
        <f aca="false">IF(OR(D1013="",E1013=""),"edge hidden",IF(AND(H1013&gt;=D1013-0.02,H1013&lt;=E1013+0.02),"yes","no"))</f>
        <v>yes</v>
      </c>
    </row>
    <row r="1014" customFormat="false" ht="15" hidden="false" customHeight="false" outlineLevel="0" collapsed="false">
      <c r="A1014" s="9" t="n">
        <v>45260</v>
      </c>
      <c r="B1014" s="10" t="n">
        <v>20133.15</v>
      </c>
      <c r="C1014" s="11" t="n">
        <v>19.0557</v>
      </c>
      <c r="D1014" s="11" t="n">
        <v>18.7939</v>
      </c>
      <c r="E1014" s="11" t="n">
        <v>19.3175</v>
      </c>
      <c r="F1014" s="12" t="n">
        <f aca="false">IF(C1014="","",B1014/C1014)</f>
        <v>1056.54213699838</v>
      </c>
      <c r="G1014" s="12" t="n">
        <f aca="false">MEDIAN(F1004:F1024)</f>
        <v>1058.08294201333</v>
      </c>
      <c r="H1014" s="13" t="n">
        <f aca="false">B1014/G1014</f>
        <v>19.0279506459961</v>
      </c>
      <c r="I1014" s="14" t="n">
        <f aca="false">B1014/Summary!$C$8*100</f>
        <v>201.753164112996</v>
      </c>
      <c r="J1014" s="14" t="n">
        <f aca="false">G1014/Summary!$E$8*100</f>
        <v>179.827357955712</v>
      </c>
      <c r="K1014" s="15" t="n">
        <f aca="false">Summary!$D$9</f>
        <v>16.9374488591431</v>
      </c>
      <c r="L1014" s="16" t="str">
        <f aca="false">IF(OR(D1014="",E1014=""),"edge hidden",IF(AND(H1014&gt;=D1014-0.02,H1014&lt;=E1014+0.02),"yes","no"))</f>
        <v>yes</v>
      </c>
    </row>
    <row r="1015" customFormat="false" ht="15" hidden="false" customHeight="false" outlineLevel="0" collapsed="false">
      <c r="A1015" s="9" t="n">
        <v>45261</v>
      </c>
      <c r="B1015" s="10" t="n">
        <v>20267.9</v>
      </c>
      <c r="C1015" s="11" t="n">
        <v>19.3076</v>
      </c>
      <c r="D1015" s="11" t="n">
        <v>18.9986</v>
      </c>
      <c r="E1015" s="11" t="n">
        <v>19.6167</v>
      </c>
      <c r="F1015" s="12" t="n">
        <f aca="false">IF(C1015="","",B1015/C1015)</f>
        <v>1049.73689117239</v>
      </c>
      <c r="G1015" s="12" t="n">
        <f aca="false">MEDIAN(F1005:F1025)</f>
        <v>1058.18352820469</v>
      </c>
      <c r="H1015" s="13" t="n">
        <f aca="false">B1015/G1015</f>
        <v>19.1534827936572</v>
      </c>
      <c r="I1015" s="14" t="n">
        <f aca="false">B1015/Summary!$C$8*100</f>
        <v>203.103486286338</v>
      </c>
      <c r="J1015" s="14" t="n">
        <f aca="false">G1015/Summary!$E$8*100</f>
        <v>179.844453164718</v>
      </c>
      <c r="K1015" s="15" t="n">
        <f aca="false">Summary!$D$9</f>
        <v>16.9374488591431</v>
      </c>
      <c r="L1015" s="16" t="str">
        <f aca="false">IF(OR(D1015="",E1015=""),"edge hidden",IF(AND(H1015&gt;=D1015-0.02,H1015&lt;=E1015+0.02),"yes","no"))</f>
        <v>yes</v>
      </c>
    </row>
    <row r="1016" customFormat="false" ht="15" hidden="false" customHeight="false" outlineLevel="0" collapsed="false">
      <c r="A1016" s="9" t="n">
        <v>45264</v>
      </c>
      <c r="B1016" s="10" t="n">
        <v>20686.8</v>
      </c>
      <c r="C1016" s="11" t="n">
        <v>19.4179</v>
      </c>
      <c r="D1016" s="11" t="n">
        <v>19.1167</v>
      </c>
      <c r="E1016" s="11" t="n">
        <v>19.7191</v>
      </c>
      <c r="F1016" s="12" t="n">
        <f aca="false">IF(C1016="","",B1016/C1016)</f>
        <v>1065.34692216975</v>
      </c>
      <c r="G1016" s="12" t="n">
        <f aca="false">MEDIAN(F1006:F1026)</f>
        <v>1058.18352820469</v>
      </c>
      <c r="H1016" s="13" t="n">
        <f aca="false">B1016/G1016</f>
        <v>19.5493498515302</v>
      </c>
      <c r="I1016" s="14" t="n">
        <f aca="false">B1016/Summary!$C$8*100</f>
        <v>207.301259632632</v>
      </c>
      <c r="J1016" s="14" t="n">
        <f aca="false">G1016/Summary!$E$8*100</f>
        <v>179.844453164718</v>
      </c>
      <c r="K1016" s="15" t="n">
        <f aca="false">Summary!$D$9</f>
        <v>16.9374488591431</v>
      </c>
      <c r="L1016" s="16" t="str">
        <f aca="false">IF(OR(D1016="",E1016=""),"edge hidden",IF(AND(H1016&gt;=D1016-0.02,H1016&lt;=E1016+0.02),"yes","no"))</f>
        <v>yes</v>
      </c>
    </row>
    <row r="1017" customFormat="false" ht="15" hidden="false" customHeight="false" outlineLevel="0" collapsed="false">
      <c r="A1017" s="9" t="n">
        <v>45265</v>
      </c>
      <c r="B1017" s="10" t="n">
        <v>20855.1</v>
      </c>
      <c r="C1017" s="11" t="n">
        <v>19.4297</v>
      </c>
      <c r="D1017" s="11" t="n">
        <v>19.1325</v>
      </c>
      <c r="E1017" s="11" t="n">
        <v>19.7269</v>
      </c>
      <c r="F1017" s="12" t="n">
        <f aca="false">IF(C1017="","",B1017/C1017)</f>
        <v>1073.36191500641</v>
      </c>
      <c r="G1017" s="12" t="n">
        <f aca="false">MEDIAN(F1007:F1027)</f>
        <v>1059.37790753633</v>
      </c>
      <c r="H1017" s="13" t="n">
        <f aca="false">B1017/G1017</f>
        <v>19.6861760582682</v>
      </c>
      <c r="I1017" s="14" t="n">
        <f aca="false">B1017/Summary!$C$8*100</f>
        <v>208.987784469541</v>
      </c>
      <c r="J1017" s="14" t="n">
        <f aca="false">G1017/Summary!$E$8*100</f>
        <v>180.047444887841</v>
      </c>
      <c r="K1017" s="15" t="n">
        <f aca="false">Summary!$D$9</f>
        <v>16.9374488591431</v>
      </c>
      <c r="L1017" s="16" t="str">
        <f aca="false">IF(OR(D1017="",E1017=""),"edge hidden",IF(AND(H1017&gt;=D1017-0.02,H1017&lt;=E1017+0.02),"yes","no"))</f>
        <v>yes</v>
      </c>
    </row>
    <row r="1018" customFormat="false" ht="15" hidden="false" customHeight="false" outlineLevel="0" collapsed="false">
      <c r="A1018" s="9" t="n">
        <v>45266</v>
      </c>
      <c r="B1018" s="10" t="n">
        <v>20937.7</v>
      </c>
      <c r="C1018" s="11" t="n">
        <v>19.4927</v>
      </c>
      <c r="D1018" s="11" t="n">
        <v>19.2506</v>
      </c>
      <c r="E1018" s="11" t="n">
        <v>19.7348</v>
      </c>
      <c r="F1018" s="12" t="n">
        <f aca="false">IF(C1018="","",B1018/C1018)</f>
        <v>1074.13031545143</v>
      </c>
      <c r="G1018" s="12" t="n">
        <f aca="false">MEDIAN(F1008:F1028)</f>
        <v>1059.37790753633</v>
      </c>
      <c r="H1018" s="13" t="n">
        <f aca="false">B1018/G1018</f>
        <v>19.7641463457476</v>
      </c>
      <c r="I1018" s="14" t="n">
        <f aca="false">B1018/Summary!$C$8*100</f>
        <v>209.815514425149</v>
      </c>
      <c r="J1018" s="14" t="n">
        <f aca="false">G1018/Summary!$E$8*100</f>
        <v>180.047444887841</v>
      </c>
      <c r="K1018" s="15" t="n">
        <f aca="false">Summary!$D$9</f>
        <v>16.9374488591431</v>
      </c>
      <c r="L1018" s="16" t="str">
        <f aca="false">IF(OR(D1018="",E1018=""),"edge hidden",IF(AND(H1018&gt;=D1018-0.02,H1018&lt;=E1018+0.02),"yes","no"))</f>
        <v>no</v>
      </c>
    </row>
    <row r="1019" customFormat="false" ht="15" hidden="false" customHeight="false" outlineLevel="0" collapsed="false">
      <c r="A1019" s="9" t="n">
        <v>45267</v>
      </c>
      <c r="B1019" s="10" t="n">
        <v>20901.15</v>
      </c>
      <c r="C1019" s="11" t="n">
        <v>19.6974</v>
      </c>
      <c r="D1019" s="11" t="n">
        <v>19.6443</v>
      </c>
      <c r="E1019" s="11" t="n">
        <v>19.7506</v>
      </c>
      <c r="F1019" s="12" t="n">
        <f aca="false">IF(C1019="","",B1019/C1019)</f>
        <v>1061.11212647355</v>
      </c>
      <c r="G1019" s="12" t="n">
        <f aca="false">MEDIAN(F1009:F1029)</f>
        <v>1061.11212647355</v>
      </c>
      <c r="H1019" s="13" t="n">
        <f aca="false">B1019/G1019</f>
        <v>19.6974</v>
      </c>
      <c r="I1019" s="14" t="n">
        <f aca="false">B1019/Summary!$C$8*100</f>
        <v>209.449248930264</v>
      </c>
      <c r="J1019" s="14" t="n">
        <f aca="false">G1019/Summary!$E$8*100</f>
        <v>180.342185495796</v>
      </c>
      <c r="K1019" s="15" t="n">
        <f aca="false">Summary!$D$9</f>
        <v>16.9374488591431</v>
      </c>
      <c r="L1019" s="16" t="str">
        <f aca="false">IF(OR(D1019="",E1019=""),"edge hidden",IF(AND(H1019&gt;=D1019-0.02,H1019&lt;=E1019+0.02),"yes","no"))</f>
        <v>yes</v>
      </c>
    </row>
    <row r="1020" customFormat="false" ht="15" hidden="false" customHeight="false" outlineLevel="0" collapsed="false">
      <c r="A1020" s="9" t="n">
        <v>45268</v>
      </c>
      <c r="B1020" s="10" t="n">
        <v>20969.4</v>
      </c>
      <c r="C1020" s="11" t="n">
        <v>19.7132</v>
      </c>
      <c r="D1020" s="11" t="n">
        <v>19.6758</v>
      </c>
      <c r="E1020" s="11" t="n">
        <v>19.7506</v>
      </c>
      <c r="F1020" s="12" t="n">
        <f aca="false">IF(C1020="","",B1020/C1020)</f>
        <v>1063.7237992817</v>
      </c>
      <c r="G1020" s="12" t="n">
        <f aca="false">MEDIAN(F1010:F1030)</f>
        <v>1062.0871164477</v>
      </c>
      <c r="H1020" s="13" t="n">
        <f aca="false">B1020/G1020</f>
        <v>19.7435781634704</v>
      </c>
      <c r="I1020" s="14" t="n">
        <f aca="false">B1020/Summary!$C$8*100</f>
        <v>210.133178342736</v>
      </c>
      <c r="J1020" s="14" t="n">
        <f aca="false">G1020/Summary!$E$8*100</f>
        <v>180.507890719954</v>
      </c>
      <c r="K1020" s="15" t="n">
        <f aca="false">Summary!$D$9</f>
        <v>16.9374488591431</v>
      </c>
      <c r="L1020" s="16" t="str">
        <f aca="false">IF(OR(D1020="",E1020=""),"edge hidden",IF(AND(H1020&gt;=D1020-0.02,H1020&lt;=E1020+0.02),"yes","no"))</f>
        <v>yes</v>
      </c>
    </row>
    <row r="1021" customFormat="false" ht="15" hidden="false" customHeight="false" outlineLevel="0" collapsed="false">
      <c r="A1021" s="9" t="n">
        <v>45271</v>
      </c>
      <c r="B1021" s="10" t="n">
        <v>20997.1</v>
      </c>
      <c r="C1021" s="11" t="n">
        <v>19.8746</v>
      </c>
      <c r="D1021" s="11" t="n">
        <v>19.6836</v>
      </c>
      <c r="E1021" s="11" t="n">
        <v>20.0655</v>
      </c>
      <c r="F1021" s="12" t="n">
        <f aca="false">IF(C1021="","",B1021/C1021)</f>
        <v>1056.47912410816</v>
      </c>
      <c r="G1021" s="12" t="n">
        <f aca="false">MEDIAN(F1011:F1031)</f>
        <v>1063.07902317598</v>
      </c>
      <c r="H1021" s="13" t="n">
        <f aca="false">B1021/G1021</f>
        <v>19.7512127906263</v>
      </c>
      <c r="I1021" s="14" t="n">
        <f aca="false">B1021/Summary!$C$8*100</f>
        <v>210.410758485234</v>
      </c>
      <c r="J1021" s="14" t="n">
        <f aca="false">G1021/Summary!$E$8*100</f>
        <v>180.676471044997</v>
      </c>
      <c r="K1021" s="15" t="n">
        <f aca="false">Summary!$D$9</f>
        <v>16.9374488591431</v>
      </c>
      <c r="L1021" s="16" t="str">
        <f aca="false">IF(OR(D1021="",E1021=""),"edge hidden",IF(AND(H1021&gt;=D1021-0.02,H1021&lt;=E1021+0.02),"yes","no"))</f>
        <v>yes</v>
      </c>
    </row>
    <row r="1022" customFormat="false" ht="15" hidden="false" customHeight="false" outlineLevel="0" collapsed="false">
      <c r="A1022" s="9" t="n">
        <v>45272</v>
      </c>
      <c r="B1022" s="10" t="n">
        <v>20906.4</v>
      </c>
      <c r="C1022" s="11" t="n">
        <v>19.9139</v>
      </c>
      <c r="D1022" s="11" t="n">
        <v>19.6836</v>
      </c>
      <c r="E1022" s="11" t="n">
        <v>20.1443</v>
      </c>
      <c r="F1022" s="12" t="n">
        <f aca="false">IF(C1022="","",B1022/C1022)</f>
        <v>1049.8395593028</v>
      </c>
      <c r="G1022" s="12" t="n">
        <f aca="false">MEDIAN(F1012:F1032)</f>
        <v>1063.24785900952</v>
      </c>
      <c r="H1022" s="13" t="n">
        <f aca="false">B1022/G1022</f>
        <v>19.6627717825603</v>
      </c>
      <c r="I1022" s="14" t="n">
        <f aca="false">B1022/Summary!$C$8*100</f>
        <v>209.50185888507</v>
      </c>
      <c r="J1022" s="14" t="n">
        <f aca="false">G1022/Summary!$E$8*100</f>
        <v>180.705165678156</v>
      </c>
      <c r="K1022" s="15" t="n">
        <f aca="false">Summary!$D$9</f>
        <v>16.9374488591431</v>
      </c>
      <c r="L1022" s="16" t="str">
        <f aca="false">IF(OR(D1022="",E1022=""),"edge hidden",IF(AND(H1022&gt;=D1022-0.02,H1022&lt;=E1022+0.02),"yes","no"))</f>
        <v>no</v>
      </c>
    </row>
    <row r="1023" customFormat="false" ht="15" hidden="false" customHeight="false" outlineLevel="0" collapsed="false">
      <c r="A1023" s="9" t="n">
        <v>45273</v>
      </c>
      <c r="B1023" s="10" t="n">
        <v>20926.35</v>
      </c>
      <c r="C1023" s="11" t="n">
        <v>19.9179</v>
      </c>
      <c r="D1023" s="11" t="n">
        <v>19.6836</v>
      </c>
      <c r="E1023" s="11" t="n">
        <v>20.1521</v>
      </c>
      <c r="F1023" s="12" t="n">
        <f aca="false">IF(C1023="","",B1023/C1023)</f>
        <v>1050.63033753558</v>
      </c>
      <c r="G1023" s="12" t="n">
        <f aca="false">MEDIAN(F1013:F1033)</f>
        <v>1063.7237992817</v>
      </c>
      <c r="H1023" s="13" t="n">
        <f aca="false">B1023/G1023</f>
        <v>19.6727289679247</v>
      </c>
      <c r="I1023" s="14" t="n">
        <f aca="false">B1023/Summary!$C$8*100</f>
        <v>209.701776713331</v>
      </c>
      <c r="J1023" s="14" t="n">
        <f aca="false">G1023/Summary!$E$8*100</f>
        <v>180.786054499148</v>
      </c>
      <c r="K1023" s="15" t="n">
        <f aca="false">Summary!$D$9</f>
        <v>16.9374488591431</v>
      </c>
      <c r="L1023" s="16" t="str">
        <f aca="false">IF(OR(D1023="",E1023=""),"edge hidden",IF(AND(H1023&gt;=D1023-0.02,H1023&lt;=E1023+0.02),"yes","no"))</f>
        <v>yes</v>
      </c>
    </row>
    <row r="1024" customFormat="false" ht="15" hidden="false" customHeight="false" outlineLevel="0" collapsed="false">
      <c r="A1024" s="9" t="n">
        <v>45274</v>
      </c>
      <c r="B1024" s="10" t="n">
        <v>21182.7</v>
      </c>
      <c r="C1024" s="11" t="n">
        <v>19.9258</v>
      </c>
      <c r="D1024" s="11" t="n">
        <v>19.6915</v>
      </c>
      <c r="E1024" s="11" t="n">
        <v>20.16</v>
      </c>
      <c r="F1024" s="12" t="n">
        <f aca="false">IF(C1024="","",B1024/C1024)</f>
        <v>1063.07902317598</v>
      </c>
      <c r="G1024" s="12" t="n">
        <f aca="false">MEDIAN(F1014:F1034)</f>
        <v>1063.98139851529</v>
      </c>
      <c r="H1024" s="13" t="n">
        <f aca="false">B1024/G1024</f>
        <v>19.9089006908946</v>
      </c>
      <c r="I1024" s="14" t="n">
        <f aca="false">B1024/Summary!$C$8*100</f>
        <v>212.270645649407</v>
      </c>
      <c r="J1024" s="14" t="n">
        <f aca="false">G1024/Summary!$E$8*100</f>
        <v>180.829834989077</v>
      </c>
      <c r="K1024" s="15" t="n">
        <f aca="false">Summary!$D$9</f>
        <v>16.9374488591431</v>
      </c>
      <c r="L1024" s="16" t="str">
        <f aca="false">IF(OR(D1024="",E1024=""),"edge hidden",IF(AND(H1024&gt;=D1024-0.02,H1024&lt;=E1024+0.02),"yes","no"))</f>
        <v>yes</v>
      </c>
    </row>
    <row r="1025" customFormat="false" ht="15" hidden="false" customHeight="false" outlineLevel="0" collapsed="false">
      <c r="A1025" s="9" t="n">
        <v>45275</v>
      </c>
      <c r="B1025" s="10" t="n">
        <v>21456.65</v>
      </c>
      <c r="C1025" s="11" t="n">
        <v>19.9297</v>
      </c>
      <c r="D1025" s="11" t="n">
        <v>19.7073</v>
      </c>
      <c r="E1025" s="11" t="n">
        <v>20.1521</v>
      </c>
      <c r="F1025" s="12" t="n">
        <f aca="false">IF(C1025="","",B1025/C1025)</f>
        <v>1076.6168080804</v>
      </c>
      <c r="G1025" s="12" t="n">
        <f aca="false">MEDIAN(F1015:F1035)</f>
        <v>1065.34692216975</v>
      </c>
      <c r="H1025" s="13" t="n">
        <f aca="false">B1025/G1025</f>
        <v>20.1405284546184</v>
      </c>
      <c r="I1025" s="14" t="n">
        <f aca="false">B1025/Summary!$C$8*100</f>
        <v>215.015883195879</v>
      </c>
      <c r="J1025" s="14" t="n">
        <f aca="false">G1025/Summary!$E$8*100</f>
        <v>181.061913686557</v>
      </c>
      <c r="K1025" s="15" t="n">
        <f aca="false">Summary!$D$9</f>
        <v>16.9374488591431</v>
      </c>
      <c r="L1025" s="16" t="str">
        <f aca="false">IF(OR(D1025="",E1025=""),"edge hidden",IF(AND(H1025&gt;=D1025-0.02,H1025&lt;=E1025+0.02),"yes","no"))</f>
        <v>yes</v>
      </c>
    </row>
    <row r="1026" customFormat="false" ht="15" hidden="false" customHeight="false" outlineLevel="0" collapsed="false">
      <c r="A1026" s="9" t="n">
        <v>45278</v>
      </c>
      <c r="B1026" s="10" t="n">
        <v>21418.65</v>
      </c>
      <c r="C1026" s="11" t="n">
        <v>19.9848</v>
      </c>
      <c r="D1026" s="11" t="n">
        <v>19.8332</v>
      </c>
      <c r="E1026" s="11" t="n">
        <v>20.1364</v>
      </c>
      <c r="F1026" s="12" t="n">
        <f aca="false">IF(C1026="","",B1026/C1026)</f>
        <v>1071.74702774108</v>
      </c>
      <c r="G1026" s="12" t="n">
        <f aca="false">MEDIAN(F1016:F1036)</f>
        <v>1068.06811814616</v>
      </c>
      <c r="H1026" s="13" t="n">
        <f aca="false">B1026/G1026</f>
        <v>20.0536366886189</v>
      </c>
      <c r="I1026" s="14" t="n">
        <f aca="false">B1026/Summary!$C$8*100</f>
        <v>214.635087332525</v>
      </c>
      <c r="J1026" s="14" t="n">
        <f aca="false">G1026/Summary!$E$8*100</f>
        <v>181.524396790185</v>
      </c>
      <c r="K1026" s="15" t="n">
        <f aca="false">Summary!$D$9</f>
        <v>16.9374488591431</v>
      </c>
      <c r="L1026" s="16" t="str">
        <f aca="false">IF(OR(D1026="",E1026=""),"edge hidden",IF(AND(H1026&gt;=D1026-0.02,H1026&lt;=E1026+0.02),"yes","no"))</f>
        <v>yes</v>
      </c>
    </row>
    <row r="1027" customFormat="false" ht="15" hidden="false" customHeight="false" outlineLevel="0" collapsed="false">
      <c r="A1027" s="9" t="n">
        <v>45279</v>
      </c>
      <c r="B1027" s="10" t="n">
        <v>21453.1</v>
      </c>
      <c r="C1027" s="11" t="n">
        <v>19.9809</v>
      </c>
      <c r="D1027" s="11" t="n">
        <v>19.8332</v>
      </c>
      <c r="E1027" s="11" t="n">
        <v>20.1285</v>
      </c>
      <c r="F1027" s="12" t="n">
        <f aca="false">IF(C1027="","",B1027/C1027)</f>
        <v>1073.68036474833</v>
      </c>
      <c r="G1027" s="12" t="n">
        <f aca="false">MEDIAN(F1017:F1037)</f>
        <v>1070.36049525193</v>
      </c>
      <c r="H1027" s="13" t="n">
        <f aca="false">B1027/G1027</f>
        <v>20.042873494645</v>
      </c>
      <c r="I1027" s="14" t="n">
        <f aca="false">B1027/Summary!$C$8*100</f>
        <v>214.980308845487</v>
      </c>
      <c r="J1027" s="14" t="n">
        <f aca="false">G1027/Summary!$E$8*100</f>
        <v>181.913999629433</v>
      </c>
      <c r="K1027" s="15" t="n">
        <f aca="false">Summary!$D$9</f>
        <v>16.9374488591431</v>
      </c>
      <c r="L1027" s="16" t="str">
        <f aca="false">IF(OR(D1027="",E1027=""),"edge hidden",IF(AND(H1027&gt;=D1027-0.02,H1027&lt;=E1027+0.02),"yes","no"))</f>
        <v>yes</v>
      </c>
    </row>
    <row r="1028" customFormat="false" ht="15" hidden="false" customHeight="false" outlineLevel="0" collapsed="false">
      <c r="A1028" s="9" t="n">
        <v>45280</v>
      </c>
      <c r="B1028" s="10" t="n">
        <v>21150.15</v>
      </c>
      <c r="C1028" s="11" t="n">
        <v>19.9809</v>
      </c>
      <c r="D1028" s="11" t="n">
        <v>19.8411</v>
      </c>
      <c r="E1028" s="11" t="n">
        <v>20.1206</v>
      </c>
      <c r="F1028" s="12" t="n">
        <f aca="false">IF(C1028="","",B1028/C1028)</f>
        <v>1058.51838505773</v>
      </c>
      <c r="G1028" s="12" t="n">
        <f aca="false">MEDIAN(F1018:F1038)</f>
        <v>1070.36049525193</v>
      </c>
      <c r="H1028" s="13" t="n">
        <f aca="false">B1028/G1028</f>
        <v>19.7598380114187</v>
      </c>
      <c r="I1028" s="14" t="n">
        <f aca="false">B1028/Summary!$C$8*100</f>
        <v>211.944463929613</v>
      </c>
      <c r="J1028" s="14" t="n">
        <f aca="false">G1028/Summary!$E$8*100</f>
        <v>181.913999629433</v>
      </c>
      <c r="K1028" s="15" t="n">
        <f aca="false">Summary!$D$9</f>
        <v>16.9374488591431</v>
      </c>
      <c r="L1028" s="16" t="str">
        <f aca="false">IF(OR(D1028="",E1028=""),"edge hidden",IF(AND(H1028&gt;=D1028-0.02,H1028&lt;=E1028+0.02),"yes","no"))</f>
        <v>no</v>
      </c>
    </row>
    <row r="1029" customFormat="false" ht="15" hidden="false" customHeight="false" outlineLevel="0" collapsed="false">
      <c r="A1029" s="9" t="n">
        <v>45281</v>
      </c>
      <c r="B1029" s="10" t="n">
        <v>21255.05</v>
      </c>
      <c r="C1029" s="11" t="n">
        <v>19.9769</v>
      </c>
      <c r="D1029" s="11" t="n">
        <v>19.8411</v>
      </c>
      <c r="E1029" s="11" t="n">
        <v>20.1128</v>
      </c>
      <c r="F1029" s="12" t="n">
        <f aca="false">IF(C1029="","",B1029/C1029)</f>
        <v>1063.98139851529</v>
      </c>
      <c r="G1029" s="12" t="n">
        <f aca="false">MEDIAN(F1019:F1039)</f>
        <v>1070.36049525193</v>
      </c>
      <c r="H1029" s="13" t="n">
        <f aca="false">B1029/G1029</f>
        <v>19.8578423758037</v>
      </c>
      <c r="I1029" s="14" t="n">
        <f aca="false">B1029/Summary!$C$8*100</f>
        <v>212.995660931347</v>
      </c>
      <c r="J1029" s="14" t="n">
        <f aca="false">G1029/Summary!$E$8*100</f>
        <v>181.913999629433</v>
      </c>
      <c r="K1029" s="15" t="n">
        <f aca="false">Summary!$D$9</f>
        <v>16.9374488591431</v>
      </c>
      <c r="L1029" s="16" t="str">
        <f aca="false">IF(OR(D1029="",E1029=""),"edge hidden",IF(AND(H1029&gt;=D1029-0.02,H1029&lt;=E1029+0.02),"yes","no"))</f>
        <v>yes</v>
      </c>
    </row>
    <row r="1030" customFormat="false" ht="15" hidden="false" customHeight="false" outlineLevel="0" collapsed="false">
      <c r="A1030" s="9" t="n">
        <v>45282</v>
      </c>
      <c r="B1030" s="10" t="n">
        <v>21349.4</v>
      </c>
      <c r="C1030" s="11" t="n">
        <v>19.9888</v>
      </c>
      <c r="D1030" s="11" t="n">
        <v>19.8569</v>
      </c>
      <c r="E1030" s="11" t="n">
        <v>20.1206</v>
      </c>
      <c r="F1030" s="12" t="n">
        <f aca="false">IF(C1030="","",B1030/C1030)</f>
        <v>1068.06811814616</v>
      </c>
      <c r="G1030" s="12" t="n">
        <f aca="false">MEDIAN(F1020:F1040)</f>
        <v>1071.19383365201</v>
      </c>
      <c r="H1030" s="13" t="n">
        <f aca="false">B1030/G1030</f>
        <v>19.9304732059685</v>
      </c>
      <c r="I1030" s="14" t="n">
        <f aca="false">B1030/Summary!$C$8*100</f>
        <v>213.94113697628</v>
      </c>
      <c r="J1030" s="14" t="n">
        <f aca="false">G1030/Summary!$E$8*100</f>
        <v>182.055630343641</v>
      </c>
      <c r="K1030" s="15" t="n">
        <f aca="false">Summary!$D$9</f>
        <v>16.9374488591431</v>
      </c>
      <c r="L1030" s="16" t="str">
        <f aca="false">IF(OR(D1030="",E1030=""),"edge hidden",IF(AND(H1030&gt;=D1030-0.02,H1030&lt;=E1030+0.02),"yes","no"))</f>
        <v>yes</v>
      </c>
    </row>
    <row r="1031" customFormat="false" ht="15" hidden="false" customHeight="false" outlineLevel="0" collapsed="false">
      <c r="A1031" s="9" t="n">
        <v>45286</v>
      </c>
      <c r="B1031" s="10" t="n">
        <v>21441.35</v>
      </c>
      <c r="C1031" s="11" t="n">
        <v>20.1659</v>
      </c>
      <c r="D1031" s="11" t="n">
        <v>19.9907</v>
      </c>
      <c r="E1031" s="11" t="n">
        <v>20.3411</v>
      </c>
      <c r="F1031" s="12" t="n">
        <f aca="false">IF(C1031="","",B1031/C1031)</f>
        <v>1063.24785900952</v>
      </c>
      <c r="G1031" s="12" t="n">
        <f aca="false">MEDIAN(F1021:F1041)</f>
        <v>1071.19383365201</v>
      </c>
      <c r="H1031" s="13" t="n">
        <f aca="false">B1031/G1031</f>
        <v>20.0163120122717</v>
      </c>
      <c r="I1031" s="14" t="n">
        <f aca="false">B1031/Summary!$C$8*100</f>
        <v>214.86256275616</v>
      </c>
      <c r="J1031" s="14" t="n">
        <f aca="false">G1031/Summary!$E$8*100</f>
        <v>182.055630343641</v>
      </c>
      <c r="K1031" s="15" t="n">
        <f aca="false">Summary!$D$9</f>
        <v>16.9374488591431</v>
      </c>
      <c r="L1031" s="16" t="str">
        <f aca="false">IF(OR(D1031="",E1031=""),"edge hidden",IF(AND(H1031&gt;=D1031-0.02,H1031&lt;=E1031+0.02),"yes","no"))</f>
        <v>yes</v>
      </c>
    </row>
    <row r="1032" customFormat="false" ht="15" hidden="false" customHeight="false" outlineLevel="0" collapsed="false">
      <c r="A1032" s="9" t="n">
        <v>45287</v>
      </c>
      <c r="B1032" s="10" t="n">
        <v>21654.75</v>
      </c>
      <c r="C1032" s="11" t="n">
        <v>20.1738</v>
      </c>
      <c r="D1032" s="11" t="n">
        <v>20.0065</v>
      </c>
      <c r="E1032" s="11" t="n">
        <v>20.3411</v>
      </c>
      <c r="F1032" s="12" t="n">
        <f aca="false">IF(C1032="","",B1032/C1032)</f>
        <v>1073.40957082949</v>
      </c>
      <c r="G1032" s="12" t="n">
        <f aca="false">MEDIAN(F1022:F1042)</f>
        <v>1071.74702774108</v>
      </c>
      <c r="H1032" s="13" t="n">
        <f aca="false">B1032/G1032</f>
        <v>20.205094522764</v>
      </c>
      <c r="I1032" s="14" t="n">
        <f aca="false">B1032/Summary!$C$8*100</f>
        <v>217.001032157209</v>
      </c>
      <c r="J1032" s="14" t="n">
        <f aca="false">G1032/Summary!$E$8*100</f>
        <v>182.149648900718</v>
      </c>
      <c r="K1032" s="15" t="n">
        <f aca="false">Summary!$D$9</f>
        <v>16.9374488591431</v>
      </c>
      <c r="L1032" s="16" t="str">
        <f aca="false">IF(OR(D1032="",E1032=""),"edge hidden",IF(AND(H1032&gt;=D1032-0.02,H1032&lt;=E1032+0.02),"yes","no"))</f>
        <v>yes</v>
      </c>
    </row>
    <row r="1033" customFormat="false" ht="15" hidden="false" customHeight="false" outlineLevel="0" collapsed="false">
      <c r="A1033" s="9" t="n">
        <v>45288</v>
      </c>
      <c r="B1033" s="10" t="n">
        <v>21778.7</v>
      </c>
      <c r="C1033" s="11" t="n">
        <v>20.1817</v>
      </c>
      <c r="D1033" s="11" t="n">
        <v>20.0222</v>
      </c>
      <c r="E1033" s="11" t="n">
        <v>20.3411</v>
      </c>
      <c r="F1033" s="12" t="n">
        <f aca="false">IF(C1033="","",B1033/C1033)</f>
        <v>1079.13109401091</v>
      </c>
      <c r="G1033" s="12" t="n">
        <f aca="false">MEDIAN(F1023:F1043)</f>
        <v>1073.40957082949</v>
      </c>
      <c r="H1033" s="13" t="n">
        <f aca="false">B1033/G1033</f>
        <v>20.2892731645482</v>
      </c>
      <c r="I1033" s="14" t="n">
        <f aca="false">B1033/Summary!$C$8*100</f>
        <v>218.243128137808</v>
      </c>
      <c r="J1033" s="14" t="n">
        <f aca="false">G1033/Summary!$E$8*100</f>
        <v>182.43220778075</v>
      </c>
      <c r="K1033" s="15" t="n">
        <f aca="false">Summary!$D$9</f>
        <v>16.9374488591431</v>
      </c>
      <c r="L1033" s="16" t="str">
        <f aca="false">IF(OR(D1033="",E1033=""),"edge hidden",IF(AND(H1033&gt;=D1033-0.02,H1033&lt;=E1033+0.02),"yes","no"))</f>
        <v>yes</v>
      </c>
    </row>
    <row r="1034" customFormat="false" ht="15" hidden="false" customHeight="false" outlineLevel="0" collapsed="false">
      <c r="A1034" s="9" t="n">
        <v>45289</v>
      </c>
      <c r="B1034" s="10" t="n">
        <v>21731.4</v>
      </c>
      <c r="C1034" s="11" t="n">
        <v>20.1856</v>
      </c>
      <c r="D1034" s="11" t="n">
        <v>20.038</v>
      </c>
      <c r="E1034" s="11" t="n">
        <v>20.3332</v>
      </c>
      <c r="F1034" s="12" t="n">
        <f aca="false">IF(C1034="","",B1034/C1034)</f>
        <v>1076.57934369055</v>
      </c>
      <c r="G1034" s="12" t="n">
        <f aca="false">MEDIAN(F1024:F1044)</f>
        <v>1073.68036474833</v>
      </c>
      <c r="H1034" s="13" t="n">
        <f aca="false">B1034/G1034</f>
        <v>20.240101908815</v>
      </c>
      <c r="I1034" s="14" t="n">
        <f aca="false">B1034/Summary!$C$8*100</f>
        <v>217.76913749737</v>
      </c>
      <c r="J1034" s="14" t="n">
        <f aca="false">G1034/Summary!$E$8*100</f>
        <v>182.47823078428</v>
      </c>
      <c r="K1034" s="15" t="n">
        <f aca="false">Summary!$D$9</f>
        <v>16.9374488591431</v>
      </c>
      <c r="L1034" s="16" t="str">
        <f aca="false">IF(OR(D1034="",E1034=""),"edge hidden",IF(AND(H1034&gt;=D1034-0.02,H1034&lt;=E1034+0.02),"yes","no"))</f>
        <v>yes</v>
      </c>
    </row>
    <row r="1035" customFormat="false" ht="15" hidden="false" customHeight="false" outlineLevel="0" collapsed="false">
      <c r="A1035" s="9" t="n">
        <v>45292</v>
      </c>
      <c r="B1035" s="10" t="n">
        <v>21741.9</v>
      </c>
      <c r="C1035" s="11" t="n">
        <v>20.1226</v>
      </c>
      <c r="D1035" s="11" t="n">
        <v>20.0222</v>
      </c>
      <c r="E1035" s="11" t="n">
        <v>20.223</v>
      </c>
      <c r="F1035" s="12" t="n">
        <f aca="false">IF(C1035="","",B1035/C1035)</f>
        <v>1080.47170842734</v>
      </c>
      <c r="G1035" s="12" t="n">
        <f aca="false">MEDIAN(F1025:F1045)</f>
        <v>1074.34923916393</v>
      </c>
      <c r="H1035" s="13" t="n">
        <f aca="false">B1035/G1035</f>
        <v>20.2372740701337</v>
      </c>
      <c r="I1035" s="14" t="n">
        <f aca="false">B1035/Summary!$C$8*100</f>
        <v>217.874357406981</v>
      </c>
      <c r="J1035" s="14" t="n">
        <f aca="false">G1035/Summary!$E$8*100</f>
        <v>182.591909886536</v>
      </c>
      <c r="K1035" s="15" t="n">
        <f aca="false">Summary!$D$9</f>
        <v>16.9374488591431</v>
      </c>
      <c r="L1035" s="16" t="str">
        <f aca="false">IF(OR(D1035="",E1035=""),"edge hidden",IF(AND(H1035&gt;=D1035-0.02,H1035&lt;=E1035+0.02),"yes","no"))</f>
        <v>yes</v>
      </c>
    </row>
    <row r="1036" customFormat="false" ht="15" hidden="false" customHeight="false" outlineLevel="0" collapsed="false">
      <c r="A1036" s="9" t="n">
        <v>45293</v>
      </c>
      <c r="B1036" s="10" t="n">
        <v>21665.8</v>
      </c>
      <c r="C1036" s="11" t="n">
        <v>20.1187</v>
      </c>
      <c r="D1036" s="11" t="n">
        <v>20.0222</v>
      </c>
      <c r="E1036" s="11" t="n">
        <v>20.2151</v>
      </c>
      <c r="F1036" s="12" t="n">
        <f aca="false">IF(C1036="","",B1036/C1036)</f>
        <v>1076.89860676883</v>
      </c>
      <c r="G1036" s="12" t="n">
        <f aca="false">MEDIAN(F1026:F1046)</f>
        <v>1074.34923916393</v>
      </c>
      <c r="H1036" s="13" t="n">
        <f aca="false">B1036/G1036</f>
        <v>20.1664404927216</v>
      </c>
      <c r="I1036" s="14" t="n">
        <f aca="false">B1036/Summary!$C$8*100</f>
        <v>217.111763585895</v>
      </c>
      <c r="J1036" s="14" t="n">
        <f aca="false">G1036/Summary!$E$8*100</f>
        <v>182.591909886536</v>
      </c>
      <c r="K1036" s="15" t="n">
        <f aca="false">Summary!$D$9</f>
        <v>16.9374488591431</v>
      </c>
      <c r="L1036" s="16" t="str">
        <f aca="false">IF(OR(D1036="",E1036=""),"edge hidden",IF(AND(H1036&gt;=D1036-0.02,H1036&lt;=E1036+0.02),"yes","no"))</f>
        <v>yes</v>
      </c>
    </row>
    <row r="1037" customFormat="false" ht="15" hidden="false" customHeight="false" outlineLevel="0" collapsed="false">
      <c r="A1037" s="9" t="n">
        <v>45294</v>
      </c>
      <c r="B1037" s="10" t="n">
        <v>21517.35</v>
      </c>
      <c r="C1037" s="11" t="n">
        <v>20.1029</v>
      </c>
      <c r="D1037" s="11" t="n">
        <v>20.0065</v>
      </c>
      <c r="E1037" s="11" t="n">
        <v>20.1994</v>
      </c>
      <c r="F1037" s="12" t="n">
        <f aca="false">IF(C1037="","",B1037/C1037)</f>
        <v>1070.36049525193</v>
      </c>
      <c r="G1037" s="12" t="n">
        <f aca="false">MEDIAN(F1027:F1047)</f>
        <v>1074.34923916393</v>
      </c>
      <c r="H1037" s="13" t="n">
        <f aca="false">B1037/G1037</f>
        <v>20.0282638229866</v>
      </c>
      <c r="I1037" s="14" t="n">
        <f aca="false">B1037/Summary!$C$8*100</f>
        <v>215.624154482869</v>
      </c>
      <c r="J1037" s="14" t="n">
        <f aca="false">G1037/Summary!$E$8*100</f>
        <v>182.591909886536</v>
      </c>
      <c r="K1037" s="15" t="n">
        <f aca="false">Summary!$D$9</f>
        <v>16.9374488591431</v>
      </c>
      <c r="L1037" s="16" t="str">
        <f aca="false">IF(OR(D1037="",E1037=""),"edge hidden",IF(AND(H1037&gt;=D1037-0.02,H1037&lt;=E1037+0.02),"yes","no"))</f>
        <v>yes</v>
      </c>
    </row>
    <row r="1038" customFormat="false" ht="15" hidden="false" customHeight="false" outlineLevel="0" collapsed="false">
      <c r="A1038" s="9" t="n">
        <v>45295</v>
      </c>
      <c r="B1038" s="10" t="n">
        <v>21658.6</v>
      </c>
      <c r="C1038" s="11" t="n">
        <v>20.0951</v>
      </c>
      <c r="D1038" s="11" t="n">
        <v>19.9986</v>
      </c>
      <c r="E1038" s="11" t="n">
        <v>20.1915</v>
      </c>
      <c r="F1038" s="12" t="n">
        <f aca="false">IF(C1038="","",B1038/C1038)</f>
        <v>1077.80503704883</v>
      </c>
      <c r="G1038" s="12" t="n">
        <f aca="false">MEDIAN(F1028:F1048)</f>
        <v>1074.34923916393</v>
      </c>
      <c r="H1038" s="13" t="n">
        <f aca="false">B1038/G1038</f>
        <v>20.1597387613501</v>
      </c>
      <c r="I1038" s="14" t="n">
        <f aca="false">B1038/Summary!$C$8*100</f>
        <v>217.039612790733</v>
      </c>
      <c r="J1038" s="14" t="n">
        <f aca="false">G1038/Summary!$E$8*100</f>
        <v>182.591909886536</v>
      </c>
      <c r="K1038" s="15" t="n">
        <f aca="false">Summary!$D$9</f>
        <v>16.9374488591431</v>
      </c>
      <c r="L1038" s="16" t="str">
        <f aca="false">IF(OR(D1038="",E1038=""),"edge hidden",IF(AND(H1038&gt;=D1038-0.02,H1038&lt;=E1038+0.02),"yes","no"))</f>
        <v>yes</v>
      </c>
    </row>
    <row r="1039" customFormat="false" ht="15" hidden="false" customHeight="false" outlineLevel="0" collapsed="false">
      <c r="A1039" s="9" t="n">
        <v>45296</v>
      </c>
      <c r="B1039" s="10" t="n">
        <v>21710.8</v>
      </c>
      <c r="C1039" s="11" t="n">
        <v>20.0872</v>
      </c>
      <c r="D1039" s="11" t="n">
        <v>19.9907</v>
      </c>
      <c r="E1039" s="11" t="n">
        <v>20.1836</v>
      </c>
      <c r="F1039" s="12" t="n">
        <f aca="false">IF(C1039="","",B1039/C1039)</f>
        <v>1080.82759170019</v>
      </c>
      <c r="G1039" s="12" t="n">
        <f aca="false">MEDIAN(F1029:F1049)</f>
        <v>1074.71341405897</v>
      </c>
      <c r="H1039" s="13" t="n">
        <f aca="false">B1039/G1039</f>
        <v>20.201478567205</v>
      </c>
      <c r="I1039" s="14" t="n">
        <f aca="false">B1039/Summary!$C$8*100</f>
        <v>217.562706055656</v>
      </c>
      <c r="J1039" s="14" t="n">
        <f aca="false">G1039/Summary!$E$8*100</f>
        <v>182.653803530795</v>
      </c>
      <c r="K1039" s="15" t="n">
        <f aca="false">Summary!$D$9</f>
        <v>16.9374488591431</v>
      </c>
      <c r="L1039" s="16" t="str">
        <f aca="false">IF(OR(D1039="",E1039=""),"edge hidden",IF(AND(H1039&gt;=D1039-0.02,H1039&lt;=E1039+0.02),"yes","no"))</f>
        <v>yes</v>
      </c>
    </row>
    <row r="1040" customFormat="false" ht="15" hidden="false" customHeight="false" outlineLevel="0" collapsed="false">
      <c r="A1040" s="9" t="n">
        <v>45299</v>
      </c>
      <c r="B1040" s="10" t="n">
        <v>21513</v>
      </c>
      <c r="C1040" s="11" t="n">
        <v>20.0832</v>
      </c>
      <c r="D1040" s="11" t="n">
        <v>19.975</v>
      </c>
      <c r="E1040" s="11" t="n">
        <v>20.1915</v>
      </c>
      <c r="F1040" s="12" t="n">
        <f aca="false">IF(C1040="","",B1040/C1040)</f>
        <v>1071.19383365201</v>
      </c>
      <c r="G1040" s="12" t="n">
        <f aca="false">MEDIAN(F1030:F1050)</f>
        <v>1076.57934369055</v>
      </c>
      <c r="H1040" s="13" t="n">
        <f aca="false">B1040/G1040</f>
        <v>19.9827352494547</v>
      </c>
      <c r="I1040" s="14" t="n">
        <f aca="false">B1040/Summary!$C$8*100</f>
        <v>215.580563377459</v>
      </c>
      <c r="J1040" s="14" t="n">
        <f aca="false">G1040/Summary!$E$8*100</f>
        <v>182.970929138302</v>
      </c>
      <c r="K1040" s="15" t="n">
        <f aca="false">Summary!$D$9</f>
        <v>16.9374488591431</v>
      </c>
      <c r="L1040" s="16" t="str">
        <f aca="false">IF(OR(D1040="",E1040=""),"edge hidden",IF(AND(H1040&gt;=D1040-0.02,H1040&lt;=E1040+0.02),"yes","no"))</f>
        <v>yes</v>
      </c>
    </row>
    <row r="1041" customFormat="false" ht="15" hidden="false" customHeight="false" outlineLevel="0" collapsed="false">
      <c r="A1041" s="9" t="n">
        <v>45300</v>
      </c>
      <c r="B1041" s="10" t="n">
        <v>21544.85</v>
      </c>
      <c r="C1041" s="11" t="n">
        <v>20.1147</v>
      </c>
      <c r="D1041" s="11" t="n">
        <v>19.9907</v>
      </c>
      <c r="E1041" s="11" t="n">
        <v>20.2388</v>
      </c>
      <c r="F1041" s="12" t="n">
        <f aca="false">IF(C1041="","",B1041/C1041)</f>
        <v>1071.09974297404</v>
      </c>
      <c r="G1041" s="12" t="n">
        <f aca="false">MEDIAN(F1031:F1051)</f>
        <v>1076.89860676883</v>
      </c>
      <c r="H1041" s="13" t="n">
        <f aca="false">B1041/G1041</f>
        <v>20.0063867337001</v>
      </c>
      <c r="I1041" s="14" t="n">
        <f aca="false">B1041/Summary!$C$8*100</f>
        <v>215.899730436613</v>
      </c>
      <c r="J1041" s="14" t="n">
        <f aca="false">G1041/Summary!$E$8*100</f>
        <v>183.025189757748</v>
      </c>
      <c r="K1041" s="15" t="n">
        <f aca="false">Summary!$D$9</f>
        <v>16.9374488591431</v>
      </c>
      <c r="L1041" s="16" t="str">
        <f aca="false">IF(OR(D1041="",E1041=""),"edge hidden",IF(AND(H1041&gt;=D1041-0.02,H1041&lt;=E1041+0.02),"yes","no"))</f>
        <v>yes</v>
      </c>
    </row>
    <row r="1042" customFormat="false" ht="15" hidden="false" customHeight="false" outlineLevel="0" collapsed="false">
      <c r="A1042" s="9" t="n">
        <v>45301</v>
      </c>
      <c r="B1042" s="10" t="n">
        <v>21618.7</v>
      </c>
      <c r="C1042" s="11" t="n">
        <v>20.1226</v>
      </c>
      <c r="D1042" s="11" t="n">
        <v>19.9907</v>
      </c>
      <c r="E1042" s="11" t="n">
        <v>20.2545</v>
      </c>
      <c r="F1042" s="12" t="n">
        <f aca="false">IF(C1042="","",B1042/C1042)</f>
        <v>1074.34923916393</v>
      </c>
      <c r="G1042" s="12" t="n">
        <f aca="false">MEDIAN(F1032:F1052)</f>
        <v>1077.80503704883</v>
      </c>
      <c r="H1042" s="13" t="n">
        <f aca="false">B1042/G1042</f>
        <v>20.0580803177491</v>
      </c>
      <c r="I1042" s="14" t="n">
        <f aca="false">B1042/Summary!$C$8*100</f>
        <v>216.639777134211</v>
      </c>
      <c r="J1042" s="14" t="n">
        <f aca="false">G1042/Summary!$E$8*100</f>
        <v>183.179242862615</v>
      </c>
      <c r="K1042" s="15" t="n">
        <f aca="false">Summary!$D$9</f>
        <v>16.9374488591431</v>
      </c>
      <c r="L1042" s="16" t="str">
        <f aca="false">IF(OR(D1042="",E1042=""),"edge hidden",IF(AND(H1042&gt;=D1042-0.02,H1042&lt;=E1042+0.02),"yes","no"))</f>
        <v>yes</v>
      </c>
    </row>
    <row r="1043" customFormat="false" ht="15" hidden="false" customHeight="false" outlineLevel="0" collapsed="false">
      <c r="A1043" s="9" t="n">
        <v>45302</v>
      </c>
      <c r="B1043" s="10" t="n">
        <v>21647.2</v>
      </c>
      <c r="C1043" s="11" t="n">
        <v>20.1423</v>
      </c>
      <c r="D1043" s="11" t="n">
        <v>20.0065</v>
      </c>
      <c r="E1043" s="11" t="n">
        <v>20.2781</v>
      </c>
      <c r="F1043" s="12" t="n">
        <f aca="false">IF(C1043="","",B1043/C1043)</f>
        <v>1074.71341405897</v>
      </c>
      <c r="G1043" s="12" t="n">
        <f aca="false">MEDIAN(F1033:F1053)</f>
        <v>1079.11410091608</v>
      </c>
      <c r="H1043" s="13" t="n">
        <f aca="false">B1043/G1043</f>
        <v>20.0601585889975</v>
      </c>
      <c r="I1043" s="14" t="n">
        <f aca="false">B1043/Summary!$C$8*100</f>
        <v>216.925374031726</v>
      </c>
      <c r="J1043" s="14" t="n">
        <f aca="false">G1043/Summary!$E$8*100</f>
        <v>183.401725890453</v>
      </c>
      <c r="K1043" s="15" t="n">
        <f aca="false">Summary!$D$9</f>
        <v>16.9374488591431</v>
      </c>
      <c r="L1043" s="16" t="str">
        <f aca="false">IF(OR(D1043="",E1043=""),"edge hidden",IF(AND(H1043&gt;=D1043-0.02,H1043&lt;=E1043+0.02),"yes","no"))</f>
        <v>yes</v>
      </c>
    </row>
    <row r="1044" customFormat="false" ht="15" hidden="false" customHeight="false" outlineLevel="0" collapsed="false">
      <c r="A1044" s="9" t="n">
        <v>45303</v>
      </c>
      <c r="B1044" s="10" t="n">
        <v>21894.55</v>
      </c>
      <c r="C1044" s="11" t="n">
        <v>20.1935</v>
      </c>
      <c r="D1044" s="11" t="n">
        <v>19.9986</v>
      </c>
      <c r="E1044" s="11" t="n">
        <v>20.3884</v>
      </c>
      <c r="F1044" s="12" t="n">
        <f aca="false">IF(C1044="","",B1044/C1044)</f>
        <v>1084.23750216654</v>
      </c>
      <c r="G1044" s="12" t="n">
        <f aca="false">MEDIAN(F1034:F1054)</f>
        <v>1079.11410091608</v>
      </c>
      <c r="H1044" s="13" t="n">
        <f aca="false">B1044/G1044</f>
        <v>20.2893743872064</v>
      </c>
      <c r="I1044" s="14" t="n">
        <f aca="false">B1044/Summary!$C$8*100</f>
        <v>219.40405447385</v>
      </c>
      <c r="J1044" s="14" t="n">
        <f aca="false">G1044/Summary!$E$8*100</f>
        <v>183.401725890453</v>
      </c>
      <c r="K1044" s="15" t="n">
        <f aca="false">Summary!$D$9</f>
        <v>16.9374488591431</v>
      </c>
      <c r="L1044" s="16" t="str">
        <f aca="false">IF(OR(D1044="",E1044=""),"edge hidden",IF(AND(H1044&gt;=D1044-0.02,H1044&lt;=E1044+0.02),"yes","no"))</f>
        <v>yes</v>
      </c>
    </row>
    <row r="1045" customFormat="false" ht="15" hidden="false" customHeight="false" outlineLevel="0" collapsed="false">
      <c r="A1045" s="9" t="n">
        <v>45306</v>
      </c>
      <c r="B1045" s="10" t="n">
        <v>22097.45</v>
      </c>
      <c r="C1045" s="11" t="n">
        <v>20.1226</v>
      </c>
      <c r="D1045" s="11" t="n">
        <v>19.8569</v>
      </c>
      <c r="E1045" s="11" t="n">
        <v>20.3884</v>
      </c>
      <c r="F1045" s="12" t="n">
        <f aca="false">IF(C1045="","",B1045/C1045)</f>
        <v>1098.14089630565</v>
      </c>
      <c r="G1045" s="12" t="n">
        <f aca="false">MEDIAN(F1035:F1055)</f>
        <v>1080.47170842734</v>
      </c>
      <c r="H1045" s="13" t="n">
        <f aca="false">B1045/G1045</f>
        <v>20.4516692363593</v>
      </c>
      <c r="I1045" s="14" t="n">
        <f aca="false">B1045/Summary!$C$8*100</f>
        <v>221.437303965287</v>
      </c>
      <c r="J1045" s="14" t="n">
        <f aca="false">G1045/Summary!$E$8*100</f>
        <v>183.632459193294</v>
      </c>
      <c r="K1045" s="15" t="n">
        <f aca="false">Summary!$D$9</f>
        <v>16.9374488591431</v>
      </c>
      <c r="L1045" s="16" t="str">
        <f aca="false">IF(OR(D1045="",E1045=""),"edge hidden",IF(AND(H1045&gt;=D1045-0.02,H1045&lt;=E1045+0.02),"yes","no"))</f>
        <v>no</v>
      </c>
    </row>
    <row r="1046" customFormat="false" ht="15" hidden="false" customHeight="false" outlineLevel="0" collapsed="false">
      <c r="A1046" s="9" t="n">
        <v>45307</v>
      </c>
      <c r="B1046" s="10" t="n">
        <v>22032.3</v>
      </c>
      <c r="C1046" s="11" t="n">
        <v>20.1147</v>
      </c>
      <c r="D1046" s="11" t="n">
        <v>19.8411</v>
      </c>
      <c r="E1046" s="11" t="n">
        <v>20.3884</v>
      </c>
      <c r="F1046" s="12" t="n">
        <f aca="false">IF(C1046="","",B1046/C1046)</f>
        <v>1095.33326373249</v>
      </c>
      <c r="G1046" s="12" t="n">
        <f aca="false">MEDIAN(F1036:F1056)</f>
        <v>1080.82759170019</v>
      </c>
      <c r="H1046" s="13" t="n">
        <f aca="false">B1046/G1046</f>
        <v>20.3846572470844</v>
      </c>
      <c r="I1046" s="14" t="n">
        <f aca="false">B1046/Summary!$C$8*100</f>
        <v>220.78443947851</v>
      </c>
      <c r="J1046" s="14" t="n">
        <f aca="false">G1046/Summary!$E$8*100</f>
        <v>183.692943628073</v>
      </c>
      <c r="K1046" s="15" t="n">
        <f aca="false">Summary!$D$9</f>
        <v>16.9374488591431</v>
      </c>
      <c r="L1046" s="16" t="str">
        <f aca="false">IF(OR(D1046="",E1046=""),"edge hidden",IF(AND(H1046&gt;=D1046-0.02,H1046&lt;=E1046+0.02),"yes","no"))</f>
        <v>yes</v>
      </c>
    </row>
    <row r="1047" customFormat="false" ht="15" hidden="false" customHeight="false" outlineLevel="0" collapsed="false">
      <c r="A1047" s="9" t="n">
        <v>45308</v>
      </c>
      <c r="B1047" s="10" t="n">
        <v>21571.95</v>
      </c>
      <c r="C1047" s="11" t="n">
        <v>20.099</v>
      </c>
      <c r="D1047" s="11" t="n">
        <v>19.8332</v>
      </c>
      <c r="E1047" s="11" t="n">
        <v>20.3647</v>
      </c>
      <c r="F1047" s="12" t="n">
        <f aca="false">IF(C1047="","",B1047/C1047)</f>
        <v>1073.28474053436</v>
      </c>
      <c r="G1047" s="12" t="n">
        <f aca="false">MEDIAN(F1037:F1057)</f>
        <v>1084.23750216654</v>
      </c>
      <c r="H1047" s="13" t="n">
        <f aca="false">B1047/G1047</f>
        <v>19.8959637135726</v>
      </c>
      <c r="I1047" s="14" t="n">
        <f aca="false">B1047/Summary!$C$8*100</f>
        <v>216.171298012847</v>
      </c>
      <c r="J1047" s="14" t="n">
        <f aca="false">G1047/Summary!$E$8*100</f>
        <v>184.272477770134</v>
      </c>
      <c r="K1047" s="15" t="n">
        <f aca="false">Summary!$D$9</f>
        <v>16.9374488591431</v>
      </c>
      <c r="L1047" s="16" t="str">
        <f aca="false">IF(OR(D1047="",E1047=""),"edge hidden",IF(AND(H1047&gt;=D1047-0.02,H1047&lt;=E1047+0.02),"yes","no"))</f>
        <v>yes</v>
      </c>
    </row>
    <row r="1048" customFormat="false" ht="15" hidden="false" customHeight="false" outlineLevel="0" collapsed="false">
      <c r="A1048" s="9" t="n">
        <v>45309</v>
      </c>
      <c r="B1048" s="10" t="n">
        <v>21462.25</v>
      </c>
      <c r="C1048" s="11" t="n">
        <v>20.0832</v>
      </c>
      <c r="D1048" s="11" t="n">
        <v>19.8175</v>
      </c>
      <c r="E1048" s="11" t="n">
        <v>20.349</v>
      </c>
      <c r="F1048" s="12" t="n">
        <f aca="false">IF(C1048="","",B1048/C1048)</f>
        <v>1068.66684592097</v>
      </c>
      <c r="G1048" s="12" t="n">
        <f aca="false">MEDIAN(F1038:F1058)</f>
        <v>1086.43811457082</v>
      </c>
      <c r="H1048" s="13" t="n">
        <f aca="false">B1048/G1048</f>
        <v>19.7546916958802</v>
      </c>
      <c r="I1048" s="14" t="n">
        <f aca="false">B1048/Summary!$C$8*100</f>
        <v>215.072000481005</v>
      </c>
      <c r="J1048" s="14" t="n">
        <f aca="false">G1048/Summary!$E$8*100</f>
        <v>184.646484663955</v>
      </c>
      <c r="K1048" s="15" t="n">
        <f aca="false">Summary!$D$9</f>
        <v>16.9374488591431</v>
      </c>
      <c r="L1048" s="16" t="str">
        <f aca="false">IF(OR(D1048="",E1048=""),"edge hidden",IF(AND(H1048&gt;=D1048-0.02,H1048&lt;=E1048+0.02),"yes","no"))</f>
        <v>no</v>
      </c>
    </row>
    <row r="1049" customFormat="false" ht="15" hidden="false" customHeight="false" outlineLevel="0" collapsed="false">
      <c r="A1049" s="9" t="n">
        <v>45310</v>
      </c>
      <c r="B1049" s="10" t="n">
        <v>21622.4</v>
      </c>
      <c r="C1049" s="11" t="n">
        <v>19.9021</v>
      </c>
      <c r="D1049" s="11" t="n">
        <v>19.6994</v>
      </c>
      <c r="E1049" s="11" t="n">
        <v>20.1049</v>
      </c>
      <c r="F1049" s="12" t="n">
        <f aca="false">IF(C1049="","",B1049/C1049)</f>
        <v>1086.43811457082</v>
      </c>
      <c r="G1049" s="12" t="n">
        <f aca="false">MEDIAN(F1039:F1059)</f>
        <v>1091.35975175501</v>
      </c>
      <c r="H1049" s="13" t="n">
        <f aca="false">B1049/G1049</f>
        <v>19.8123487376451</v>
      </c>
      <c r="I1049" s="14" t="n">
        <f aca="false">B1049/Summary!$C$8*100</f>
        <v>216.676854626169</v>
      </c>
      <c r="J1049" s="14" t="n">
        <f aca="false">G1049/Summary!$E$8*100</f>
        <v>185.48294556556</v>
      </c>
      <c r="K1049" s="15" t="n">
        <f aca="false">Summary!$D$9</f>
        <v>16.9374488591431</v>
      </c>
      <c r="L1049" s="16" t="str">
        <f aca="false">IF(OR(D1049="",E1049=""),"edge hidden",IF(AND(H1049&gt;=D1049-0.02,H1049&lt;=E1049+0.02),"yes","no"))</f>
        <v>yes</v>
      </c>
    </row>
    <row r="1050" customFormat="false" ht="15" hidden="false" customHeight="false" outlineLevel="0" collapsed="false">
      <c r="A1050" s="9" t="n">
        <v>45314</v>
      </c>
      <c r="B1050" s="10" t="n">
        <v>21238.8</v>
      </c>
      <c r="C1050" s="11" t="n">
        <v>19.6817</v>
      </c>
      <c r="D1050" s="11" t="n">
        <v>19.5262</v>
      </c>
      <c r="E1050" s="11" t="n">
        <v>19.8372</v>
      </c>
      <c r="F1050" s="12" t="n">
        <f aca="false">IF(C1050="","",B1050/C1050)</f>
        <v>1079.11410091608</v>
      </c>
      <c r="G1050" s="12" t="n">
        <f aca="false">MEDIAN(F1040:F1060)</f>
        <v>1092.32752534812</v>
      </c>
      <c r="H1050" s="13" t="n">
        <f aca="false">B1050/G1050</f>
        <v>19.4436187930275</v>
      </c>
      <c r="I1050" s="14" t="n">
        <f aca="false">B1050/Summary!$C$8*100</f>
        <v>212.832820595044</v>
      </c>
      <c r="J1050" s="14" t="n">
        <f aca="false">G1050/Summary!$E$8*100</f>
        <v>185.647424323735</v>
      </c>
      <c r="K1050" s="15" t="n">
        <f aca="false">Summary!$D$9</f>
        <v>16.9374488591431</v>
      </c>
      <c r="L1050" s="16" t="str">
        <f aca="false">IF(OR(D1050="",E1050=""),"edge hidden",IF(AND(H1050&gt;=D1050-0.02,H1050&lt;=E1050+0.02),"yes","no"))</f>
        <v>no</v>
      </c>
    </row>
    <row r="1051" customFormat="false" ht="15" hidden="false" customHeight="false" outlineLevel="0" collapsed="false">
      <c r="A1051" s="9" t="n">
        <v>45315</v>
      </c>
      <c r="B1051" s="10" t="n">
        <v>21453.95</v>
      </c>
      <c r="C1051" s="11" t="n">
        <v>19.658</v>
      </c>
      <c r="D1051" s="11" t="n">
        <v>19.5025</v>
      </c>
      <c r="E1051" s="11" t="n">
        <v>19.8136</v>
      </c>
      <c r="F1051" s="12" t="n">
        <f aca="false">IF(C1051="","",B1051/C1051)</f>
        <v>1091.35975175501</v>
      </c>
      <c r="G1051" s="12" t="n">
        <f aca="false">MEDIAN(F1041:F1061)</f>
        <v>1095.33326373249</v>
      </c>
      <c r="H1051" s="13" t="n">
        <f aca="false">B1051/G1051</f>
        <v>19.5866871849512</v>
      </c>
      <c r="I1051" s="14" t="n">
        <f aca="false">B1051/Summary!$C$8*100</f>
        <v>214.988826647694</v>
      </c>
      <c r="J1051" s="14" t="n">
        <f aca="false">G1051/Summary!$E$8*100</f>
        <v>186.158267066686</v>
      </c>
      <c r="K1051" s="15" t="n">
        <f aca="false">Summary!$D$9</f>
        <v>16.9374488591431</v>
      </c>
      <c r="L1051" s="16" t="str">
        <f aca="false">IF(OR(D1051="",E1051=""),"edge hidden",IF(AND(H1051&gt;=D1051-0.02,H1051&lt;=E1051+0.02),"yes","no"))</f>
        <v>yes</v>
      </c>
    </row>
    <row r="1052" customFormat="false" ht="15" hidden="false" customHeight="false" outlineLevel="0" collapsed="false">
      <c r="A1052" s="9" t="n">
        <v>45316</v>
      </c>
      <c r="B1052" s="10" t="n">
        <v>21352.6</v>
      </c>
      <c r="C1052" s="11" t="n">
        <v>19.5478</v>
      </c>
      <c r="D1052" s="11" t="n">
        <v>19.4002</v>
      </c>
      <c r="E1052" s="11" t="n">
        <v>19.6954</v>
      </c>
      <c r="F1052" s="12" t="n">
        <f aca="false">IF(C1052="","",B1052/C1052)</f>
        <v>1092.32752534812</v>
      </c>
      <c r="G1052" s="12" t="n">
        <f aca="false">MEDIAN(F1042:F1062)</f>
        <v>1098.14089630565</v>
      </c>
      <c r="H1052" s="13" t="n">
        <f aca="false">B1052/G1052</f>
        <v>19.4443172746177</v>
      </c>
      <c r="I1052" s="14" t="n">
        <f aca="false">B1052/Summary!$C$8*100</f>
        <v>213.973203996352</v>
      </c>
      <c r="J1052" s="14" t="n">
        <f aca="false">G1052/Summary!$E$8*100</f>
        <v>186.63544057331</v>
      </c>
      <c r="K1052" s="15" t="n">
        <f aca="false">Summary!$D$9</f>
        <v>16.9374488591431</v>
      </c>
      <c r="L1052" s="16" t="str">
        <f aca="false">IF(OR(D1052="",E1052=""),"edge hidden",IF(AND(H1052&gt;=D1052-0.02,H1052&lt;=E1052+0.02),"yes","no"))</f>
        <v>yes</v>
      </c>
    </row>
    <row r="1053" customFormat="false" ht="15" hidden="false" customHeight="false" outlineLevel="0" collapsed="false">
      <c r="A1053" s="9" t="n">
        <v>45320</v>
      </c>
      <c r="B1053" s="10" t="n">
        <v>21737.6</v>
      </c>
      <c r="C1053" s="11" t="n">
        <v>19.4021</v>
      </c>
      <c r="D1053" s="11" t="n">
        <v>19.2191</v>
      </c>
      <c r="E1053" s="11" t="n">
        <v>19.5852</v>
      </c>
      <c r="F1053" s="12" t="n">
        <f aca="false">IF(C1053="","",B1053/C1053)</f>
        <v>1120.37356780967</v>
      </c>
      <c r="G1053" s="12" t="n">
        <f aca="false">MEDIAN(F1043:F1063)</f>
        <v>1111.29412858153</v>
      </c>
      <c r="H1053" s="13" t="n">
        <f aca="false">B1053/G1053</f>
        <v>19.5606180586467</v>
      </c>
      <c r="I1053" s="14" t="n">
        <f aca="false">B1053/Summary!$C$8*100</f>
        <v>217.831267348759</v>
      </c>
      <c r="J1053" s="14" t="n">
        <f aca="false">G1053/Summary!$E$8*100</f>
        <v>188.870908999113</v>
      </c>
      <c r="K1053" s="15" t="n">
        <f aca="false">Summary!$D$9</f>
        <v>16.9374488591431</v>
      </c>
      <c r="L1053" s="16" t="str">
        <f aca="false">IF(OR(D1053="",E1053=""),"edge hidden",IF(AND(H1053&gt;=D1053-0.02,H1053&lt;=E1053+0.02),"yes","no"))</f>
        <v>yes</v>
      </c>
    </row>
    <row r="1054" customFormat="false" ht="15" hidden="false" customHeight="false" outlineLevel="0" collapsed="false">
      <c r="A1054" s="9" t="n">
        <v>45321</v>
      </c>
      <c r="B1054" s="10" t="n">
        <v>21522.1</v>
      </c>
      <c r="C1054" s="11" t="n">
        <v>19.3667</v>
      </c>
      <c r="D1054" s="11" t="n">
        <v>19.2191</v>
      </c>
      <c r="E1054" s="11" t="n">
        <v>19.5143</v>
      </c>
      <c r="F1054" s="12" t="n">
        <f aca="false">IF(C1054="","",B1054/C1054)</f>
        <v>1111.29412858153</v>
      </c>
      <c r="G1054" s="12" t="n">
        <f aca="false">MEDIAN(F1044:F1064)</f>
        <v>1117.50701800642</v>
      </c>
      <c r="H1054" s="13" t="n">
        <f aca="false">B1054/G1054</f>
        <v>19.2590289396074</v>
      </c>
      <c r="I1054" s="14" t="n">
        <f aca="false">B1054/Summary!$C$8*100</f>
        <v>215.671753965788</v>
      </c>
      <c r="J1054" s="14" t="n">
        <f aca="false">G1054/Summary!$E$8*100</f>
        <v>189.926825738893</v>
      </c>
      <c r="K1054" s="15" t="n">
        <f aca="false">Summary!$D$9</f>
        <v>16.9374488591431</v>
      </c>
      <c r="L1054" s="16" t="str">
        <f aca="false">IF(OR(D1054="",E1054=""),"edge hidden",IF(AND(H1054&gt;=D1054-0.02,H1054&lt;=E1054+0.02),"yes","no"))</f>
        <v>yes</v>
      </c>
    </row>
    <row r="1055" customFormat="false" ht="15" hidden="false" customHeight="false" outlineLevel="0" collapsed="false">
      <c r="A1055" s="9" t="n">
        <v>45322</v>
      </c>
      <c r="B1055" s="10" t="n">
        <v>21725.7</v>
      </c>
      <c r="C1055" s="11" t="n">
        <v>19.3431</v>
      </c>
      <c r="D1055" s="11" t="n">
        <v>19.2269</v>
      </c>
      <c r="E1055" s="11" t="n">
        <v>19.4592</v>
      </c>
      <c r="F1055" s="12" t="n">
        <f aca="false">IF(C1055="","",B1055/C1055)</f>
        <v>1123.17570606573</v>
      </c>
      <c r="G1055" s="12" t="n">
        <f aca="false">MEDIAN(F1045:F1065)</f>
        <v>1120.37356780967</v>
      </c>
      <c r="H1055" s="13" t="n">
        <f aca="false">B1055/G1055</f>
        <v>19.3914785427094</v>
      </c>
      <c r="I1055" s="14" t="n">
        <f aca="false">B1055/Summary!$C$8*100</f>
        <v>217.712018117866</v>
      </c>
      <c r="J1055" s="14" t="n">
        <f aca="false">G1055/Summary!$E$8*100</f>
        <v>190.41401257189</v>
      </c>
      <c r="K1055" s="15" t="n">
        <f aca="false">Summary!$D$9</f>
        <v>16.9374488591431</v>
      </c>
      <c r="L1055" s="16" t="str">
        <f aca="false">IF(OR(D1055="",E1055=""),"edge hidden",IF(AND(H1055&gt;=D1055-0.02,H1055&lt;=E1055+0.02),"yes","no"))</f>
        <v>yes</v>
      </c>
    </row>
    <row r="1056" customFormat="false" ht="15" hidden="false" customHeight="false" outlineLevel="0" collapsed="false">
      <c r="A1056" s="9" t="n">
        <v>45323</v>
      </c>
      <c r="B1056" s="10" t="n">
        <v>21697.45</v>
      </c>
      <c r="C1056" s="11" t="n">
        <v>19.351</v>
      </c>
      <c r="D1056" s="11" t="n">
        <v>19.2348</v>
      </c>
      <c r="E1056" s="11" t="n">
        <v>19.4671</v>
      </c>
      <c r="F1056" s="12" t="n">
        <f aca="false">IF(C1056="","",B1056/C1056)</f>
        <v>1121.25729936437</v>
      </c>
      <c r="G1056" s="12" t="n">
        <f aca="false">MEDIAN(F1046:F1066)</f>
        <v>1121.25729936437</v>
      </c>
      <c r="H1056" s="13" t="n">
        <f aca="false">B1056/G1056</f>
        <v>19.351</v>
      </c>
      <c r="I1056" s="14" t="n">
        <f aca="false">B1056/Summary!$C$8*100</f>
        <v>217.428926456294</v>
      </c>
      <c r="J1056" s="14" t="n">
        <f aca="false">G1056/Summary!$E$8*100</f>
        <v>190.564207896201</v>
      </c>
      <c r="K1056" s="15" t="n">
        <f aca="false">Summary!$D$9</f>
        <v>16.9374488591431</v>
      </c>
      <c r="L1056" s="16" t="str">
        <f aca="false">IF(OR(D1056="",E1056=""),"edge hidden",IF(AND(H1056&gt;=D1056-0.02,H1056&lt;=E1056+0.02),"yes","no"))</f>
        <v>yes</v>
      </c>
    </row>
    <row r="1057" customFormat="false" ht="15" hidden="false" customHeight="false" outlineLevel="0" collapsed="false">
      <c r="A1057" s="9" t="n">
        <v>45324</v>
      </c>
      <c r="B1057" s="10" t="n">
        <v>21853.8</v>
      </c>
      <c r="C1057" s="11" t="n">
        <v>19.3864</v>
      </c>
      <c r="D1057" s="11" t="n">
        <v>19.3057</v>
      </c>
      <c r="E1057" s="11" t="n">
        <v>19.4671</v>
      </c>
      <c r="F1057" s="12" t="n">
        <f aca="false">IF(C1057="","",B1057/C1057)</f>
        <v>1127.27479057484</v>
      </c>
      <c r="G1057" s="12" t="n">
        <f aca="false">MEDIAN(F1047:F1067)</f>
        <v>1121.67439464194</v>
      </c>
      <c r="H1057" s="13" t="n">
        <f aca="false">B1057/G1057</f>
        <v>19.4831941465297</v>
      </c>
      <c r="I1057" s="14" t="n">
        <f aca="false">B1057/Summary!$C$8*100</f>
        <v>218.995701015122</v>
      </c>
      <c r="J1057" s="14" t="n">
        <f aca="false">G1057/Summary!$E$8*100</f>
        <v>190.635095667662</v>
      </c>
      <c r="K1057" s="15" t="n">
        <f aca="false">Summary!$D$9</f>
        <v>16.9374488591431</v>
      </c>
      <c r="L1057" s="16" t="str">
        <f aca="false">IF(OR(D1057="",E1057=""),"edge hidden",IF(AND(H1057&gt;=D1057-0.02,H1057&lt;=E1057+0.02),"yes","no"))</f>
        <v>yes</v>
      </c>
    </row>
    <row r="1058" customFormat="false" ht="15" hidden="false" customHeight="false" outlineLevel="0" collapsed="false">
      <c r="A1058" s="9" t="n">
        <v>45327</v>
      </c>
      <c r="B1058" s="10" t="n">
        <v>21771.7</v>
      </c>
      <c r="C1058" s="11" t="n">
        <v>19.41</v>
      </c>
      <c r="D1058" s="11" t="n">
        <v>19.3136</v>
      </c>
      <c r="E1058" s="11" t="n">
        <v>19.5065</v>
      </c>
      <c r="F1058" s="12" t="n">
        <f aca="false">IF(C1058="","",B1058/C1058)</f>
        <v>1121.67439464194</v>
      </c>
      <c r="G1058" s="12" t="n">
        <f aca="false">MEDIAN(F1048:F1068)</f>
        <v>1122.93934761501</v>
      </c>
      <c r="H1058" s="13" t="n">
        <f aca="false">B1058/G1058</f>
        <v>19.3881352953215</v>
      </c>
      <c r="I1058" s="14" t="n">
        <f aca="false">B1058/Summary!$C$8*100</f>
        <v>218.172981531401</v>
      </c>
      <c r="J1058" s="14" t="n">
        <f aca="false">G1058/Summary!$E$8*100</f>
        <v>190.850081792147</v>
      </c>
      <c r="K1058" s="15" t="n">
        <f aca="false">Summary!$D$9</f>
        <v>16.9374488591431</v>
      </c>
      <c r="L1058" s="16" t="str">
        <f aca="false">IF(OR(D1058="",E1058=""),"edge hidden",IF(AND(H1058&gt;=D1058-0.02,H1058&lt;=E1058+0.02),"yes","no"))</f>
        <v>yes</v>
      </c>
    </row>
    <row r="1059" customFormat="false" ht="15" hidden="false" customHeight="false" outlineLevel="0" collapsed="false">
      <c r="A1059" s="9" t="n">
        <v>45328</v>
      </c>
      <c r="B1059" s="10" t="n">
        <v>21929.4</v>
      </c>
      <c r="C1059" s="11" t="n">
        <v>19.41</v>
      </c>
      <c r="D1059" s="11" t="n">
        <v>19.3136</v>
      </c>
      <c r="E1059" s="11" t="n">
        <v>19.5065</v>
      </c>
      <c r="F1059" s="12" t="n">
        <f aca="false">IF(C1059="","",B1059/C1059)</f>
        <v>1129.79907264297</v>
      </c>
      <c r="G1059" s="12" t="n">
        <f aca="false">MEDIAN(F1049:F1069)</f>
        <v>1123.17570606573</v>
      </c>
      <c r="H1059" s="13" t="n">
        <f aca="false">B1059/G1059</f>
        <v>19.5244607602977</v>
      </c>
      <c r="I1059" s="14" t="n">
        <f aca="false">B1059/Summary!$C$8*100</f>
        <v>219.753284364321</v>
      </c>
      <c r="J1059" s="14" t="n">
        <f aca="false">G1059/Summary!$E$8*100</f>
        <v>190.890252287327</v>
      </c>
      <c r="K1059" s="15" t="n">
        <f aca="false">Summary!$D$9</f>
        <v>16.9374488591431</v>
      </c>
      <c r="L1059" s="16" t="str">
        <f aca="false">IF(OR(D1059="",E1059=""),"edge hidden",IF(AND(H1059&gt;=D1059-0.02,H1059&lt;=E1059+0.02),"yes","no"))</f>
        <v>yes</v>
      </c>
    </row>
    <row r="1060" customFormat="false" ht="15" hidden="false" customHeight="false" outlineLevel="0" collapsed="false">
      <c r="A1060" s="9" t="n">
        <v>45329</v>
      </c>
      <c r="B1060" s="10" t="n">
        <v>21930.5</v>
      </c>
      <c r="C1060" s="11" t="n">
        <v>19.4021</v>
      </c>
      <c r="D1060" s="11" t="n">
        <v>19.3057</v>
      </c>
      <c r="E1060" s="11" t="n">
        <v>19.4986</v>
      </c>
      <c r="F1060" s="12" t="n">
        <f aca="false">IF(C1060="","",B1060/C1060)</f>
        <v>1130.31579055875</v>
      </c>
      <c r="G1060" s="12" t="n">
        <f aca="false">MEDIAN(F1050:F1070)</f>
        <v>1123.17570606573</v>
      </c>
      <c r="H1060" s="13" t="n">
        <f aca="false">B1060/G1060</f>
        <v>19.52544012621</v>
      </c>
      <c r="I1060" s="14" t="n">
        <f aca="false">B1060/Summary!$C$8*100</f>
        <v>219.764307402471</v>
      </c>
      <c r="J1060" s="14" t="n">
        <f aca="false">G1060/Summary!$E$8*100</f>
        <v>190.890252287327</v>
      </c>
      <c r="K1060" s="15" t="n">
        <f aca="false">Summary!$D$9</f>
        <v>16.9374488591431</v>
      </c>
      <c r="L1060" s="16" t="str">
        <f aca="false">IF(OR(D1060="",E1060=""),"edge hidden",IF(AND(H1060&gt;=D1060-0.02,H1060&lt;=E1060+0.02),"yes","no"))</f>
        <v>no</v>
      </c>
    </row>
    <row r="1061" customFormat="false" ht="15" hidden="false" customHeight="false" outlineLevel="0" collapsed="false">
      <c r="A1061" s="9" t="n">
        <v>45330</v>
      </c>
      <c r="B1061" s="10" t="n">
        <v>21717.95</v>
      </c>
      <c r="C1061" s="11" t="n">
        <v>19.3234</v>
      </c>
      <c r="D1061" s="11" t="n">
        <v>19.1561</v>
      </c>
      <c r="E1061" s="11" t="n">
        <v>19.4907</v>
      </c>
      <c r="F1061" s="12" t="n">
        <f aca="false">IF(C1061="","",B1061/C1061)</f>
        <v>1123.91970357184</v>
      </c>
      <c r="G1061" s="12" t="n">
        <f aca="false">MEDIAN(F1051:F1071)</f>
        <v>1123.91970357184</v>
      </c>
      <c r="H1061" s="13" t="n">
        <f aca="false">B1061/G1061</f>
        <v>19.3234</v>
      </c>
      <c r="I1061" s="14" t="n">
        <f aca="false">B1061/Summary!$C$8*100</f>
        <v>217.63435580363</v>
      </c>
      <c r="J1061" s="14" t="n">
        <f aca="false">G1061/Summary!$E$8*100</f>
        <v>191.01669899631</v>
      </c>
      <c r="K1061" s="15" t="n">
        <f aca="false">Summary!$D$9</f>
        <v>16.9374488591431</v>
      </c>
      <c r="L1061" s="16" t="str">
        <f aca="false">IF(OR(D1061="",E1061=""),"edge hidden",IF(AND(H1061&gt;=D1061-0.02,H1061&lt;=E1061+0.02),"yes","no"))</f>
        <v>yes</v>
      </c>
    </row>
    <row r="1062" customFormat="false" ht="15" hidden="false" customHeight="false" outlineLevel="0" collapsed="false">
      <c r="A1062" s="9" t="n">
        <v>45331</v>
      </c>
      <c r="B1062" s="10" t="n">
        <v>21782.5</v>
      </c>
      <c r="C1062" s="11" t="n">
        <v>19.3116</v>
      </c>
      <c r="D1062" s="11" t="n">
        <v>19.1403</v>
      </c>
      <c r="E1062" s="11" t="n">
        <v>19.4828</v>
      </c>
      <c r="F1062" s="12" t="n">
        <f aca="false">IF(C1062="","",B1062/C1062)</f>
        <v>1127.94900474326</v>
      </c>
      <c r="G1062" s="12" t="n">
        <f aca="false">MEDIAN(F1052:F1072)</f>
        <v>1125.18615518924</v>
      </c>
      <c r="H1062" s="13" t="n">
        <f aca="false">B1062/G1062</f>
        <v>19.359018860605</v>
      </c>
      <c r="I1062" s="14" t="n">
        <f aca="false">B1062/Summary!$C$8*100</f>
        <v>218.281207724143</v>
      </c>
      <c r="J1062" s="14" t="n">
        <f aca="false">G1062/Summary!$E$8*100</f>
        <v>191.231939824125</v>
      </c>
      <c r="K1062" s="15" t="n">
        <f aca="false">Summary!$D$9</f>
        <v>16.9374488591431</v>
      </c>
      <c r="L1062" s="16" t="str">
        <f aca="false">IF(OR(D1062="",E1062=""),"edge hidden",IF(AND(H1062&gt;=D1062-0.02,H1062&lt;=E1062+0.02),"yes","no"))</f>
        <v>yes</v>
      </c>
    </row>
    <row r="1063" customFormat="false" ht="15" hidden="false" customHeight="false" outlineLevel="0" collapsed="false">
      <c r="A1063" s="9" t="n">
        <v>45334</v>
      </c>
      <c r="B1063" s="10" t="n">
        <v>21616.05</v>
      </c>
      <c r="C1063" s="11" t="n">
        <v>19.3431</v>
      </c>
      <c r="D1063" s="11" t="n">
        <v>19.1403</v>
      </c>
      <c r="E1063" s="11" t="n">
        <v>19.5458</v>
      </c>
      <c r="F1063" s="12" t="n">
        <f aca="false">IF(C1063="","",B1063/C1063)</f>
        <v>1117.50701800642</v>
      </c>
      <c r="G1063" s="12" t="n">
        <f aca="false">MEDIAN(F1053:F1073)</f>
        <v>1125.26037412188</v>
      </c>
      <c r="H1063" s="13" t="n">
        <f aca="false">B1063/G1063</f>
        <v>19.2098206753869</v>
      </c>
      <c r="I1063" s="14" t="n">
        <f aca="false">B1063/Summary!$C$8*100</f>
        <v>216.613221633213</v>
      </c>
      <c r="J1063" s="14" t="n">
        <f aca="false">G1063/Summary!$E$8*100</f>
        <v>191.244553763956</v>
      </c>
      <c r="K1063" s="15" t="n">
        <f aca="false">Summary!$D$9</f>
        <v>16.9374488591431</v>
      </c>
      <c r="L1063" s="16" t="str">
        <f aca="false">IF(OR(D1063="",E1063=""),"edge hidden",IF(AND(H1063&gt;=D1063-0.02,H1063&lt;=E1063+0.02),"yes","no"))</f>
        <v>yes</v>
      </c>
    </row>
    <row r="1064" customFormat="false" ht="15" hidden="false" customHeight="false" outlineLevel="0" collapsed="false">
      <c r="A1064" s="9" t="n">
        <v>45335</v>
      </c>
      <c r="B1064" s="10" t="n">
        <v>21743.25</v>
      </c>
      <c r="C1064" s="11" t="n">
        <v>19.3628</v>
      </c>
      <c r="D1064" s="11" t="n">
        <v>19.1403</v>
      </c>
      <c r="E1064" s="11" t="n">
        <v>19.5852</v>
      </c>
      <c r="F1064" s="12" t="n">
        <f aca="false">IF(C1064="","",B1064/C1064)</f>
        <v>1122.93934761501</v>
      </c>
      <c r="G1064" s="12" t="n">
        <f aca="false">MEDIAN(F1054:F1074)</f>
        <v>1126.03200618949</v>
      </c>
      <c r="H1064" s="13" t="n">
        <f aca="false">B1064/G1064</f>
        <v>19.3096198691363</v>
      </c>
      <c r="I1064" s="14" t="n">
        <f aca="false">B1064/Summary!$C$8*100</f>
        <v>217.887885681073</v>
      </c>
      <c r="J1064" s="14" t="n">
        <f aca="false">G1064/Summary!$E$8*100</f>
        <v>191.375697127604</v>
      </c>
      <c r="K1064" s="15" t="n">
        <f aca="false">Summary!$D$9</f>
        <v>16.9374488591431</v>
      </c>
      <c r="L1064" s="16" t="str">
        <f aca="false">IF(OR(D1064="",E1064=""),"edge hidden",IF(AND(H1064&gt;=D1064-0.02,H1064&lt;=E1064+0.02),"yes","no"))</f>
        <v>yes</v>
      </c>
    </row>
    <row r="1065" customFormat="false" ht="15" hidden="false" customHeight="false" outlineLevel="0" collapsed="false">
      <c r="A1065" s="9" t="n">
        <v>45336</v>
      </c>
      <c r="B1065" s="10" t="n">
        <v>21840.05</v>
      </c>
      <c r="C1065" s="11" t="n">
        <v>19.3864</v>
      </c>
      <c r="D1065" s="11" t="n">
        <v>19.1639</v>
      </c>
      <c r="E1065" s="11" t="n">
        <v>19.6088</v>
      </c>
      <c r="F1065" s="12" t="n">
        <f aca="false">IF(C1065="","",B1065/C1065)</f>
        <v>1126.56553047497</v>
      </c>
      <c r="G1065" s="12" t="n">
        <f aca="false">MEDIAN(F1055:F1075)</f>
        <v>1126.03200618949</v>
      </c>
      <c r="H1065" s="13" t="n">
        <f aca="false">B1065/G1065</f>
        <v>19.3955854540112</v>
      </c>
      <c r="I1065" s="14" t="n">
        <f aca="false">B1065/Summary!$C$8*100</f>
        <v>218.85791303825</v>
      </c>
      <c r="J1065" s="14" t="n">
        <f aca="false">G1065/Summary!$E$8*100</f>
        <v>191.375697127604</v>
      </c>
      <c r="K1065" s="15" t="n">
        <f aca="false">Summary!$D$9</f>
        <v>16.9374488591431</v>
      </c>
      <c r="L1065" s="16" t="str">
        <f aca="false">IF(OR(D1065="",E1065=""),"edge hidden",IF(AND(H1065&gt;=D1065-0.02,H1065&lt;=E1065+0.02),"yes","no"))</f>
        <v>yes</v>
      </c>
    </row>
    <row r="1066" customFormat="false" ht="15" hidden="false" customHeight="false" outlineLevel="0" collapsed="false">
      <c r="A1066" s="9" t="n">
        <v>45337</v>
      </c>
      <c r="B1066" s="10" t="n">
        <v>21910.75</v>
      </c>
      <c r="C1066" s="11" t="n">
        <v>19.473</v>
      </c>
      <c r="D1066" s="11" t="n">
        <v>19.3293</v>
      </c>
      <c r="E1066" s="11" t="n">
        <v>19.6167</v>
      </c>
      <c r="F1066" s="12" t="n">
        <f aca="false">IF(C1066="","",B1066/C1066)</f>
        <v>1125.18615518924</v>
      </c>
      <c r="G1066" s="12" t="n">
        <f aca="false">MEDIAN(F1056:F1076)</f>
        <v>1126.03200618949</v>
      </c>
      <c r="H1066" s="13" t="n">
        <f aca="false">B1066/G1066</f>
        <v>19.458372301642</v>
      </c>
      <c r="I1066" s="14" t="n">
        <f aca="false">B1066/Summary!$C$8*100</f>
        <v>219.566393762965</v>
      </c>
      <c r="J1066" s="14" t="n">
        <f aca="false">G1066/Summary!$E$8*100</f>
        <v>191.375697127604</v>
      </c>
      <c r="K1066" s="15" t="n">
        <f aca="false">Summary!$D$9</f>
        <v>16.9374488591431</v>
      </c>
      <c r="L1066" s="16" t="str">
        <f aca="false">IF(OR(D1066="",E1066=""),"edge hidden",IF(AND(H1066&gt;=D1066-0.02,H1066&lt;=E1066+0.02),"yes","no"))</f>
        <v>yes</v>
      </c>
    </row>
    <row r="1067" customFormat="false" ht="15" hidden="false" customHeight="false" outlineLevel="0" collapsed="false">
      <c r="A1067" s="9" t="n">
        <v>45338</v>
      </c>
      <c r="B1067" s="10" t="n">
        <v>22040.7</v>
      </c>
      <c r="C1067" s="11" t="n">
        <v>19.5872</v>
      </c>
      <c r="D1067" s="11" t="n">
        <v>19.4868</v>
      </c>
      <c r="E1067" s="11" t="n">
        <v>19.6876</v>
      </c>
      <c r="F1067" s="12" t="n">
        <f aca="false">IF(C1067="","",B1067/C1067)</f>
        <v>1125.26037412188</v>
      </c>
      <c r="G1067" s="12" t="n">
        <f aca="false">MEDIAN(F1057:F1077)</f>
        <v>1126.56553047497</v>
      </c>
      <c r="H1067" s="13" t="n">
        <f aca="false">B1067/G1067</f>
        <v>19.5645077039659</v>
      </c>
      <c r="I1067" s="14" t="n">
        <f aca="false">B1067/Summary!$C$8*100</f>
        <v>220.868615406199</v>
      </c>
      <c r="J1067" s="14" t="n">
        <f aca="false">G1067/Summary!$E$8*100</f>
        <v>191.466372687008</v>
      </c>
      <c r="K1067" s="15" t="n">
        <f aca="false">Summary!$D$9</f>
        <v>16.9374488591431</v>
      </c>
      <c r="L1067" s="16" t="str">
        <f aca="false">IF(OR(D1067="",E1067=""),"edge hidden",IF(AND(H1067&gt;=D1067-0.02,H1067&lt;=E1067+0.02),"yes","no"))</f>
        <v>yes</v>
      </c>
    </row>
    <row r="1068" customFormat="false" ht="15" hidden="false" customHeight="false" outlineLevel="0" collapsed="false">
      <c r="A1068" s="9" t="n">
        <v>45341</v>
      </c>
      <c r="B1068" s="10" t="n">
        <v>22122.25</v>
      </c>
      <c r="C1068" s="11" t="n">
        <v>19.6462</v>
      </c>
      <c r="D1068" s="11" t="n">
        <v>19.5813</v>
      </c>
      <c r="E1068" s="11" t="n">
        <v>19.7112</v>
      </c>
      <c r="F1068" s="12" t="n">
        <f aca="false">IF(C1068="","",B1068/C1068)</f>
        <v>1126.03200618949</v>
      </c>
      <c r="G1068" s="12" t="n">
        <f aca="false">MEDIAN(F1058:F1078)</f>
        <v>1126.56553047497</v>
      </c>
      <c r="H1068" s="13" t="n">
        <f aca="false">B1068/G1068</f>
        <v>19.6368958587549</v>
      </c>
      <c r="I1068" s="14" t="n">
        <f aca="false">B1068/Summary!$C$8*100</f>
        <v>221.685823370845</v>
      </c>
      <c r="J1068" s="14" t="n">
        <f aca="false">G1068/Summary!$E$8*100</f>
        <v>191.466372687008</v>
      </c>
      <c r="K1068" s="15" t="n">
        <f aca="false">Summary!$D$9</f>
        <v>16.9374488591431</v>
      </c>
      <c r="L1068" s="16" t="str">
        <f aca="false">IF(OR(D1068="",E1068=""),"edge hidden",IF(AND(H1068&gt;=D1068-0.02,H1068&lt;=E1068+0.02),"yes","no"))</f>
        <v>yes</v>
      </c>
    </row>
    <row r="1069" customFormat="false" ht="15" hidden="false" customHeight="false" outlineLevel="0" collapsed="false">
      <c r="A1069" s="9" t="n">
        <v>45342</v>
      </c>
      <c r="B1069" s="10" t="n">
        <v>22196.95</v>
      </c>
      <c r="C1069" s="11" t="n">
        <v>19.6502</v>
      </c>
      <c r="D1069" s="11" t="n">
        <v>19.5891</v>
      </c>
      <c r="E1069" s="11" t="n">
        <v>19.7112</v>
      </c>
      <c r="F1069" s="12" t="n">
        <f aca="false">IF(C1069="","",B1069/C1069)</f>
        <v>1129.60427883686</v>
      </c>
      <c r="G1069" s="12" t="n">
        <f aca="false">MEDIAN(F1059:F1079)</f>
        <v>1126.56553047497</v>
      </c>
      <c r="H1069" s="13" t="n">
        <f aca="false">B1069/G1069</f>
        <v>19.7032035860724</v>
      </c>
      <c r="I1069" s="14" t="n">
        <f aca="false">B1069/Summary!$C$8*100</f>
        <v>222.43438787065</v>
      </c>
      <c r="J1069" s="14" t="n">
        <f aca="false">G1069/Summary!$E$8*100</f>
        <v>191.466372687008</v>
      </c>
      <c r="K1069" s="15" t="n">
        <f aca="false">Summary!$D$9</f>
        <v>16.9374488591431</v>
      </c>
      <c r="L1069" s="16" t="str">
        <f aca="false">IF(OR(D1069="",E1069=""),"edge hidden",IF(AND(H1069&gt;=D1069-0.02,H1069&lt;=E1069+0.02),"yes","no"))</f>
        <v>yes</v>
      </c>
    </row>
    <row r="1070" customFormat="false" ht="15" hidden="false" customHeight="false" outlineLevel="0" collapsed="false">
      <c r="A1070" s="9" t="n">
        <v>45343</v>
      </c>
      <c r="B1070" s="10" t="n">
        <v>22055.05</v>
      </c>
      <c r="C1070" s="11" t="n">
        <v>19.6502</v>
      </c>
      <c r="D1070" s="11" t="n">
        <v>19.5891</v>
      </c>
      <c r="E1070" s="11" t="n">
        <v>19.7112</v>
      </c>
      <c r="F1070" s="12" t="n">
        <f aca="false">IF(C1070="","",B1070/C1070)</f>
        <v>1122.3829782903</v>
      </c>
      <c r="G1070" s="12" t="n">
        <f aca="false">MEDIAN(F1060:F1080)</f>
        <v>1126.56553047497</v>
      </c>
      <c r="H1070" s="13" t="n">
        <f aca="false">B1070/G1070</f>
        <v>19.5772455337785</v>
      </c>
      <c r="I1070" s="14" t="n">
        <f aca="false">B1070/Summary!$C$8*100</f>
        <v>221.012415949334</v>
      </c>
      <c r="J1070" s="14" t="n">
        <f aca="false">G1070/Summary!$E$8*100</f>
        <v>191.466372687008</v>
      </c>
      <c r="K1070" s="15" t="n">
        <f aca="false">Summary!$D$9</f>
        <v>16.9374488591431</v>
      </c>
      <c r="L1070" s="16" t="str">
        <f aca="false">IF(OR(D1070="",E1070=""),"edge hidden",IF(AND(H1070&gt;=D1070-0.02,H1070&lt;=E1070+0.02),"yes","no"))</f>
        <v>yes</v>
      </c>
    </row>
    <row r="1071" customFormat="false" ht="15" hidden="false" customHeight="false" outlineLevel="0" collapsed="false">
      <c r="A1071" s="9" t="n">
        <v>45344</v>
      </c>
      <c r="B1071" s="10" t="n">
        <v>22217.45</v>
      </c>
      <c r="C1071" s="11" t="n">
        <v>19.6462</v>
      </c>
      <c r="D1071" s="11" t="n">
        <v>19.5813</v>
      </c>
      <c r="E1071" s="11" t="n">
        <v>19.7112</v>
      </c>
      <c r="F1071" s="12" t="n">
        <f aca="false">IF(C1071="","",B1071/C1071)</f>
        <v>1130.87772699046</v>
      </c>
      <c r="G1071" s="12" t="n">
        <f aca="false">MEDIAN(F1061:F1081)</f>
        <v>1126.56553047497</v>
      </c>
      <c r="H1071" s="13" t="n">
        <f aca="false">B1071/G1071</f>
        <v>19.7214004858047</v>
      </c>
      <c r="I1071" s="14" t="n">
        <f aca="false">B1071/Summary!$C$8*100</f>
        <v>222.639817217986</v>
      </c>
      <c r="J1071" s="14" t="n">
        <f aca="false">G1071/Summary!$E$8*100</f>
        <v>191.466372687008</v>
      </c>
      <c r="K1071" s="15" t="n">
        <f aca="false">Summary!$D$9</f>
        <v>16.9374488591431</v>
      </c>
      <c r="L1071" s="16" t="str">
        <f aca="false">IF(OR(D1071="",E1071=""),"edge hidden",IF(AND(H1071&gt;=D1071-0.02,H1071&lt;=E1071+0.02),"yes","no"))</f>
        <v>yes</v>
      </c>
    </row>
    <row r="1072" customFormat="false" ht="15" hidden="false" customHeight="false" outlineLevel="0" collapsed="false">
      <c r="A1072" s="9" t="n">
        <v>45345</v>
      </c>
      <c r="B1072" s="10" t="n">
        <v>22212.7</v>
      </c>
      <c r="C1072" s="11" t="n">
        <v>19.6462</v>
      </c>
      <c r="D1072" s="11" t="n">
        <v>19.5813</v>
      </c>
      <c r="E1072" s="11" t="n">
        <v>19.7112</v>
      </c>
      <c r="F1072" s="12" t="n">
        <f aca="false">IF(C1072="","",B1072/C1072)</f>
        <v>1130.6359499547</v>
      </c>
      <c r="G1072" s="12" t="n">
        <f aca="false">MEDIAN(F1062:F1082)</f>
        <v>1127.94900474326</v>
      </c>
      <c r="H1072" s="13" t="n">
        <f aca="false">B1072/G1072</f>
        <v>19.6930002212786</v>
      </c>
      <c r="I1072" s="14" t="n">
        <f aca="false">B1072/Summary!$C$8*100</f>
        <v>222.592217735066</v>
      </c>
      <c r="J1072" s="14" t="n">
        <f aca="false">G1072/Summary!$E$8*100</f>
        <v>191.701502195847</v>
      </c>
      <c r="K1072" s="15" t="n">
        <f aca="false">Summary!$D$9</f>
        <v>16.9374488591431</v>
      </c>
      <c r="L1072" s="16" t="str">
        <f aca="false">IF(OR(D1072="",E1072=""),"edge hidden",IF(AND(H1072&gt;=D1072-0.02,H1072&lt;=E1072+0.02),"yes","no"))</f>
        <v>yes</v>
      </c>
    </row>
    <row r="1073" customFormat="false" ht="15" hidden="false" customHeight="false" outlineLevel="0" collapsed="false">
      <c r="A1073" s="9" t="n">
        <v>45348</v>
      </c>
      <c r="B1073" s="10" t="n">
        <v>22122.05</v>
      </c>
      <c r="C1073" s="11" t="n">
        <v>19.6069</v>
      </c>
      <c r="D1073" s="11" t="n">
        <v>19.4947</v>
      </c>
      <c r="E1073" s="11" t="n">
        <v>19.7191</v>
      </c>
      <c r="F1073" s="12" t="n">
        <f aca="false">IF(C1073="","",B1073/C1073)</f>
        <v>1128.27882021125</v>
      </c>
      <c r="G1073" s="12" t="n">
        <f aca="false">MEDIAN(F1063:F1083)</f>
        <v>1128.27882021125</v>
      </c>
      <c r="H1073" s="13" t="n">
        <f aca="false">B1073/G1073</f>
        <v>19.6069</v>
      </c>
      <c r="I1073" s="14" t="n">
        <f aca="false">B1073/Summary!$C$8*100</f>
        <v>221.683819182091</v>
      </c>
      <c r="J1073" s="14" t="n">
        <f aca="false">G1073/Summary!$E$8*100</f>
        <v>191.757556255379</v>
      </c>
      <c r="K1073" s="15" t="n">
        <f aca="false">Summary!$D$9</f>
        <v>16.9374488591431</v>
      </c>
      <c r="L1073" s="16" t="str">
        <f aca="false">IF(OR(D1073="",E1073=""),"edge hidden",IF(AND(H1073&gt;=D1073-0.02,H1073&lt;=E1073+0.02),"yes","no"))</f>
        <v>yes</v>
      </c>
    </row>
    <row r="1074" customFormat="false" ht="15" hidden="false" customHeight="false" outlineLevel="0" collapsed="false">
      <c r="A1074" s="9" t="n">
        <v>45349</v>
      </c>
      <c r="B1074" s="10" t="n">
        <v>22198.35</v>
      </c>
      <c r="C1074" s="11" t="n">
        <v>19.6502</v>
      </c>
      <c r="D1074" s="11" t="n">
        <v>19.4868</v>
      </c>
      <c r="E1074" s="11" t="n">
        <v>19.8136</v>
      </c>
      <c r="F1074" s="12" t="n">
        <f aca="false">IF(C1074="","",B1074/C1074)</f>
        <v>1129.67552493104</v>
      </c>
      <c r="G1074" s="12" t="n">
        <f aca="false">MEDIAN(F1064:F1084)</f>
        <v>1128.27882021125</v>
      </c>
      <c r="H1074" s="13" t="n">
        <f aca="false">B1074/G1074</f>
        <v>19.6745251283222</v>
      </c>
      <c r="I1074" s="14" t="n">
        <f aca="false">B1074/Summary!$C$8*100</f>
        <v>222.448417191931</v>
      </c>
      <c r="J1074" s="14" t="n">
        <f aca="false">G1074/Summary!$E$8*100</f>
        <v>191.757556255379</v>
      </c>
      <c r="K1074" s="15" t="n">
        <f aca="false">Summary!$D$9</f>
        <v>16.9374488591431</v>
      </c>
      <c r="L1074" s="16" t="str">
        <f aca="false">IF(OR(D1074="",E1074=""),"edge hidden",IF(AND(H1074&gt;=D1074-0.02,H1074&lt;=E1074+0.02),"yes","no"))</f>
        <v>yes</v>
      </c>
    </row>
    <row r="1075" customFormat="false" ht="15" hidden="false" customHeight="false" outlineLevel="0" collapsed="false">
      <c r="A1075" s="9" t="n">
        <v>45350</v>
      </c>
      <c r="B1075" s="10" t="n">
        <v>21951.15</v>
      </c>
      <c r="C1075" s="11" t="n">
        <v>19.658</v>
      </c>
      <c r="D1075" s="11" t="n">
        <v>19.4947</v>
      </c>
      <c r="E1075" s="11" t="n">
        <v>19.8214</v>
      </c>
      <c r="F1075" s="12" t="n">
        <f aca="false">IF(C1075="","",B1075/C1075)</f>
        <v>1116.65225353546</v>
      </c>
      <c r="G1075" s="12" t="n">
        <f aca="false">MEDIAN(F1065:F1085)</f>
        <v>1129.36574743814</v>
      </c>
      <c r="H1075" s="13" t="n">
        <f aca="false">B1075/G1075</f>
        <v>19.4367060005088</v>
      </c>
      <c r="I1075" s="14" t="n">
        <f aca="false">B1075/Summary!$C$8*100</f>
        <v>219.971239891373</v>
      </c>
      <c r="J1075" s="14" t="n">
        <f aca="false">G1075/Summary!$E$8*100</f>
        <v>191.942285867529</v>
      </c>
      <c r="K1075" s="15" t="n">
        <f aca="false">Summary!$D$9</f>
        <v>16.9374488591431</v>
      </c>
      <c r="L1075" s="16" t="str">
        <f aca="false">IF(OR(D1075="",E1075=""),"edge hidden",IF(AND(H1075&gt;=D1075-0.02,H1075&lt;=E1075+0.02),"yes","no"))</f>
        <v>no</v>
      </c>
    </row>
    <row r="1076" customFormat="false" ht="15" hidden="false" customHeight="false" outlineLevel="0" collapsed="false">
      <c r="A1076" s="9" t="n">
        <v>45351</v>
      </c>
      <c r="B1076" s="10" t="n">
        <v>21982.8</v>
      </c>
      <c r="C1076" s="11" t="n">
        <v>19.662</v>
      </c>
      <c r="D1076" s="11" t="n">
        <v>19.4947</v>
      </c>
      <c r="E1076" s="11" t="n">
        <v>19.8293</v>
      </c>
      <c r="F1076" s="12" t="n">
        <f aca="false">IF(C1076="","",B1076/C1076)</f>
        <v>1118.03478791578</v>
      </c>
      <c r="G1076" s="12" t="n">
        <f aca="false">MEDIAN(F1066:F1086)</f>
        <v>1129.60427883686</v>
      </c>
      <c r="H1076" s="13" t="n">
        <f aca="false">B1076/G1076</f>
        <v>19.4606203356767</v>
      </c>
      <c r="I1076" s="14" t="n">
        <f aca="false">B1076/Summary!$C$8*100</f>
        <v>220.288402761772</v>
      </c>
      <c r="J1076" s="14" t="n">
        <f aca="false">G1076/Summary!$E$8*100</f>
        <v>191.982825667877</v>
      </c>
      <c r="K1076" s="15" t="n">
        <f aca="false">Summary!$D$9</f>
        <v>16.9374488591431</v>
      </c>
      <c r="L1076" s="16" t="str">
        <f aca="false">IF(OR(D1076="",E1076=""),"edge hidden",IF(AND(H1076&gt;=D1076-0.02,H1076&lt;=E1076+0.02),"yes","no"))</f>
        <v>no</v>
      </c>
    </row>
    <row r="1077" customFormat="false" ht="15" hidden="false" customHeight="false" outlineLevel="0" collapsed="false">
      <c r="A1077" s="9" t="n">
        <v>45352</v>
      </c>
      <c r="B1077" s="10" t="n">
        <v>22338.75</v>
      </c>
      <c r="C1077" s="11" t="n">
        <v>19.6817</v>
      </c>
      <c r="D1077" s="11" t="n">
        <v>19.5183</v>
      </c>
      <c r="E1077" s="11" t="n">
        <v>19.8451</v>
      </c>
      <c r="F1077" s="12" t="n">
        <f aca="false">IF(C1077="","",B1077/C1077)</f>
        <v>1135.00104157669</v>
      </c>
      <c r="G1077" s="12" t="n">
        <f aca="false">MEDIAN(F1067:F1087)</f>
        <v>1129.67552493104</v>
      </c>
      <c r="H1077" s="13" t="n">
        <f aca="false">B1077/G1077</f>
        <v>19.7744834751232</v>
      </c>
      <c r="I1077" s="14" t="n">
        <f aca="false">B1077/Summary!$C$8*100</f>
        <v>223.855357697588</v>
      </c>
      <c r="J1077" s="14" t="n">
        <f aca="false">G1077/Summary!$E$8*100</f>
        <v>191.9949343565</v>
      </c>
      <c r="K1077" s="15" t="n">
        <f aca="false">Summary!$D$9</f>
        <v>16.9374488591431</v>
      </c>
      <c r="L1077" s="16" t="str">
        <f aca="false">IF(OR(D1077="",E1077=""),"edge hidden",IF(AND(H1077&gt;=D1077-0.02,H1077&lt;=E1077+0.02),"yes","no"))</f>
        <v>yes</v>
      </c>
    </row>
    <row r="1078" customFormat="false" ht="15" hidden="false" customHeight="false" outlineLevel="0" collapsed="false">
      <c r="A1078" s="9" t="n">
        <v>45355</v>
      </c>
      <c r="B1078" s="10" t="n">
        <v>22405.6</v>
      </c>
      <c r="C1078" s="11" t="n">
        <v>19.8391</v>
      </c>
      <c r="D1078" s="11" t="n">
        <v>19.786</v>
      </c>
      <c r="E1078" s="11" t="n">
        <v>19.8923</v>
      </c>
      <c r="F1078" s="12" t="n">
        <f aca="false">IF(C1078="","",B1078/C1078)</f>
        <v>1129.36574743814</v>
      </c>
      <c r="G1078" s="12" t="n">
        <f aca="false">MEDIAN(F1068:F1088)</f>
        <v>1129.67552493104</v>
      </c>
      <c r="H1078" s="13" t="n">
        <f aca="false">B1078/G1078</f>
        <v>19.8336597593965</v>
      </c>
      <c r="I1078" s="14" t="n">
        <f aca="false">B1078/Summary!$C$8*100</f>
        <v>224.525257788779</v>
      </c>
      <c r="J1078" s="14" t="n">
        <f aca="false">G1078/Summary!$E$8*100</f>
        <v>191.9949343565</v>
      </c>
      <c r="K1078" s="15" t="n">
        <f aca="false">Summary!$D$9</f>
        <v>16.9374488591431</v>
      </c>
      <c r="L1078" s="16" t="str">
        <f aca="false">IF(OR(D1078="",E1078=""),"edge hidden",IF(AND(H1078&gt;=D1078-0.02,H1078&lt;=E1078+0.02),"yes","no"))</f>
        <v>yes</v>
      </c>
    </row>
    <row r="1079" customFormat="false" ht="15" hidden="false" customHeight="false" outlineLevel="0" collapsed="false">
      <c r="A1079" s="9" t="n">
        <v>45356</v>
      </c>
      <c r="B1079" s="10" t="n">
        <v>22356.3</v>
      </c>
      <c r="C1079" s="11" t="n">
        <v>19.847</v>
      </c>
      <c r="D1079" s="11" t="n">
        <v>19.7939</v>
      </c>
      <c r="E1079" s="11" t="n">
        <v>19.9002</v>
      </c>
      <c r="F1079" s="12" t="n">
        <f aca="false">IF(C1079="","",B1079/C1079)</f>
        <v>1126.4322063788</v>
      </c>
      <c r="G1079" s="12" t="n">
        <f aca="false">MEDIAN(F1069:F1089)</f>
        <v>1130.18930415972</v>
      </c>
      <c r="H1079" s="13" t="n">
        <f aca="false">B1079/G1079</f>
        <v>19.7810224514746</v>
      </c>
      <c r="I1079" s="14" t="n">
        <f aca="false">B1079/Summary!$C$8*100</f>
        <v>224.031225260795</v>
      </c>
      <c r="J1079" s="14" t="n">
        <f aca="false">G1079/Summary!$E$8*100</f>
        <v>192.082254128512</v>
      </c>
      <c r="K1079" s="15" t="n">
        <f aca="false">Summary!$D$9</f>
        <v>16.9374488591431</v>
      </c>
      <c r="L1079" s="16" t="str">
        <f aca="false">IF(OR(D1079="",E1079=""),"edge hidden",IF(AND(H1079&gt;=D1079-0.02,H1079&lt;=E1079+0.02),"yes","no"))</f>
        <v>yes</v>
      </c>
    </row>
    <row r="1080" customFormat="false" ht="15" hidden="false" customHeight="false" outlineLevel="0" collapsed="false">
      <c r="A1080" s="9" t="n">
        <v>45357</v>
      </c>
      <c r="B1080" s="10" t="n">
        <v>22474.05</v>
      </c>
      <c r="C1080" s="11" t="n">
        <v>19.847</v>
      </c>
      <c r="D1080" s="11" t="n">
        <v>19.7939</v>
      </c>
      <c r="E1080" s="11" t="n">
        <v>19.9002</v>
      </c>
      <c r="F1080" s="12" t="n">
        <f aca="false">IF(C1080="","",B1080/C1080)</f>
        <v>1132.36509296115</v>
      </c>
      <c r="G1080" s="12" t="n">
        <f aca="false">MEDIAN(F1070:F1090)</f>
        <v>1130.6359499547</v>
      </c>
      <c r="H1080" s="13" t="n">
        <f aca="false">B1080/G1080</f>
        <v>19.8773530957515</v>
      </c>
      <c r="I1080" s="14" t="n">
        <f aca="false">B1080/Summary!$C$8*100</f>
        <v>225.211191390005</v>
      </c>
      <c r="J1080" s="14" t="n">
        <f aca="false">G1080/Summary!$E$8*100</f>
        <v>192.1581641825</v>
      </c>
      <c r="K1080" s="15" t="n">
        <f aca="false">Summary!$D$9</f>
        <v>16.9374488591431</v>
      </c>
      <c r="L1080" s="16" t="str">
        <f aca="false">IF(OR(D1080="",E1080=""),"edge hidden",IF(AND(H1080&gt;=D1080-0.02,H1080&lt;=E1080+0.02),"yes","no"))</f>
        <v>yes</v>
      </c>
    </row>
    <row r="1081" customFormat="false" ht="15" hidden="false" customHeight="false" outlineLevel="0" collapsed="false">
      <c r="A1081" s="9" t="n">
        <v>45358</v>
      </c>
      <c r="B1081" s="10" t="n">
        <v>22493.55</v>
      </c>
      <c r="C1081" s="11" t="n">
        <v>19.8313</v>
      </c>
      <c r="D1081" s="11" t="n">
        <v>19.7624</v>
      </c>
      <c r="E1081" s="11" t="n">
        <v>19.9002</v>
      </c>
      <c r="F1081" s="12" t="n">
        <f aca="false">IF(C1081="","",B1081/C1081)</f>
        <v>1134.24485535492</v>
      </c>
      <c r="G1081" s="12" t="n">
        <f aca="false">MEDIAN(F1071:F1091)</f>
        <v>1130.87772699046</v>
      </c>
      <c r="H1081" s="13" t="n">
        <f aca="false">B1081/G1081</f>
        <v>19.8903466423915</v>
      </c>
      <c r="I1081" s="14" t="n">
        <f aca="false">B1081/Summary!$C$8*100</f>
        <v>225.406599793569</v>
      </c>
      <c r="J1081" s="14" t="n">
        <f aca="false">G1081/Summary!$E$8*100</f>
        <v>192.199255597766</v>
      </c>
      <c r="K1081" s="15" t="n">
        <f aca="false">Summary!$D$9</f>
        <v>16.9374488591431</v>
      </c>
      <c r="L1081" s="16" t="str">
        <f aca="false">IF(OR(D1081="",E1081=""),"edge hidden",IF(AND(H1081&gt;=D1081-0.02,H1081&lt;=E1081+0.02),"yes","no"))</f>
        <v>yes</v>
      </c>
    </row>
    <row r="1082" customFormat="false" ht="15" hidden="false" customHeight="false" outlineLevel="0" collapsed="false">
      <c r="A1082" s="9" t="n">
        <v>45362</v>
      </c>
      <c r="B1082" s="10" t="n">
        <v>22332.65</v>
      </c>
      <c r="C1082" s="11" t="n">
        <v>19.6502</v>
      </c>
      <c r="D1082" s="11" t="n">
        <v>19.4238</v>
      </c>
      <c r="E1082" s="11" t="n">
        <v>19.8765</v>
      </c>
      <c r="F1082" s="12" t="n">
        <f aca="false">IF(C1082="","",B1082/C1082)</f>
        <v>1136.5100609663</v>
      </c>
      <c r="G1082" s="12" t="n">
        <f aca="false">MEDIAN(F1072:F1092)</f>
        <v>1132.36509296115</v>
      </c>
      <c r="H1082" s="13" t="n">
        <f aca="false">B1082/G1082</f>
        <v>19.7221286127779</v>
      </c>
      <c r="I1082" s="14" t="n">
        <f aca="false">B1082/Summary!$C$8*100</f>
        <v>223.794229940576</v>
      </c>
      <c r="J1082" s="14" t="n">
        <f aca="false">G1082/Summary!$E$8*100</f>
        <v>192.452042106462</v>
      </c>
      <c r="K1082" s="15" t="n">
        <f aca="false">Summary!$D$9</f>
        <v>16.9374488591431</v>
      </c>
      <c r="L1082" s="16" t="str">
        <f aca="false">IF(OR(D1082="",E1082=""),"edge hidden",IF(AND(H1082&gt;=D1082-0.02,H1082&lt;=E1082+0.02),"yes","no"))</f>
        <v>yes</v>
      </c>
    </row>
    <row r="1083" customFormat="false" ht="15" hidden="false" customHeight="false" outlineLevel="0" collapsed="false">
      <c r="A1083" s="9" t="n">
        <v>45363</v>
      </c>
      <c r="B1083" s="10" t="n">
        <v>22335.7</v>
      </c>
      <c r="C1083" s="11" t="n">
        <v>19.6344</v>
      </c>
      <c r="D1083" s="11" t="n">
        <v>19.4238</v>
      </c>
      <c r="E1083" s="11" t="n">
        <v>19.8451</v>
      </c>
      <c r="F1083" s="12" t="n">
        <f aca="false">IF(C1083="","",B1083/C1083)</f>
        <v>1137.57996169987</v>
      </c>
      <c r="G1083" s="12" t="n">
        <f aca="false">MEDIAN(F1073:F1093)</f>
        <v>1132.72247426055</v>
      </c>
      <c r="H1083" s="13" t="n">
        <f aca="false">B1083/G1083</f>
        <v>19.718598780854</v>
      </c>
      <c r="I1083" s="14" t="n">
        <f aca="false">B1083/Summary!$C$8*100</f>
        <v>223.824793819082</v>
      </c>
      <c r="J1083" s="14" t="n">
        <f aca="false">G1083/Summary!$E$8*100</f>
        <v>192.512781139577</v>
      </c>
      <c r="K1083" s="15" t="n">
        <f aca="false">Summary!$D$9</f>
        <v>16.9374488591431</v>
      </c>
      <c r="L1083" s="16" t="str">
        <f aca="false">IF(OR(D1083="",E1083=""),"edge hidden",IF(AND(H1083&gt;=D1083-0.02,H1083&lt;=E1083+0.02),"yes","no"))</f>
        <v>yes</v>
      </c>
    </row>
    <row r="1084" customFormat="false" ht="15" hidden="false" customHeight="false" outlineLevel="0" collapsed="false">
      <c r="A1084" s="9" t="n">
        <v>45364</v>
      </c>
      <c r="B1084" s="10" t="n">
        <v>21997.7</v>
      </c>
      <c r="C1084" s="11" t="n">
        <v>19.5675</v>
      </c>
      <c r="D1084" s="11" t="n">
        <v>19.408</v>
      </c>
      <c r="E1084" s="11" t="n">
        <v>19.7269</v>
      </c>
      <c r="F1084" s="12" t="n">
        <f aca="false">IF(C1084="","",B1084/C1084)</f>
        <v>1124.19573272007</v>
      </c>
      <c r="G1084" s="12" t="n">
        <f aca="false">MEDIAN(F1074:F1094)</f>
        <v>1133.45077496021</v>
      </c>
      <c r="H1084" s="13" t="n">
        <f aca="false">B1084/G1084</f>
        <v>19.407724169382</v>
      </c>
      <c r="I1084" s="14" t="n">
        <f aca="false">B1084/Summary!$C$8*100</f>
        <v>220.437714823982</v>
      </c>
      <c r="J1084" s="14" t="n">
        <f aca="false">G1084/Summary!$E$8*100</f>
        <v>192.636560084891</v>
      </c>
      <c r="K1084" s="15" t="n">
        <f aca="false">Summary!$D$9</f>
        <v>16.9374488591431</v>
      </c>
      <c r="L1084" s="16" t="str">
        <f aca="false">IF(OR(D1084="",E1084=""),"edge hidden",IF(AND(H1084&gt;=D1084-0.02,H1084&lt;=E1084+0.02),"yes","no"))</f>
        <v>yes</v>
      </c>
    </row>
    <row r="1085" customFormat="false" ht="15" hidden="false" customHeight="false" outlineLevel="0" collapsed="false">
      <c r="A1085" s="9" t="n">
        <v>45365</v>
      </c>
      <c r="B1085" s="10" t="n">
        <v>22146.65</v>
      </c>
      <c r="C1085" s="11" t="n">
        <v>19.5517</v>
      </c>
      <c r="D1085" s="11" t="n">
        <v>19.3923</v>
      </c>
      <c r="E1085" s="11" t="n">
        <v>19.7112</v>
      </c>
      <c r="F1085" s="12" t="n">
        <f aca="false">IF(C1085="","",B1085/C1085)</f>
        <v>1132.72247426055</v>
      </c>
      <c r="G1085" s="12" t="n">
        <f aca="false">MEDIAN(F1075:F1095)</f>
        <v>1134.24485535492</v>
      </c>
      <c r="H1085" s="13" t="n">
        <f aca="false">B1085/G1085</f>
        <v>19.5254577487769</v>
      </c>
      <c r="I1085" s="14" t="n">
        <f aca="false">B1085/Summary!$C$8*100</f>
        <v>221.930334398894</v>
      </c>
      <c r="J1085" s="14" t="n">
        <f aca="false">G1085/Summary!$E$8*100</f>
        <v>192.77151867246</v>
      </c>
      <c r="K1085" s="15" t="n">
        <f aca="false">Summary!$D$9</f>
        <v>16.9374488591431</v>
      </c>
      <c r="L1085" s="16" t="str">
        <f aca="false">IF(OR(D1085="",E1085=""),"edge hidden",IF(AND(H1085&gt;=D1085-0.02,H1085&lt;=E1085+0.02),"yes","no"))</f>
        <v>yes</v>
      </c>
    </row>
    <row r="1086" customFormat="false" ht="15" hidden="false" customHeight="false" outlineLevel="0" collapsed="false">
      <c r="A1086" s="9" t="n">
        <v>45366</v>
      </c>
      <c r="B1086" s="10" t="n">
        <v>22023.35</v>
      </c>
      <c r="C1086" s="11" t="n">
        <v>19.3825</v>
      </c>
      <c r="D1086" s="11" t="n">
        <v>19.2348</v>
      </c>
      <c r="E1086" s="11" t="n">
        <v>19.5301</v>
      </c>
      <c r="F1086" s="12" t="n">
        <f aca="false">IF(C1086="","",B1086/C1086)</f>
        <v>1136.24919386044</v>
      </c>
      <c r="G1086" s="12" t="n">
        <f aca="false">MEDIAN(F1076:F1096)</f>
        <v>1135.00104157669</v>
      </c>
      <c r="H1086" s="13" t="n">
        <f aca="false">B1086/G1086</f>
        <v>19.4038147924571</v>
      </c>
      <c r="I1086" s="14" t="n">
        <f aca="false">B1086/Summary!$C$8*100</f>
        <v>220.694752031746</v>
      </c>
      <c r="J1086" s="14" t="n">
        <f aca="false">G1086/Summary!$E$8*100</f>
        <v>192.900036924654</v>
      </c>
      <c r="K1086" s="15" t="n">
        <f aca="false">Summary!$D$9</f>
        <v>16.9374488591431</v>
      </c>
      <c r="L1086" s="16" t="str">
        <f aca="false">IF(OR(D1086="",E1086=""),"edge hidden",IF(AND(H1086&gt;=D1086-0.02,H1086&lt;=E1086+0.02),"yes","no"))</f>
        <v>yes</v>
      </c>
    </row>
    <row r="1087" customFormat="false" ht="15" hidden="false" customHeight="false" outlineLevel="0" collapsed="false">
      <c r="A1087" s="9" t="n">
        <v>45369</v>
      </c>
      <c r="B1087" s="10" t="n">
        <v>22055.7</v>
      </c>
      <c r="C1087" s="11" t="n">
        <v>19.3195</v>
      </c>
      <c r="D1087" s="11" t="n">
        <v>19.2112</v>
      </c>
      <c r="E1087" s="11" t="n">
        <v>19.4277</v>
      </c>
      <c r="F1087" s="12" t="n">
        <f aca="false">IF(C1087="","",B1087/C1087)</f>
        <v>1141.628924144</v>
      </c>
      <c r="G1087" s="12" t="n">
        <f aca="false">MEDIAN(F1077:F1097)</f>
        <v>1136.24919386044</v>
      </c>
      <c r="H1087" s="13" t="n">
        <f aca="false">B1087/G1087</f>
        <v>19.410970867284</v>
      </c>
      <c r="I1087" s="14" t="n">
        <f aca="false">B1087/Summary!$C$8*100</f>
        <v>221.018929562786</v>
      </c>
      <c r="J1087" s="14" t="n">
        <f aca="false">G1087/Summary!$E$8*100</f>
        <v>193.112167674145</v>
      </c>
      <c r="K1087" s="15" t="n">
        <f aca="false">Summary!$D$9</f>
        <v>16.9374488591431</v>
      </c>
      <c r="L1087" s="16" t="str">
        <f aca="false">IF(OR(D1087="",E1087=""),"edge hidden",IF(AND(H1087&gt;=D1087-0.02,H1087&lt;=E1087+0.02),"yes","no"))</f>
        <v>yes</v>
      </c>
    </row>
    <row r="1088" customFormat="false" ht="15" hidden="false" customHeight="false" outlineLevel="0" collapsed="false">
      <c r="A1088" s="9" t="n">
        <v>45370</v>
      </c>
      <c r="B1088" s="10" t="n">
        <v>21817.45</v>
      </c>
      <c r="C1088" s="11" t="n">
        <v>19.3195</v>
      </c>
      <c r="D1088" s="11" t="n">
        <v>19.2112</v>
      </c>
      <c r="E1088" s="11" t="n">
        <v>19.4277</v>
      </c>
      <c r="F1088" s="12" t="n">
        <f aca="false">IF(C1088="","",B1088/C1088)</f>
        <v>1129.29682445198</v>
      </c>
      <c r="G1088" s="12" t="n">
        <f aca="false">MEDIAN(F1078:F1098)</f>
        <v>1136.5100609663</v>
      </c>
      <c r="H1088" s="13" t="n">
        <f aca="false">B1088/G1088</f>
        <v>19.196882411626</v>
      </c>
      <c r="I1088" s="14" t="n">
        <f aca="false">B1088/Summary!$C$8*100</f>
        <v>218.631439708992</v>
      </c>
      <c r="J1088" s="14" t="n">
        <f aca="false">G1088/Summary!$E$8*100</f>
        <v>193.156503557999</v>
      </c>
      <c r="K1088" s="15" t="n">
        <f aca="false">Summary!$D$9</f>
        <v>16.9374488591431</v>
      </c>
      <c r="L1088" s="16" t="str">
        <f aca="false">IF(OR(D1088="",E1088=""),"edge hidden",IF(AND(H1088&gt;=D1088-0.02,H1088&lt;=E1088+0.02),"yes","no"))</f>
        <v>yes</v>
      </c>
    </row>
    <row r="1089" customFormat="false" ht="15" hidden="false" customHeight="false" outlineLevel="0" collapsed="false">
      <c r="A1089" s="9" t="n">
        <v>45371</v>
      </c>
      <c r="B1089" s="10" t="n">
        <v>21839.1</v>
      </c>
      <c r="C1089" s="11" t="n">
        <v>19.3234</v>
      </c>
      <c r="D1089" s="11" t="n">
        <v>19.2112</v>
      </c>
      <c r="E1089" s="11" t="n">
        <v>19.4356</v>
      </c>
      <c r="F1089" s="12" t="n">
        <f aca="false">IF(C1089="","",B1089/C1089)</f>
        <v>1130.18930415972</v>
      </c>
      <c r="G1089" s="12" t="n">
        <f aca="false">MEDIAN(F1079:F1099)</f>
        <v>1137.57996169987</v>
      </c>
      <c r="H1089" s="13" t="n">
        <f aca="false">B1089/G1089</f>
        <v>19.1978592584965</v>
      </c>
      <c r="I1089" s="14" t="n">
        <f aca="false">B1089/Summary!$C$8*100</f>
        <v>218.848393141666</v>
      </c>
      <c r="J1089" s="14" t="n">
        <f aca="false">G1089/Summary!$E$8*100</f>
        <v>193.338339418453</v>
      </c>
      <c r="K1089" s="15" t="n">
        <f aca="false">Summary!$D$9</f>
        <v>16.9374488591431</v>
      </c>
      <c r="L1089" s="16" t="str">
        <f aca="false">IF(OR(D1089="",E1089=""),"edge hidden",IF(AND(H1089&gt;=D1089-0.02,H1089&lt;=E1089+0.02),"yes","no"))</f>
        <v>yes</v>
      </c>
    </row>
    <row r="1090" customFormat="false" ht="15" hidden="false" customHeight="false" outlineLevel="0" collapsed="false">
      <c r="A1090" s="9" t="n">
        <v>45372</v>
      </c>
      <c r="B1090" s="10" t="n">
        <v>22011.95</v>
      </c>
      <c r="C1090" s="11" t="n">
        <v>19.3313</v>
      </c>
      <c r="D1090" s="11" t="n">
        <v>19.2269</v>
      </c>
      <c r="E1090" s="11" t="n">
        <v>19.4356</v>
      </c>
      <c r="F1090" s="12" t="n">
        <f aca="false">IF(C1090="","",B1090/C1090)</f>
        <v>1138.66889448718</v>
      </c>
      <c r="G1090" s="12" t="n">
        <f aca="false">MEDIAN(F1080:F1100)</f>
        <v>1138.66889448718</v>
      </c>
      <c r="H1090" s="13" t="n">
        <f aca="false">B1090/G1090</f>
        <v>19.3313</v>
      </c>
      <c r="I1090" s="14" t="n">
        <f aca="false">B1090/Summary!$C$8*100</f>
        <v>220.58051327274</v>
      </c>
      <c r="J1090" s="14" t="n">
        <f aca="false">G1090/Summary!$E$8*100</f>
        <v>193.523409887277</v>
      </c>
      <c r="K1090" s="15" t="n">
        <f aca="false">Summary!$D$9</f>
        <v>16.9374488591431</v>
      </c>
      <c r="L1090" s="16" t="str">
        <f aca="false">IF(OR(D1090="",E1090=""),"edge hidden",IF(AND(H1090&gt;=D1090-0.02,H1090&lt;=E1090+0.02),"yes","no"))</f>
        <v>yes</v>
      </c>
    </row>
    <row r="1091" customFormat="false" ht="15" hidden="false" customHeight="false" outlineLevel="0" collapsed="false">
      <c r="A1091" s="9" t="n">
        <v>45373</v>
      </c>
      <c r="B1091" s="10" t="n">
        <v>22096.75</v>
      </c>
      <c r="C1091" s="11" t="n">
        <v>19.3431</v>
      </c>
      <c r="D1091" s="11" t="n">
        <v>19.2427</v>
      </c>
      <c r="E1091" s="11" t="n">
        <v>19.4435</v>
      </c>
      <c r="F1091" s="12" t="n">
        <f aca="false">IF(C1091="","",B1091/C1091)</f>
        <v>1142.35825694951</v>
      </c>
      <c r="G1091" s="12" t="n">
        <f aca="false">MEDIAN(F1081:F1101)</f>
        <v>1138.87973725664</v>
      </c>
      <c r="H1091" s="13" t="n">
        <f aca="false">B1091/G1091</f>
        <v>19.4021802980069</v>
      </c>
      <c r="I1091" s="14" t="n">
        <f aca="false">B1091/Summary!$C$8*100</f>
        <v>221.430289304647</v>
      </c>
      <c r="J1091" s="14" t="n">
        <f aca="false">G1091/Summary!$E$8*100</f>
        <v>193.559243843832</v>
      </c>
      <c r="K1091" s="15" t="n">
        <f aca="false">Summary!$D$9</f>
        <v>16.9374488591431</v>
      </c>
      <c r="L1091" s="16" t="str">
        <f aca="false">IF(OR(D1091="",E1091=""),"edge hidden",IF(AND(H1091&gt;=D1091-0.02,H1091&lt;=E1091+0.02),"yes","no"))</f>
        <v>yes</v>
      </c>
    </row>
    <row r="1092" customFormat="false" ht="15" hidden="false" customHeight="false" outlineLevel="0" collapsed="false">
      <c r="A1092" s="9" t="n">
        <v>45377</v>
      </c>
      <c r="B1092" s="10" t="n">
        <v>22004.7</v>
      </c>
      <c r="C1092" s="11" t="n">
        <v>19.4139</v>
      </c>
      <c r="D1092" s="11" t="n">
        <v>19.3372</v>
      </c>
      <c r="E1092" s="11" t="n">
        <v>19.4907</v>
      </c>
      <c r="F1092" s="12" t="n">
        <f aca="false">IF(C1092="","",B1092/C1092)</f>
        <v>1133.45077496021</v>
      </c>
      <c r="G1092" s="12" t="n">
        <f aca="false">MEDIAN(F1082:F1102)</f>
        <v>1141.31941469119</v>
      </c>
      <c r="H1092" s="13" t="n">
        <f aca="false">B1092/G1092</f>
        <v>19.2800540468803</v>
      </c>
      <c r="I1092" s="14" t="n">
        <f aca="false">B1092/Summary!$C$8*100</f>
        <v>220.50786143039</v>
      </c>
      <c r="J1092" s="14" t="n">
        <f aca="false">G1092/Summary!$E$8*100</f>
        <v>193.97388123179</v>
      </c>
      <c r="K1092" s="15" t="n">
        <f aca="false">Summary!$D$9</f>
        <v>16.9374488591431</v>
      </c>
      <c r="L1092" s="16" t="str">
        <f aca="false">IF(OR(D1092="",E1092=""),"edge hidden",IF(AND(H1092&gt;=D1092-0.02,H1092&lt;=E1092+0.02),"yes","no"))</f>
        <v>no</v>
      </c>
    </row>
    <row r="1093" customFormat="false" ht="15" hidden="false" customHeight="false" outlineLevel="0" collapsed="false">
      <c r="A1093" s="9" t="n">
        <v>45378</v>
      </c>
      <c r="B1093" s="10" t="n">
        <v>22123.65</v>
      </c>
      <c r="C1093" s="11" t="n">
        <v>19.4258</v>
      </c>
      <c r="D1093" s="11" t="n">
        <v>19.3529</v>
      </c>
      <c r="E1093" s="11" t="n">
        <v>19.4986</v>
      </c>
      <c r="F1093" s="12" t="n">
        <f aca="false">IF(C1093="","",B1093/C1093)</f>
        <v>1138.87973725664</v>
      </c>
      <c r="G1093" s="12" t="n">
        <f aca="false">MEDIAN(F1083:F1103)</f>
        <v>1141.31941469119</v>
      </c>
      <c r="H1093" s="13" t="n">
        <f aca="false">B1093/G1093</f>
        <v>19.3842755281492</v>
      </c>
      <c r="I1093" s="14" t="n">
        <f aca="false">B1093/Summary!$C$8*100</f>
        <v>221.699852692127</v>
      </c>
      <c r="J1093" s="14" t="n">
        <f aca="false">G1093/Summary!$E$8*100</f>
        <v>193.97388123179</v>
      </c>
      <c r="K1093" s="15" t="n">
        <f aca="false">Summary!$D$9</f>
        <v>16.9374488591431</v>
      </c>
      <c r="L1093" s="16" t="str">
        <f aca="false">IF(OR(D1093="",E1093=""),"edge hidden",IF(AND(H1093&gt;=D1093-0.02,H1093&lt;=E1093+0.02),"yes","no"))</f>
        <v>yes</v>
      </c>
    </row>
    <row r="1094" customFormat="false" ht="15" hidden="false" customHeight="false" outlineLevel="0" collapsed="false">
      <c r="A1094" s="9" t="n">
        <v>45379</v>
      </c>
      <c r="B1094" s="10" t="n">
        <v>22326.9</v>
      </c>
      <c r="C1094" s="11" t="n">
        <v>19.4415</v>
      </c>
      <c r="D1094" s="11" t="n">
        <v>19.3608</v>
      </c>
      <c r="E1094" s="11" t="n">
        <v>19.5222</v>
      </c>
      <c r="F1094" s="12" t="n">
        <f aca="false">IF(C1094="","",B1094/C1094)</f>
        <v>1148.41447419181</v>
      </c>
      <c r="G1094" s="12" t="n">
        <f aca="false">MEDIAN(F1084:F1104)</f>
        <v>1141.31941469119</v>
      </c>
      <c r="H1094" s="13" t="n">
        <f aca="false">B1094/G1094</f>
        <v>19.5623588914774</v>
      </c>
      <c r="I1094" s="14" t="n">
        <f aca="false">B1094/Summary!$C$8*100</f>
        <v>223.736609513884</v>
      </c>
      <c r="J1094" s="14" t="n">
        <f aca="false">G1094/Summary!$E$8*100</f>
        <v>193.97388123179</v>
      </c>
      <c r="K1094" s="15" t="n">
        <f aca="false">Summary!$D$9</f>
        <v>16.9374488591431</v>
      </c>
      <c r="L1094" s="16" t="str">
        <f aca="false">IF(OR(D1094="",E1094=""),"edge hidden",IF(AND(H1094&gt;=D1094-0.02,H1094&lt;=E1094+0.02),"yes","no"))</f>
        <v>no</v>
      </c>
    </row>
    <row r="1095" customFormat="false" ht="15" hidden="false" customHeight="false" outlineLevel="0" collapsed="false">
      <c r="A1095" s="9" t="n">
        <v>45383</v>
      </c>
      <c r="B1095" s="10" t="n">
        <v>22462</v>
      </c>
      <c r="C1095" s="11" t="n">
        <v>19.5557</v>
      </c>
      <c r="D1095" s="11" t="n">
        <v>19.4947</v>
      </c>
      <c r="E1095" s="11" t="n">
        <v>19.6167</v>
      </c>
      <c r="F1095" s="12" t="n">
        <f aca="false">IF(C1095="","",B1095/C1095)</f>
        <v>1148.61651590073</v>
      </c>
      <c r="G1095" s="12" t="n">
        <f aca="false">MEDIAN(F1085:F1105)</f>
        <v>1141.31941469119</v>
      </c>
      <c r="H1095" s="13" t="n">
        <f aca="false">B1095/G1095</f>
        <v>19.6807306621325</v>
      </c>
      <c r="I1095" s="14" t="n">
        <f aca="false">B1095/Summary!$C$8*100</f>
        <v>225.090439017547</v>
      </c>
      <c r="J1095" s="14" t="n">
        <f aca="false">G1095/Summary!$E$8*100</f>
        <v>193.97388123179</v>
      </c>
      <c r="K1095" s="15" t="n">
        <f aca="false">Summary!$D$9</f>
        <v>16.9374488591431</v>
      </c>
      <c r="L1095" s="16" t="str">
        <f aca="false">IF(OR(D1095="",E1095=""),"edge hidden",IF(AND(H1095&gt;=D1095-0.02,H1095&lt;=E1095+0.02),"yes","no"))</f>
        <v>no</v>
      </c>
    </row>
    <row r="1096" customFormat="false" ht="15" hidden="false" customHeight="false" outlineLevel="0" collapsed="false">
      <c r="A1096" s="9" t="n">
        <v>45384</v>
      </c>
      <c r="B1096" s="10" t="n">
        <v>22453.3</v>
      </c>
      <c r="C1096" s="11" t="n">
        <v>19.5675</v>
      </c>
      <c r="D1096" s="11" t="n">
        <v>19.5104</v>
      </c>
      <c r="E1096" s="11" t="n">
        <v>19.6246</v>
      </c>
      <c r="F1096" s="12" t="n">
        <f aca="false">IF(C1096="","",B1096/C1096)</f>
        <v>1147.47923853328</v>
      </c>
      <c r="G1096" s="12" t="n">
        <f aca="false">MEDIAN(F1086:F1106)</f>
        <v>1141.31941469119</v>
      </c>
      <c r="H1096" s="13" t="n">
        <f aca="false">B1096/G1096</f>
        <v>19.673107905621</v>
      </c>
      <c r="I1096" s="14" t="n">
        <f aca="false">B1096/Summary!$C$8*100</f>
        <v>225.003256806726</v>
      </c>
      <c r="J1096" s="14" t="n">
        <f aca="false">G1096/Summary!$E$8*100</f>
        <v>193.97388123179</v>
      </c>
      <c r="K1096" s="15" t="n">
        <f aca="false">Summary!$D$9</f>
        <v>16.9374488591431</v>
      </c>
      <c r="L1096" s="16" t="str">
        <f aca="false">IF(OR(D1096="",E1096=""),"edge hidden",IF(AND(H1096&gt;=D1096-0.02,H1096&lt;=E1096+0.02),"yes","no"))</f>
        <v>no</v>
      </c>
    </row>
    <row r="1097" customFormat="false" ht="15" hidden="false" customHeight="false" outlineLevel="0" collapsed="false">
      <c r="A1097" s="9" t="n">
        <v>45385</v>
      </c>
      <c r="B1097" s="10" t="n">
        <v>22434.65</v>
      </c>
      <c r="C1097" s="11" t="n">
        <v>19.599</v>
      </c>
      <c r="D1097" s="11" t="n">
        <v>19.5576</v>
      </c>
      <c r="E1097" s="11" t="n">
        <v>19.6403</v>
      </c>
      <c r="F1097" s="12" t="n">
        <f aca="false">IF(C1097="","",B1097/C1097)</f>
        <v>1144.6834022144</v>
      </c>
      <c r="G1097" s="12" t="n">
        <f aca="false">MEDIAN(F1087:F1107)</f>
        <v>1141.31941469119</v>
      </c>
      <c r="H1097" s="13" t="n">
        <f aca="false">B1097/G1097</f>
        <v>19.6567671689614</v>
      </c>
      <c r="I1097" s="14" t="n">
        <f aca="false">B1097/Summary!$C$8*100</f>
        <v>224.816366205369</v>
      </c>
      <c r="J1097" s="14" t="n">
        <f aca="false">G1097/Summary!$E$8*100</f>
        <v>193.97388123179</v>
      </c>
      <c r="K1097" s="15" t="n">
        <f aca="false">Summary!$D$9</f>
        <v>16.9374488591431</v>
      </c>
      <c r="L1097" s="16" t="str">
        <f aca="false">IF(OR(D1097="",E1097=""),"edge hidden",IF(AND(H1097&gt;=D1097-0.02,H1097&lt;=E1097+0.02),"yes","no"))</f>
        <v>yes</v>
      </c>
    </row>
    <row r="1098" customFormat="false" ht="15" hidden="false" customHeight="false" outlineLevel="0" collapsed="false">
      <c r="A1098" s="9" t="n">
        <v>45386</v>
      </c>
      <c r="B1098" s="10" t="n">
        <v>22514.65</v>
      </c>
      <c r="C1098" s="11" t="n">
        <v>19.6069</v>
      </c>
      <c r="D1098" s="11" t="n">
        <v>19.5655</v>
      </c>
      <c r="E1098" s="11" t="n">
        <v>19.6482</v>
      </c>
      <c r="F1098" s="12" t="n">
        <f aca="false">IF(C1098="","",B1098/C1098)</f>
        <v>1148.30238334464</v>
      </c>
      <c r="G1098" s="12" t="n">
        <f aca="false">MEDIAN(F1088:F1108)</f>
        <v>1141.04437201794</v>
      </c>
      <c r="H1098" s="13" t="n">
        <f aca="false">B1098/G1098</f>
        <v>19.7316165366845</v>
      </c>
      <c r="I1098" s="14" t="n">
        <f aca="false">B1098/Summary!$C$8*100</f>
        <v>225.618041707168</v>
      </c>
      <c r="J1098" s="14" t="n">
        <f aca="false">G1098/Summary!$E$8*100</f>
        <v>193.927136127705</v>
      </c>
      <c r="K1098" s="15" t="n">
        <f aca="false">Summary!$D$9</f>
        <v>16.9374488591431</v>
      </c>
      <c r="L1098" s="16" t="str">
        <f aca="false">IF(OR(D1098="",E1098=""),"edge hidden",IF(AND(H1098&gt;=D1098-0.02,H1098&lt;=E1098+0.02),"yes","no"))</f>
        <v>no</v>
      </c>
    </row>
    <row r="1099" customFormat="false" ht="15" hidden="false" customHeight="false" outlineLevel="0" collapsed="false">
      <c r="A1099" s="9" t="n">
        <v>45387</v>
      </c>
      <c r="B1099" s="10" t="n">
        <v>22513.7</v>
      </c>
      <c r="C1099" s="11" t="n">
        <v>19.6147</v>
      </c>
      <c r="D1099" s="11" t="n">
        <v>19.5734</v>
      </c>
      <c r="E1099" s="11" t="n">
        <v>19.6561</v>
      </c>
      <c r="F1099" s="12" t="n">
        <f aca="false">IF(C1099="","",B1099/C1099)</f>
        <v>1147.79731527885</v>
      </c>
      <c r="G1099" s="12" t="n">
        <f aca="false">MEDIAN(F1089:F1109)</f>
        <v>1141.05566013192</v>
      </c>
      <c r="H1099" s="13" t="n">
        <f aca="false">B1099/G1099</f>
        <v>19.7305887754828</v>
      </c>
      <c r="I1099" s="14" t="n">
        <f aca="false">B1099/Summary!$C$8*100</f>
        <v>225.608521810584</v>
      </c>
      <c r="J1099" s="14" t="n">
        <f aca="false">G1099/Summary!$E$8*100</f>
        <v>193.929054608414</v>
      </c>
      <c r="K1099" s="15" t="n">
        <f aca="false">Summary!$D$9</f>
        <v>16.9374488591431</v>
      </c>
      <c r="L1099" s="16" t="str">
        <f aca="false">IF(OR(D1099="",E1099=""),"edge hidden",IF(AND(H1099&gt;=D1099-0.02,H1099&lt;=E1099+0.02),"yes","no"))</f>
        <v>no</v>
      </c>
    </row>
    <row r="1100" customFormat="false" ht="15" hidden="false" customHeight="false" outlineLevel="0" collapsed="false">
      <c r="A1100" s="9" t="n">
        <v>45390</v>
      </c>
      <c r="B1100" s="10" t="n">
        <v>22666.3</v>
      </c>
      <c r="C1100" s="11" t="n">
        <v>19.8234</v>
      </c>
      <c r="D1100" s="11" t="n">
        <v>19.5734</v>
      </c>
      <c r="E1100" s="11" t="n">
        <v>20.0734</v>
      </c>
      <c r="F1100" s="12" t="n">
        <f aca="false">IF(C1100="","",B1100/C1100)</f>
        <v>1143.41132197302</v>
      </c>
      <c r="G1100" s="12" t="n">
        <f aca="false">MEDIAN(F1090:F1110)</f>
        <v>1141.05566013192</v>
      </c>
      <c r="H1100" s="13" t="n">
        <f aca="false">B1100/G1100</f>
        <v>19.8643245828863</v>
      </c>
      <c r="I1100" s="14" t="n">
        <f aca="false">B1100/Summary!$C$8*100</f>
        <v>227.137717830265</v>
      </c>
      <c r="J1100" s="14" t="n">
        <f aca="false">G1100/Summary!$E$8*100</f>
        <v>193.929054608414</v>
      </c>
      <c r="K1100" s="15" t="n">
        <f aca="false">Summary!$D$9</f>
        <v>16.9374488591431</v>
      </c>
      <c r="L1100" s="16" t="str">
        <f aca="false">IF(OR(D1100="",E1100=""),"edge hidden",IF(AND(H1100&gt;=D1100-0.02,H1100&lt;=E1100+0.02),"yes","no"))</f>
        <v>yes</v>
      </c>
    </row>
    <row r="1101" customFormat="false" ht="15" hidden="false" customHeight="false" outlineLevel="0" collapsed="false">
      <c r="A1101" s="9" t="n">
        <v>45391</v>
      </c>
      <c r="B1101" s="10" t="n">
        <v>22642.75</v>
      </c>
      <c r="C1101" s="11" t="n">
        <v>19.8391</v>
      </c>
      <c r="D1101" s="11" t="n">
        <v>19.5891</v>
      </c>
      <c r="E1101" s="11" t="n">
        <v>20.0891</v>
      </c>
      <c r="F1101" s="12" t="n">
        <f aca="false">IF(C1101="","",B1101/C1101)</f>
        <v>1141.31941469119</v>
      </c>
      <c r="G1101" s="12" t="n">
        <f aca="false">MEDIAN(F1091:F1111)</f>
        <v>1141.31941469119</v>
      </c>
      <c r="H1101" s="13" t="n">
        <f aca="false">B1101/G1101</f>
        <v>19.8391</v>
      </c>
      <c r="I1101" s="14" t="n">
        <f aca="false">B1101/Summary!$C$8*100</f>
        <v>226.901724604423</v>
      </c>
      <c r="J1101" s="14" t="n">
        <f aca="false">G1101/Summary!$E$8*100</f>
        <v>193.97388123179</v>
      </c>
      <c r="K1101" s="15" t="n">
        <f aca="false">Summary!$D$9</f>
        <v>16.9374488591431</v>
      </c>
      <c r="L1101" s="16" t="str">
        <f aca="false">IF(OR(D1101="",E1101=""),"edge hidden",IF(AND(H1101&gt;=D1101-0.02,H1101&lt;=E1101+0.02),"yes","no"))</f>
        <v>yes</v>
      </c>
    </row>
    <row r="1102" customFormat="false" ht="15" hidden="false" customHeight="false" outlineLevel="0" collapsed="false">
      <c r="A1102" s="9" t="n">
        <v>45392</v>
      </c>
      <c r="B1102" s="10" t="n">
        <v>22753.8</v>
      </c>
      <c r="C1102" s="11" t="n">
        <v>19.847</v>
      </c>
      <c r="D1102" s="11" t="n">
        <v>19.6049</v>
      </c>
      <c r="E1102" s="11" t="n">
        <v>20.0891</v>
      </c>
      <c r="F1102" s="12" t="n">
        <f aca="false">IF(C1102="","",B1102/C1102)</f>
        <v>1146.46042223006</v>
      </c>
      <c r="G1102" s="12" t="n">
        <f aca="false">MEDIAN(F1092:F1112)</f>
        <v>1141.05566013192</v>
      </c>
      <c r="H1102" s="13" t="n">
        <f aca="false">B1102/G1102</f>
        <v>19.941007958691</v>
      </c>
      <c r="I1102" s="14" t="n">
        <f aca="false">B1102/Summary!$C$8*100</f>
        <v>228.014550410358</v>
      </c>
      <c r="J1102" s="14" t="n">
        <f aca="false">G1102/Summary!$E$8*100</f>
        <v>193.929054608414</v>
      </c>
      <c r="K1102" s="15" t="n">
        <f aca="false">Summary!$D$9</f>
        <v>16.9374488591431</v>
      </c>
      <c r="L1102" s="16" t="str">
        <f aca="false">IF(OR(D1102="",E1102=""),"edge hidden",IF(AND(H1102&gt;=D1102-0.02,H1102&lt;=E1102+0.02),"yes","no"))</f>
        <v>yes</v>
      </c>
    </row>
    <row r="1103" customFormat="false" ht="15" hidden="false" customHeight="false" outlineLevel="0" collapsed="false">
      <c r="A1103" s="9" t="n">
        <v>45394</v>
      </c>
      <c r="B1103" s="10" t="n">
        <v>22519.4</v>
      </c>
      <c r="C1103" s="11" t="n">
        <v>19.847</v>
      </c>
      <c r="D1103" s="11" t="n">
        <v>19.6128</v>
      </c>
      <c r="E1103" s="11" t="n">
        <v>20.0813</v>
      </c>
      <c r="F1103" s="12" t="n">
        <f aca="false">IF(C1103="","",B1103/C1103)</f>
        <v>1134.6500730589</v>
      </c>
      <c r="G1103" s="12" t="n">
        <f aca="false">MEDIAN(F1093:F1113)</f>
        <v>1141.31941469119</v>
      </c>
      <c r="H1103" s="13" t="n">
        <f aca="false">B1103/G1103</f>
        <v>19.73102333153</v>
      </c>
      <c r="I1103" s="14" t="n">
        <f aca="false">B1103/Summary!$C$8*100</f>
        <v>225.665641190087</v>
      </c>
      <c r="J1103" s="14" t="n">
        <f aca="false">G1103/Summary!$E$8*100</f>
        <v>193.97388123179</v>
      </c>
      <c r="K1103" s="15" t="n">
        <f aca="false">Summary!$D$9</f>
        <v>16.9374488591431</v>
      </c>
      <c r="L1103" s="16" t="str">
        <f aca="false">IF(OR(D1103="",E1103=""),"edge hidden",IF(AND(H1103&gt;=D1103-0.02,H1103&lt;=E1103+0.02),"yes","no"))</f>
        <v>yes</v>
      </c>
    </row>
    <row r="1104" customFormat="false" ht="15" hidden="false" customHeight="false" outlineLevel="0" collapsed="false">
      <c r="A1104" s="9" t="n">
        <v>45397</v>
      </c>
      <c r="B1104" s="10" t="n">
        <v>22272.5</v>
      </c>
      <c r="C1104" s="11" t="n">
        <v>19.662</v>
      </c>
      <c r="D1104" s="11" t="n">
        <v>19.408</v>
      </c>
      <c r="E1104" s="11" t="n">
        <v>19.9159</v>
      </c>
      <c r="F1104" s="12" t="n">
        <f aca="false">IF(C1104="","",B1104/C1104)</f>
        <v>1132.76879259485</v>
      </c>
      <c r="G1104" s="12" t="n">
        <f aca="false">MEDIAN(F1094:F1114)</f>
        <v>1143.41132197302</v>
      </c>
      <c r="H1104" s="13" t="n">
        <f aca="false">B1104/G1104</f>
        <v>19.478992005753</v>
      </c>
      <c r="I1104" s="14" t="n">
        <f aca="false">B1104/Summary!$C$8*100</f>
        <v>223.191470172661</v>
      </c>
      <c r="J1104" s="14" t="n">
        <f aca="false">G1104/Summary!$E$8*100</f>
        <v>194.329413056984</v>
      </c>
      <c r="K1104" s="15" t="n">
        <f aca="false">Summary!$D$9</f>
        <v>16.9374488591431</v>
      </c>
      <c r="L1104" s="16" t="str">
        <f aca="false">IF(OR(D1104="",E1104=""),"edge hidden",IF(AND(H1104&gt;=D1104-0.02,H1104&lt;=E1104+0.02),"yes","no"))</f>
        <v>yes</v>
      </c>
    </row>
    <row r="1105" customFormat="false" ht="15" hidden="false" customHeight="false" outlineLevel="0" collapsed="false">
      <c r="A1105" s="9" t="n">
        <v>45398</v>
      </c>
      <c r="B1105" s="10" t="n">
        <v>22147.9</v>
      </c>
      <c r="C1105" s="11" t="n">
        <v>19.6462</v>
      </c>
      <c r="D1105" s="11" t="n">
        <v>19.4002</v>
      </c>
      <c r="E1105" s="11" t="n">
        <v>19.8923</v>
      </c>
      <c r="F1105" s="12" t="n">
        <f aca="false">IF(C1105="","",B1105/C1105)</f>
        <v>1127.33760218261</v>
      </c>
      <c r="G1105" s="12" t="n">
        <f aca="false">MEDIAN(F1095:F1115)</f>
        <v>1143.41132197302</v>
      </c>
      <c r="H1105" s="13" t="n">
        <f aca="false">B1105/G1105</f>
        <v>19.3700198470858</v>
      </c>
      <c r="I1105" s="14" t="n">
        <f aca="false">B1105/Summary!$C$8*100</f>
        <v>221.942860578609</v>
      </c>
      <c r="J1105" s="14" t="n">
        <f aca="false">G1105/Summary!$E$8*100</f>
        <v>194.329413056984</v>
      </c>
      <c r="K1105" s="15" t="n">
        <f aca="false">Summary!$D$9</f>
        <v>16.9374488591431</v>
      </c>
      <c r="L1105" s="16" t="str">
        <f aca="false">IF(OR(D1105="",E1105=""),"edge hidden",IF(AND(H1105&gt;=D1105-0.02,H1105&lt;=E1105+0.02),"yes","no"))</f>
        <v>no</v>
      </c>
    </row>
    <row r="1106" customFormat="false" ht="15" hidden="false" customHeight="false" outlineLevel="0" collapsed="false">
      <c r="A1106" s="9" t="n">
        <v>45400</v>
      </c>
      <c r="B1106" s="10" t="n">
        <v>21995.85</v>
      </c>
      <c r="C1106" s="11" t="n">
        <v>19.5124</v>
      </c>
      <c r="D1106" s="11" t="n">
        <v>19.4002</v>
      </c>
      <c r="E1106" s="11" t="n">
        <v>19.6246</v>
      </c>
      <c r="F1106" s="12" t="n">
        <f aca="false">IF(C1106="","",B1106/C1106)</f>
        <v>1127.2754761075</v>
      </c>
      <c r="G1106" s="12" t="n">
        <f aca="false">MEDIAN(F1096:F1116)</f>
        <v>1143.41132197302</v>
      </c>
      <c r="H1106" s="13" t="n">
        <f aca="false">B1106/G1106</f>
        <v>19.237040579627</v>
      </c>
      <c r="I1106" s="14" t="n">
        <f aca="false">B1106/Summary!$C$8*100</f>
        <v>220.419176078003</v>
      </c>
      <c r="J1106" s="14" t="n">
        <f aca="false">G1106/Summary!$E$8*100</f>
        <v>194.329413056984</v>
      </c>
      <c r="K1106" s="15" t="n">
        <f aca="false">Summary!$D$9</f>
        <v>16.9374488591431</v>
      </c>
      <c r="L1106" s="16" t="str">
        <f aca="false">IF(OR(D1106="",E1106=""),"edge hidden",IF(AND(H1106&gt;=D1106-0.02,H1106&lt;=E1106+0.02),"yes","no"))</f>
        <v>no</v>
      </c>
    </row>
    <row r="1107" customFormat="false" ht="15" hidden="false" customHeight="false" outlineLevel="0" collapsed="false">
      <c r="A1107" s="9" t="n">
        <v>45401</v>
      </c>
      <c r="B1107" s="10" t="n">
        <v>22147</v>
      </c>
      <c r="C1107" s="11" t="n">
        <v>19.5045</v>
      </c>
      <c r="D1107" s="11" t="n">
        <v>19.4002</v>
      </c>
      <c r="E1107" s="11" t="n">
        <v>19.6088</v>
      </c>
      <c r="F1107" s="12" t="n">
        <f aca="false">IF(C1107="","",B1107/C1107)</f>
        <v>1135.48155553847</v>
      </c>
      <c r="G1107" s="12" t="n">
        <f aca="false">MEDIAN(F1097:F1117)</f>
        <v>1143.41132197302</v>
      </c>
      <c r="H1107" s="13" t="n">
        <f aca="false">B1107/G1107</f>
        <v>19.3692327287647</v>
      </c>
      <c r="I1107" s="14" t="n">
        <f aca="false">B1107/Summary!$C$8*100</f>
        <v>221.933841729214</v>
      </c>
      <c r="J1107" s="14" t="n">
        <f aca="false">G1107/Summary!$E$8*100</f>
        <v>194.329413056984</v>
      </c>
      <c r="K1107" s="15" t="n">
        <f aca="false">Summary!$D$9</f>
        <v>16.9374488591431</v>
      </c>
      <c r="L1107" s="16" t="str">
        <f aca="false">IF(OR(D1107="",E1107=""),"edge hidden",IF(AND(H1107&gt;=D1107-0.02,H1107&lt;=E1107+0.02),"yes","no"))</f>
        <v>no</v>
      </c>
    </row>
    <row r="1108" customFormat="false" ht="15" hidden="false" customHeight="false" outlineLevel="0" collapsed="false">
      <c r="A1108" s="9" t="n">
        <v>45404</v>
      </c>
      <c r="B1108" s="10" t="n">
        <v>22336.4</v>
      </c>
      <c r="C1108" s="11" t="n">
        <v>19.5754</v>
      </c>
      <c r="D1108" s="11" t="n">
        <v>19.4238</v>
      </c>
      <c r="E1108" s="11" t="n">
        <v>19.7269</v>
      </c>
      <c r="F1108" s="12" t="n">
        <f aca="false">IF(C1108="","",B1108/C1108)</f>
        <v>1141.04437201794</v>
      </c>
      <c r="G1108" s="12" t="n">
        <f aca="false">MEDIAN(F1098:F1118)</f>
        <v>1143.41132197302</v>
      </c>
      <c r="H1108" s="13" t="n">
        <f aca="false">B1108/G1108</f>
        <v>19.5348774065463</v>
      </c>
      <c r="I1108" s="14" t="n">
        <f aca="false">B1108/Summary!$C$8*100</f>
        <v>223.831808479723</v>
      </c>
      <c r="J1108" s="14" t="n">
        <f aca="false">G1108/Summary!$E$8*100</f>
        <v>194.329413056984</v>
      </c>
      <c r="K1108" s="15" t="n">
        <f aca="false">Summary!$D$9</f>
        <v>16.9374488591431</v>
      </c>
      <c r="L1108" s="16" t="str">
        <f aca="false">IF(OR(D1108="",E1108=""),"edge hidden",IF(AND(H1108&gt;=D1108-0.02,H1108&lt;=E1108+0.02),"yes","no"))</f>
        <v>yes</v>
      </c>
    </row>
    <row r="1109" customFormat="false" ht="15" hidden="false" customHeight="false" outlineLevel="0" collapsed="false">
      <c r="A1109" s="9" t="n">
        <v>45405</v>
      </c>
      <c r="B1109" s="10" t="n">
        <v>22368</v>
      </c>
      <c r="C1109" s="11" t="n">
        <v>19.6029</v>
      </c>
      <c r="D1109" s="11" t="n">
        <v>19.4553</v>
      </c>
      <c r="E1109" s="11" t="n">
        <v>19.7506</v>
      </c>
      <c r="F1109" s="12" t="n">
        <f aca="false">IF(C1109="","",B1109/C1109)</f>
        <v>1141.05566013192</v>
      </c>
      <c r="G1109" s="12" t="n">
        <f aca="false">MEDIAN(F1099:F1119)</f>
        <v>1143.41132197302</v>
      </c>
      <c r="H1109" s="13" t="n">
        <f aca="false">B1109/G1109</f>
        <v>19.5625140053736</v>
      </c>
      <c r="I1109" s="14" t="n">
        <f aca="false">B1109/Summary!$C$8*100</f>
        <v>224.148470302933</v>
      </c>
      <c r="J1109" s="14" t="n">
        <f aca="false">G1109/Summary!$E$8*100</f>
        <v>194.329413056984</v>
      </c>
      <c r="K1109" s="15" t="n">
        <f aca="false">Summary!$D$9</f>
        <v>16.9374488591431</v>
      </c>
      <c r="L1109" s="16" t="str">
        <f aca="false">IF(OR(D1109="",E1109=""),"edge hidden",IF(AND(H1109&gt;=D1109-0.02,H1109&lt;=E1109+0.02),"yes","no"))</f>
        <v>yes</v>
      </c>
    </row>
    <row r="1110" customFormat="false" ht="15" hidden="false" customHeight="false" outlineLevel="0" collapsed="false">
      <c r="A1110" s="9" t="n">
        <v>45406</v>
      </c>
      <c r="B1110" s="10" t="n">
        <v>22402.4</v>
      </c>
      <c r="C1110" s="11" t="n">
        <v>19.6502</v>
      </c>
      <c r="D1110" s="11" t="n">
        <v>19.5498</v>
      </c>
      <c r="E1110" s="11" t="n">
        <v>19.7506</v>
      </c>
      <c r="F1110" s="12" t="n">
        <f aca="false">IF(C1110="","",B1110/C1110)</f>
        <v>1140.05964315885</v>
      </c>
      <c r="G1110" s="12" t="n">
        <f aca="false">MEDIAN(F1100:F1120)</f>
        <v>1143.41132197302</v>
      </c>
      <c r="H1110" s="13" t="n">
        <f aca="false">B1110/G1110</f>
        <v>19.5925994167553</v>
      </c>
      <c r="I1110" s="14" t="n">
        <f aca="false">B1110/Summary!$C$8*100</f>
        <v>224.493190768707</v>
      </c>
      <c r="J1110" s="14" t="n">
        <f aca="false">G1110/Summary!$E$8*100</f>
        <v>194.329413056984</v>
      </c>
      <c r="K1110" s="15" t="n">
        <f aca="false">Summary!$D$9</f>
        <v>16.9374488591431</v>
      </c>
      <c r="L1110" s="16" t="str">
        <f aca="false">IF(OR(D1110="",E1110=""),"edge hidden",IF(AND(H1110&gt;=D1110-0.02,H1110&lt;=E1110+0.02),"yes","no"))</f>
        <v>yes</v>
      </c>
    </row>
    <row r="1111" customFormat="false" ht="15" hidden="false" customHeight="false" outlineLevel="0" collapsed="false">
      <c r="A1111" s="9" t="n">
        <v>45407</v>
      </c>
      <c r="B1111" s="10" t="n">
        <v>22570.35</v>
      </c>
      <c r="C1111" s="11" t="n">
        <v>19.6659</v>
      </c>
      <c r="D1111" s="11" t="n">
        <v>19.5734</v>
      </c>
      <c r="E1111" s="11" t="n">
        <v>19.7584</v>
      </c>
      <c r="F1111" s="12" t="n">
        <f aca="false">IF(C1111="","",B1111/C1111)</f>
        <v>1147.68965569844</v>
      </c>
      <c r="G1111" s="12" t="n">
        <f aca="false">MEDIAN(F1101:F1121)</f>
        <v>1146.46042223006</v>
      </c>
      <c r="H1111" s="13" t="n">
        <f aca="false">B1111/G1111</f>
        <v>19.6869857540279</v>
      </c>
      <c r="I1111" s="14" t="n">
        <f aca="false">B1111/Summary!$C$8*100</f>
        <v>226.176208275295</v>
      </c>
      <c r="J1111" s="14" t="n">
        <f aca="false">G1111/Summary!$E$8*100</f>
        <v>194.847625402721</v>
      </c>
      <c r="K1111" s="15" t="n">
        <f aca="false">Summary!$D$9</f>
        <v>16.9374488591431</v>
      </c>
      <c r="L1111" s="16" t="str">
        <f aca="false">IF(OR(D1111="",E1111=""),"edge hidden",IF(AND(H1111&gt;=D1111-0.02,H1111&lt;=E1111+0.02),"yes","no"))</f>
        <v>yes</v>
      </c>
    </row>
    <row r="1112" customFormat="false" ht="15" hidden="false" customHeight="false" outlineLevel="0" collapsed="false">
      <c r="A1112" s="9" t="n">
        <v>45408</v>
      </c>
      <c r="B1112" s="10" t="n">
        <v>22419.95</v>
      </c>
      <c r="C1112" s="11" t="n">
        <v>19.6699</v>
      </c>
      <c r="D1112" s="11" t="n">
        <v>19.5813</v>
      </c>
      <c r="E1112" s="11" t="n">
        <v>19.7584</v>
      </c>
      <c r="F1112" s="12" t="n">
        <f aca="false">IF(C1112="","",B1112/C1112)</f>
        <v>1139.81006512489</v>
      </c>
      <c r="G1112" s="12" t="n">
        <f aca="false">MEDIAN(F1102:F1122)</f>
        <v>1147.68965569844</v>
      </c>
      <c r="H1112" s="13" t="n">
        <f aca="false">B1112/G1112</f>
        <v>19.5348541207824</v>
      </c>
      <c r="I1112" s="14" t="n">
        <f aca="false">B1112/Summary!$C$8*100</f>
        <v>224.669058331914</v>
      </c>
      <c r="J1112" s="14" t="n">
        <f aca="false">G1112/Summary!$E$8*100</f>
        <v>195.056540789363</v>
      </c>
      <c r="K1112" s="15" t="n">
        <f aca="false">Summary!$D$9</f>
        <v>16.9374488591431</v>
      </c>
      <c r="L1112" s="16" t="str">
        <f aca="false">IF(OR(D1112="",E1112=""),"edge hidden",IF(AND(H1112&gt;=D1112-0.02,H1112&lt;=E1112+0.02),"yes","no"))</f>
        <v>no</v>
      </c>
    </row>
    <row r="1113" customFormat="false" ht="15" hidden="false" customHeight="false" outlineLevel="0" collapsed="false">
      <c r="A1113" s="9" t="n">
        <v>45411</v>
      </c>
      <c r="B1113" s="10" t="n">
        <v>22643.4</v>
      </c>
      <c r="C1113" s="11" t="n">
        <v>19.6738</v>
      </c>
      <c r="D1113" s="11" t="n">
        <v>19.5813</v>
      </c>
      <c r="E1113" s="11" t="n">
        <v>19.7663</v>
      </c>
      <c r="F1113" s="12" t="n">
        <f aca="false">IF(C1113="","",B1113/C1113)</f>
        <v>1150.94186176539</v>
      </c>
      <c r="G1113" s="12" t="n">
        <f aca="false">MEDIAN(F1103:F1123)</f>
        <v>1149.21021459184</v>
      </c>
      <c r="H1113" s="13" t="n">
        <f aca="false">B1113/G1113</f>
        <v>19.703444776674</v>
      </c>
      <c r="I1113" s="14" t="n">
        <f aca="false">B1113/Summary!$C$8*100</f>
        <v>226.908238217875</v>
      </c>
      <c r="J1113" s="14" t="n">
        <f aca="false">G1113/Summary!$E$8*100</f>
        <v>195.314968628579</v>
      </c>
      <c r="K1113" s="15" t="n">
        <f aca="false">Summary!$D$9</f>
        <v>16.9374488591431</v>
      </c>
      <c r="L1113" s="16" t="str">
        <f aca="false">IF(OR(D1113="",E1113=""),"edge hidden",IF(AND(H1113&gt;=D1113-0.02,H1113&lt;=E1113+0.02),"yes","no"))</f>
        <v>yes</v>
      </c>
    </row>
    <row r="1114" customFormat="false" ht="15" hidden="false" customHeight="false" outlineLevel="0" collapsed="false">
      <c r="A1114" s="9" t="n">
        <v>45412</v>
      </c>
      <c r="B1114" s="10" t="n">
        <v>22604.85</v>
      </c>
      <c r="C1114" s="11" t="n">
        <v>19.6699</v>
      </c>
      <c r="D1114" s="11" t="n">
        <v>19.5734</v>
      </c>
      <c r="E1114" s="11" t="n">
        <v>19.7663</v>
      </c>
      <c r="F1114" s="12" t="n">
        <f aca="false">IF(C1114="","",B1114/C1114)</f>
        <v>1149.21021459184</v>
      </c>
      <c r="G1114" s="12" t="n">
        <f aca="false">MEDIAN(F1104:F1124)</f>
        <v>1150.85459110135</v>
      </c>
      <c r="H1114" s="13" t="n">
        <f aca="false">B1114/G1114</f>
        <v>19.6417950406467</v>
      </c>
      <c r="I1114" s="14" t="n">
        <f aca="false">B1114/Summary!$C$8*100</f>
        <v>226.521930835446</v>
      </c>
      <c r="J1114" s="14" t="n">
        <f aca="false">G1114/Summary!$E$8*100</f>
        <v>195.59443999273</v>
      </c>
      <c r="K1114" s="15" t="n">
        <f aca="false">Summary!$D$9</f>
        <v>16.9374488591431</v>
      </c>
      <c r="L1114" s="16" t="str">
        <f aca="false">IF(OR(D1114="",E1114=""),"edge hidden",IF(AND(H1114&gt;=D1114-0.02,H1114&lt;=E1114+0.02),"yes","no"))</f>
        <v>yes</v>
      </c>
    </row>
    <row r="1115" customFormat="false" ht="15" hidden="false" customHeight="false" outlineLevel="0" collapsed="false">
      <c r="A1115" s="9" t="n">
        <v>45414</v>
      </c>
      <c r="B1115" s="10" t="n">
        <v>22648.2</v>
      </c>
      <c r="C1115" s="11" t="n">
        <v>19.599</v>
      </c>
      <c r="D1115" s="11" t="n">
        <v>19.4553</v>
      </c>
      <c r="E1115" s="11" t="n">
        <v>19.7427</v>
      </c>
      <c r="F1115" s="12" t="n">
        <f aca="false">IF(C1115="","",B1115/C1115)</f>
        <v>1155.5793662942</v>
      </c>
      <c r="G1115" s="12" t="n">
        <f aca="false">MEDIAN(F1105:F1125)</f>
        <v>1150.94186176539</v>
      </c>
      <c r="H1115" s="13" t="n">
        <f aca="false">B1115/G1115</f>
        <v>19.6779704973635</v>
      </c>
      <c r="I1115" s="14" t="n">
        <f aca="false">B1115/Summary!$C$8*100</f>
        <v>226.956338747983</v>
      </c>
      <c r="J1115" s="14" t="n">
        <f aca="false">G1115/Summary!$E$8*100</f>
        <v>195.609272150323</v>
      </c>
      <c r="K1115" s="15" t="n">
        <f aca="false">Summary!$D$9</f>
        <v>16.9374488591431</v>
      </c>
      <c r="L1115" s="16" t="str">
        <f aca="false">IF(OR(D1115="",E1115=""),"edge hidden",IF(AND(H1115&gt;=D1115-0.02,H1115&lt;=E1115+0.02),"yes","no"))</f>
        <v>yes</v>
      </c>
    </row>
    <row r="1116" customFormat="false" ht="15" hidden="false" customHeight="false" outlineLevel="0" collapsed="false">
      <c r="A1116" s="9" t="n">
        <v>45415</v>
      </c>
      <c r="B1116" s="10" t="n">
        <v>22475.85</v>
      </c>
      <c r="C1116" s="11" t="n">
        <v>19.5242</v>
      </c>
      <c r="D1116" s="11" t="n">
        <v>19.3136</v>
      </c>
      <c r="E1116" s="11" t="n">
        <v>19.7348</v>
      </c>
      <c r="F1116" s="12" t="n">
        <f aca="false">IF(C1116="","",B1116/C1116)</f>
        <v>1151.17904958974</v>
      </c>
      <c r="G1116" s="12" t="n">
        <f aca="false">MEDIAN(F1106:F1126)</f>
        <v>1151.17904958974</v>
      </c>
      <c r="H1116" s="13" t="n">
        <f aca="false">B1116/G1116</f>
        <v>19.5242</v>
      </c>
      <c r="I1116" s="14" t="n">
        <f aca="false">B1116/Summary!$C$8*100</f>
        <v>225.229229088796</v>
      </c>
      <c r="J1116" s="14" t="n">
        <f aca="false">G1116/Summary!$E$8*100</f>
        <v>195.649583602382</v>
      </c>
      <c r="K1116" s="15" t="n">
        <f aca="false">Summary!$D$9</f>
        <v>16.9374488591431</v>
      </c>
      <c r="L1116" s="16" t="str">
        <f aca="false">IF(OR(D1116="",E1116=""),"edge hidden",IF(AND(H1116&gt;=D1116-0.02,H1116&lt;=E1116+0.02),"yes","no"))</f>
        <v>yes</v>
      </c>
    </row>
    <row r="1117" customFormat="false" ht="15" hidden="false" customHeight="false" outlineLevel="0" collapsed="false">
      <c r="A1117" s="9" t="n">
        <v>45418</v>
      </c>
      <c r="B1117" s="10" t="n">
        <v>22442.7</v>
      </c>
      <c r="C1117" s="11" t="n">
        <v>19.2289</v>
      </c>
      <c r="D1117" s="11" t="n">
        <v>18.9199</v>
      </c>
      <c r="E1117" s="11" t="n">
        <v>19.538</v>
      </c>
      <c r="F1117" s="12" t="n">
        <f aca="false">IF(C1117="","",B1117/C1117)</f>
        <v>1167.13384540977</v>
      </c>
      <c r="G1117" s="12" t="n">
        <f aca="false">MEDIAN(F1107:F1127)</f>
        <v>1152.04518375717</v>
      </c>
      <c r="H1117" s="13" t="n">
        <f aca="false">B1117/G1117</f>
        <v>19.480746342611</v>
      </c>
      <c r="I1117" s="14" t="n">
        <f aca="false">B1117/Summary!$C$8*100</f>
        <v>224.897034802738</v>
      </c>
      <c r="J1117" s="14" t="n">
        <f aca="false">G1117/Summary!$E$8*100</f>
        <v>195.796788148244</v>
      </c>
      <c r="K1117" s="15" t="n">
        <f aca="false">Summary!$D$9</f>
        <v>16.9374488591431</v>
      </c>
      <c r="L1117" s="16" t="str">
        <f aca="false">IF(OR(D1117="",E1117=""),"edge hidden",IF(AND(H1117&gt;=D1117-0.02,H1117&lt;=E1117+0.02),"yes","no"))</f>
        <v>yes</v>
      </c>
    </row>
    <row r="1118" customFormat="false" ht="15" hidden="false" customHeight="false" outlineLevel="0" collapsed="false">
      <c r="A1118" s="9" t="n">
        <v>45419</v>
      </c>
      <c r="B1118" s="10" t="n">
        <v>22302.5</v>
      </c>
      <c r="C1118" s="11" t="n">
        <v>19.2171</v>
      </c>
      <c r="D1118" s="11" t="n">
        <v>18.9199</v>
      </c>
      <c r="E1118" s="11" t="n">
        <v>19.5143</v>
      </c>
      <c r="F1118" s="12" t="n">
        <f aca="false">IF(C1118="","",B1118/C1118)</f>
        <v>1160.55492243887</v>
      </c>
      <c r="G1118" s="12" t="n">
        <f aca="false">MEDIAN(F1108:F1128)</f>
        <v>1154.8639325412</v>
      </c>
      <c r="H1118" s="13" t="n">
        <f aca="false">B1118/G1118</f>
        <v>19.3117988808645</v>
      </c>
      <c r="I1118" s="14" t="n">
        <f aca="false">B1118/Summary!$C$8*100</f>
        <v>223.492098485835</v>
      </c>
      <c r="J1118" s="14" t="n">
        <f aca="false">G1118/Summary!$E$8*100</f>
        <v>196.275850919646</v>
      </c>
      <c r="K1118" s="15" t="n">
        <f aca="false">Summary!$D$9</f>
        <v>16.9374488591431</v>
      </c>
      <c r="L1118" s="16" t="str">
        <f aca="false">IF(OR(D1118="",E1118=""),"edge hidden",IF(AND(H1118&gt;=D1118-0.02,H1118&lt;=E1118+0.02),"yes","no"))</f>
        <v>yes</v>
      </c>
    </row>
    <row r="1119" customFormat="false" ht="15" hidden="false" customHeight="false" outlineLevel="0" collapsed="false">
      <c r="A1119" s="9" t="n">
        <v>45420</v>
      </c>
      <c r="B1119" s="10" t="n">
        <v>22302.5</v>
      </c>
      <c r="C1119" s="11" t="n">
        <v>19.1423</v>
      </c>
      <c r="D1119" s="11" t="n">
        <v>18.912</v>
      </c>
      <c r="E1119" s="11" t="n">
        <v>19.3726</v>
      </c>
      <c r="F1119" s="12" t="n">
        <f aca="false">IF(C1119="","",B1119/C1119)</f>
        <v>1165.08987948157</v>
      </c>
      <c r="G1119" s="12" t="n">
        <f aca="false">MEDIAN(F1109:F1129)</f>
        <v>1155.5793662942</v>
      </c>
      <c r="H1119" s="13" t="n">
        <f aca="false">B1119/G1119</f>
        <v>19.2998427027313</v>
      </c>
      <c r="I1119" s="14" t="n">
        <f aca="false">B1119/Summary!$C$8*100</f>
        <v>223.492098485835</v>
      </c>
      <c r="J1119" s="14" t="n">
        <f aca="false">G1119/Summary!$E$8*100</f>
        <v>196.397443052441</v>
      </c>
      <c r="K1119" s="15" t="n">
        <f aca="false">Summary!$D$9</f>
        <v>16.9374488591431</v>
      </c>
      <c r="L1119" s="16" t="str">
        <f aca="false">IF(OR(D1119="",E1119=""),"edge hidden",IF(AND(H1119&gt;=D1119-0.02,H1119&lt;=E1119+0.02),"yes","no"))</f>
        <v>yes</v>
      </c>
    </row>
    <row r="1120" customFormat="false" ht="15" hidden="false" customHeight="false" outlineLevel="0" collapsed="false">
      <c r="A1120" s="9" t="n">
        <v>45421</v>
      </c>
      <c r="B1120" s="10" t="n">
        <v>21957.5</v>
      </c>
      <c r="C1120" s="11" t="n">
        <v>19.0793</v>
      </c>
      <c r="D1120" s="11" t="n">
        <v>18.9199</v>
      </c>
      <c r="E1120" s="11" t="n">
        <v>19.2388</v>
      </c>
      <c r="F1120" s="12" t="n">
        <f aca="false">IF(C1120="","",B1120/C1120)</f>
        <v>1150.85459110135</v>
      </c>
      <c r="G1120" s="12" t="n">
        <f aca="false">MEDIAN(F1110:F1130)</f>
        <v>1156.45416697253</v>
      </c>
      <c r="H1120" s="13" t="n">
        <f aca="false">B1120/G1120</f>
        <v>18.9869176203344</v>
      </c>
      <c r="I1120" s="14" t="n">
        <f aca="false">B1120/Summary!$C$8*100</f>
        <v>220.034872884328</v>
      </c>
      <c r="J1120" s="14" t="n">
        <f aca="false">G1120/Summary!$E$8*100</f>
        <v>196.546120522303</v>
      </c>
      <c r="K1120" s="15" t="n">
        <f aca="false">Summary!$D$9</f>
        <v>16.9374488591431</v>
      </c>
      <c r="L1120" s="16" t="str">
        <f aca="false">IF(OR(D1120="",E1120=""),"edge hidden",IF(AND(H1120&gt;=D1120-0.02,H1120&lt;=E1120+0.02),"yes","no"))</f>
        <v>yes</v>
      </c>
    </row>
    <row r="1121" customFormat="false" ht="15" hidden="false" customHeight="false" outlineLevel="0" collapsed="false">
      <c r="A1121" s="9" t="n">
        <v>45422</v>
      </c>
      <c r="B1121" s="10" t="n">
        <v>22055.2</v>
      </c>
      <c r="C1121" s="11" t="n">
        <v>19.0714</v>
      </c>
      <c r="D1121" s="11" t="n">
        <v>18.9199</v>
      </c>
      <c r="E1121" s="11" t="n">
        <v>19.223</v>
      </c>
      <c r="F1121" s="12" t="n">
        <f aca="false">IF(C1121="","",B1121/C1121)</f>
        <v>1156.45416697253</v>
      </c>
      <c r="G1121" s="12" t="n">
        <f aca="false">MEDIAN(F1111:F1131)</f>
        <v>1158.09419976108</v>
      </c>
      <c r="H1121" s="13" t="n">
        <f aca="false">B1121/G1121</f>
        <v>19.0443920749711</v>
      </c>
      <c r="I1121" s="14" t="n">
        <f aca="false">B1121/Summary!$C$8*100</f>
        <v>221.0139190909</v>
      </c>
      <c r="J1121" s="14" t="n">
        <f aca="false">G1121/Summary!$E$8*100</f>
        <v>196.824853645781</v>
      </c>
      <c r="K1121" s="15" t="n">
        <f aca="false">Summary!$D$9</f>
        <v>16.9374488591431</v>
      </c>
      <c r="L1121" s="16" t="str">
        <f aca="false">IF(OR(D1121="",E1121=""),"edge hidden",IF(AND(H1121&gt;=D1121-0.02,H1121&lt;=E1121+0.02),"yes","no"))</f>
        <v>yes</v>
      </c>
    </row>
    <row r="1122" customFormat="false" ht="15" hidden="false" customHeight="false" outlineLevel="0" collapsed="false">
      <c r="A1122" s="9" t="n">
        <v>45425</v>
      </c>
      <c r="B1122" s="10" t="n">
        <v>22104.05</v>
      </c>
      <c r="C1122" s="11" t="n">
        <v>19.0793</v>
      </c>
      <c r="D1122" s="11" t="n">
        <v>18.9356</v>
      </c>
      <c r="E1122" s="11" t="n">
        <v>19.223</v>
      </c>
      <c r="F1122" s="12" t="n">
        <f aca="false">IF(C1122="","",B1122/C1122)</f>
        <v>1158.53569051275</v>
      </c>
      <c r="G1122" s="12" t="n">
        <f aca="false">MEDIAN(F1112:F1132)</f>
        <v>1158.53569051275</v>
      </c>
      <c r="H1122" s="13" t="n">
        <f aca="false">B1122/G1122</f>
        <v>19.0793</v>
      </c>
      <c r="I1122" s="14" t="n">
        <f aca="false">B1122/Summary!$C$8*100</f>
        <v>221.503442194186</v>
      </c>
      <c r="J1122" s="14" t="n">
        <f aca="false">G1122/Summary!$E$8*100</f>
        <v>196.899887570138</v>
      </c>
      <c r="K1122" s="15" t="n">
        <f aca="false">Summary!$D$9</f>
        <v>16.9374488591431</v>
      </c>
      <c r="L1122" s="16" t="str">
        <f aca="false">IF(OR(D1122="",E1122=""),"edge hidden",IF(AND(H1122&gt;=D1122-0.02,H1122&lt;=E1122+0.02),"yes","no"))</f>
        <v>yes</v>
      </c>
    </row>
    <row r="1123" customFormat="false" ht="15" hidden="false" customHeight="false" outlineLevel="0" collapsed="false">
      <c r="A1123" s="9" t="n">
        <v>45426</v>
      </c>
      <c r="B1123" s="10" t="n">
        <v>22217.85</v>
      </c>
      <c r="C1123" s="11" t="n">
        <v>19.1187</v>
      </c>
      <c r="D1123" s="11" t="n">
        <v>18.9435</v>
      </c>
      <c r="E1123" s="11" t="n">
        <v>19.2939</v>
      </c>
      <c r="F1123" s="12" t="n">
        <f aca="false">IF(C1123="","",B1123/C1123)</f>
        <v>1162.100456621</v>
      </c>
      <c r="G1123" s="12" t="n">
        <f aca="false">MEDIAN(F1113:F1133)</f>
        <v>1160.55492243887</v>
      </c>
      <c r="H1123" s="13" t="n">
        <f aca="false">B1123/G1123</f>
        <v>19.1441607548481</v>
      </c>
      <c r="I1123" s="14" t="n">
        <f aca="false">B1123/Summary!$C$8*100</f>
        <v>222.643825595495</v>
      </c>
      <c r="J1123" s="14" t="n">
        <f aca="false">G1123/Summary!$E$8*100</f>
        <v>197.243067795388</v>
      </c>
      <c r="K1123" s="15" t="n">
        <f aca="false">Summary!$D$9</f>
        <v>16.9374488591431</v>
      </c>
      <c r="L1123" s="16" t="str">
        <f aca="false">IF(OR(D1123="",E1123=""),"edge hidden",IF(AND(H1123&gt;=D1123-0.02,H1123&lt;=E1123+0.02),"yes","no"))</f>
        <v>yes</v>
      </c>
    </row>
    <row r="1124" customFormat="false" ht="15" hidden="false" customHeight="false" outlineLevel="0" collapsed="false">
      <c r="A1124" s="9" t="n">
        <v>45427</v>
      </c>
      <c r="B1124" s="10" t="n">
        <v>22200.55</v>
      </c>
      <c r="C1124" s="11" t="n">
        <v>19.1699</v>
      </c>
      <c r="D1124" s="11" t="n">
        <v>18.9828</v>
      </c>
      <c r="E1124" s="11" t="n">
        <v>19.3569</v>
      </c>
      <c r="F1124" s="12" t="n">
        <f aca="false">IF(C1124="","",B1124/C1124)</f>
        <v>1158.09419976108</v>
      </c>
      <c r="G1124" s="12" t="n">
        <f aca="false">MEDIAN(F1114:F1134)</f>
        <v>1160.55492243887</v>
      </c>
      <c r="H1124" s="13" t="n">
        <f aca="false">B1124/G1124</f>
        <v>19.1292540928147</v>
      </c>
      <c r="I1124" s="14" t="n">
        <f aca="false">B1124/Summary!$C$8*100</f>
        <v>222.470463268231</v>
      </c>
      <c r="J1124" s="14" t="n">
        <f aca="false">G1124/Summary!$E$8*100</f>
        <v>197.243067795388</v>
      </c>
      <c r="K1124" s="15" t="n">
        <f aca="false">Summary!$D$9</f>
        <v>16.9374488591431</v>
      </c>
      <c r="L1124" s="16" t="str">
        <f aca="false">IF(OR(D1124="",E1124=""),"edge hidden",IF(AND(H1124&gt;=D1124-0.02,H1124&lt;=E1124+0.02),"yes","no"))</f>
        <v>yes</v>
      </c>
    </row>
    <row r="1125" customFormat="false" ht="15" hidden="false" customHeight="false" outlineLevel="0" collapsed="false">
      <c r="A1125" s="9" t="n">
        <v>45428</v>
      </c>
      <c r="B1125" s="10" t="n">
        <v>22403.85</v>
      </c>
      <c r="C1125" s="11" t="n">
        <v>19.2053</v>
      </c>
      <c r="D1125" s="11" t="n">
        <v>19.038</v>
      </c>
      <c r="E1125" s="11" t="n">
        <v>19.3726</v>
      </c>
      <c r="F1125" s="12" t="n">
        <f aca="false">IF(C1125="","",B1125/C1125)</f>
        <v>1166.54517242636</v>
      </c>
      <c r="G1125" s="12" t="n">
        <f aca="false">MEDIAN(F1115:F1135)</f>
        <v>1162.100456621</v>
      </c>
      <c r="H1125" s="13" t="n">
        <f aca="false">B1125/G1125</f>
        <v>19.2787550098232</v>
      </c>
      <c r="I1125" s="14" t="n">
        <f aca="false">B1125/Summary!$C$8*100</f>
        <v>224.507721137177</v>
      </c>
      <c r="J1125" s="14" t="n">
        <f aca="false">G1125/Summary!$E$8*100</f>
        <v>197.505740330373</v>
      </c>
      <c r="K1125" s="15" t="n">
        <f aca="false">Summary!$D$9</f>
        <v>16.9374488591431</v>
      </c>
      <c r="L1125" s="16" t="str">
        <f aca="false">IF(OR(D1125="",E1125=""),"edge hidden",IF(AND(H1125&gt;=D1125-0.02,H1125&lt;=E1125+0.02),"yes","no"))</f>
        <v>yes</v>
      </c>
    </row>
    <row r="1126" customFormat="false" ht="15" hidden="false" customHeight="false" outlineLevel="0" collapsed="false">
      <c r="A1126" s="9" t="n">
        <v>45429</v>
      </c>
      <c r="B1126" s="10" t="n">
        <v>22466.1</v>
      </c>
      <c r="C1126" s="11" t="n">
        <v>19.2565</v>
      </c>
      <c r="D1126" s="11" t="n">
        <v>19.1325</v>
      </c>
      <c r="E1126" s="11" t="n">
        <v>19.3805</v>
      </c>
      <c r="F1126" s="12" t="n">
        <f aca="false">IF(C1126="","",B1126/C1126)</f>
        <v>1166.67618726144</v>
      </c>
      <c r="G1126" s="12" t="n">
        <f aca="false">MEDIAN(F1116:F1136)</f>
        <v>1163.37113079836</v>
      </c>
      <c r="H1126" s="13" t="n">
        <f aca="false">B1126/G1126</f>
        <v>19.3112063770937</v>
      </c>
      <c r="I1126" s="14" t="n">
        <f aca="false">B1126/Summary!$C$8*100</f>
        <v>225.131524887014</v>
      </c>
      <c r="J1126" s="14" t="n">
        <f aca="false">G1126/Summary!$E$8*100</f>
        <v>197.721698806843</v>
      </c>
      <c r="K1126" s="15" t="n">
        <f aca="false">Summary!$D$9</f>
        <v>16.9374488591431</v>
      </c>
      <c r="L1126" s="16" t="str">
        <f aca="false">IF(OR(D1126="",E1126=""),"edge hidden",IF(AND(H1126&gt;=D1126-0.02,H1126&lt;=E1126+0.02),"yes","no"))</f>
        <v>yes</v>
      </c>
    </row>
    <row r="1127" customFormat="false" ht="15" hidden="false" customHeight="false" outlineLevel="0" collapsed="false">
      <c r="A1127" s="9" t="n">
        <v>45433</v>
      </c>
      <c r="B1127" s="10" t="n">
        <v>22529.05</v>
      </c>
      <c r="C1127" s="11" t="n">
        <v>19.5557</v>
      </c>
      <c r="D1127" s="11" t="n">
        <v>19.3529</v>
      </c>
      <c r="E1127" s="11" t="n">
        <v>19.7584</v>
      </c>
      <c r="F1127" s="12" t="n">
        <f aca="false">IF(C1127="","",B1127/C1127)</f>
        <v>1152.04518375717</v>
      </c>
      <c r="G1127" s="12" t="n">
        <f aca="false">MEDIAN(F1117:F1137)</f>
        <v>1163.37113079836</v>
      </c>
      <c r="H1127" s="13" t="n">
        <f aca="false">B1127/G1127</f>
        <v>19.3653163668756</v>
      </c>
      <c r="I1127" s="14" t="n">
        <f aca="false">B1127/Summary!$C$8*100</f>
        <v>225.762343297492</v>
      </c>
      <c r="J1127" s="14" t="n">
        <f aca="false">G1127/Summary!$E$8*100</f>
        <v>197.721698806843</v>
      </c>
      <c r="K1127" s="15" t="n">
        <f aca="false">Summary!$D$9</f>
        <v>16.9374488591431</v>
      </c>
      <c r="L1127" s="16" t="str">
        <f aca="false">IF(OR(D1127="",E1127=""),"edge hidden",IF(AND(H1127&gt;=D1127-0.02,H1127&lt;=E1127+0.02),"yes","no"))</f>
        <v>yes</v>
      </c>
    </row>
    <row r="1128" customFormat="false" ht="15" hidden="false" customHeight="false" outlineLevel="0" collapsed="false">
      <c r="A1128" s="9" t="n">
        <v>45434</v>
      </c>
      <c r="B1128" s="10" t="n">
        <v>22597.8</v>
      </c>
      <c r="C1128" s="11" t="n">
        <v>19.5675</v>
      </c>
      <c r="D1128" s="11" t="n">
        <v>19.3687</v>
      </c>
      <c r="E1128" s="11" t="n">
        <v>19.7663</v>
      </c>
      <c r="F1128" s="12" t="n">
        <f aca="false">IF(C1128="","",B1128/C1128)</f>
        <v>1154.8639325412</v>
      </c>
      <c r="G1128" s="12" t="n">
        <f aca="false">MEDIAN(F1118:F1138)</f>
        <v>1163.37113079836</v>
      </c>
      <c r="H1128" s="13" t="n">
        <f aca="false">B1128/G1128</f>
        <v>19.4244118680273</v>
      </c>
      <c r="I1128" s="14" t="n">
        <f aca="false">B1128/Summary!$C$8*100</f>
        <v>226.45128318185</v>
      </c>
      <c r="J1128" s="14" t="n">
        <f aca="false">G1128/Summary!$E$8*100</f>
        <v>197.721698806843</v>
      </c>
      <c r="K1128" s="15" t="n">
        <f aca="false">Summary!$D$9</f>
        <v>16.9374488591431</v>
      </c>
      <c r="L1128" s="16" t="str">
        <f aca="false">IF(OR(D1128="",E1128=""),"edge hidden",IF(AND(H1128&gt;=D1128-0.02,H1128&lt;=E1128+0.02),"yes","no"))</f>
        <v>yes</v>
      </c>
    </row>
    <row r="1129" customFormat="false" ht="15" hidden="false" customHeight="false" outlineLevel="0" collapsed="false">
      <c r="A1129" s="9" t="n">
        <v>45435</v>
      </c>
      <c r="B1129" s="10" t="n">
        <v>22967.65</v>
      </c>
      <c r="C1129" s="11" t="n">
        <v>19.5832</v>
      </c>
      <c r="D1129" s="11" t="n">
        <v>19.4002</v>
      </c>
      <c r="E1129" s="11" t="n">
        <v>19.7663</v>
      </c>
      <c r="F1129" s="12" t="n">
        <f aca="false">IF(C1129="","",B1129/C1129)</f>
        <v>1172.82415539851</v>
      </c>
      <c r="G1129" s="12" t="n">
        <f aca="false">MEDIAN(F1119:F1139)</f>
        <v>1164.79261338669</v>
      </c>
      <c r="H1129" s="13" t="n">
        <f aca="false">B1129/G1129</f>
        <v>19.7182311563777</v>
      </c>
      <c r="I1129" s="14" t="n">
        <f aca="false">B1129/Summary!$C$8*100</f>
        <v>230.157529236103</v>
      </c>
      <c r="J1129" s="14" t="n">
        <f aca="false">G1129/Summary!$E$8*100</f>
        <v>197.963288051022</v>
      </c>
      <c r="K1129" s="15" t="n">
        <f aca="false">Summary!$D$9</f>
        <v>16.9374488591431</v>
      </c>
      <c r="L1129" s="16" t="str">
        <f aca="false">IF(OR(D1129="",E1129=""),"edge hidden",IF(AND(H1129&gt;=D1129-0.02,H1129&lt;=E1129+0.02),"yes","no"))</f>
        <v>yes</v>
      </c>
    </row>
    <row r="1130" customFormat="false" ht="15" hidden="false" customHeight="false" outlineLevel="0" collapsed="false">
      <c r="A1130" s="9" t="n">
        <v>45436</v>
      </c>
      <c r="B1130" s="10" t="n">
        <v>22957.1</v>
      </c>
      <c r="C1130" s="11" t="n">
        <v>19.5911</v>
      </c>
      <c r="D1130" s="11" t="n">
        <v>19.4159</v>
      </c>
      <c r="E1130" s="11" t="n">
        <v>19.7663</v>
      </c>
      <c r="F1130" s="12" t="n">
        <f aca="false">IF(C1130="","",B1130/C1130)</f>
        <v>1171.81271087382</v>
      </c>
      <c r="G1130" s="12" t="n">
        <f aca="false">MEDIAN(F1120:F1140)</f>
        <v>1164.79261338669</v>
      </c>
      <c r="H1130" s="13" t="n">
        <f aca="false">B1130/G1130</f>
        <v>19.7091737500388</v>
      </c>
      <c r="I1130" s="14" t="n">
        <f aca="false">B1130/Summary!$C$8*100</f>
        <v>230.051808279304</v>
      </c>
      <c r="J1130" s="14" t="n">
        <f aca="false">G1130/Summary!$E$8*100</f>
        <v>197.963288051022</v>
      </c>
      <c r="K1130" s="15" t="n">
        <f aca="false">Summary!$D$9</f>
        <v>16.9374488591431</v>
      </c>
      <c r="L1130" s="16" t="str">
        <f aca="false">IF(OR(D1130="",E1130=""),"edge hidden",IF(AND(H1130&gt;=D1130-0.02,H1130&lt;=E1130+0.02),"yes","no"))</f>
        <v>yes</v>
      </c>
    </row>
    <row r="1131" customFormat="false" ht="15" hidden="false" customHeight="false" outlineLevel="0" collapsed="false">
      <c r="A1131" s="9" t="n">
        <v>45439</v>
      </c>
      <c r="B1131" s="10" t="n">
        <v>22932.45</v>
      </c>
      <c r="C1131" s="11" t="n">
        <v>19.5242</v>
      </c>
      <c r="D1131" s="11" t="n">
        <v>19.3214</v>
      </c>
      <c r="E1131" s="11" t="n">
        <v>19.7269</v>
      </c>
      <c r="F1131" s="12" t="n">
        <f aca="false">IF(C1131="","",B1131/C1131)</f>
        <v>1174.5654111308</v>
      </c>
      <c r="G1131" s="12" t="n">
        <f aca="false">MEDIAN(F1121:F1141)</f>
        <v>1166.54517242636</v>
      </c>
      <c r="H1131" s="13" t="n">
        <f aca="false">B1131/G1131</f>
        <v>19.6584329026038</v>
      </c>
      <c r="I1131" s="14" t="n">
        <f aca="false">B1131/Summary!$C$8*100</f>
        <v>229.804792015312</v>
      </c>
      <c r="J1131" s="14" t="n">
        <f aca="false">G1131/Summary!$E$8*100</f>
        <v>198.261145666197</v>
      </c>
      <c r="K1131" s="15" t="n">
        <f aca="false">Summary!$D$9</f>
        <v>16.9374488591431</v>
      </c>
      <c r="L1131" s="16" t="str">
        <f aca="false">IF(OR(D1131="",E1131=""),"edge hidden",IF(AND(H1131&gt;=D1131-0.02,H1131&lt;=E1131+0.02),"yes","no"))</f>
        <v>yes</v>
      </c>
    </row>
    <row r="1132" customFormat="false" ht="15" hidden="false" customHeight="false" outlineLevel="0" collapsed="false">
      <c r="A1132" s="9" t="n">
        <v>45440</v>
      </c>
      <c r="B1132" s="10" t="n">
        <v>22888.15</v>
      </c>
      <c r="C1132" s="11" t="n">
        <v>19.5124</v>
      </c>
      <c r="D1132" s="11" t="n">
        <v>19.3057</v>
      </c>
      <c r="E1132" s="11" t="n">
        <v>19.7191</v>
      </c>
      <c r="F1132" s="12" t="n">
        <f aca="false">IF(C1132="","",B1132/C1132)</f>
        <v>1173.00537094361</v>
      </c>
      <c r="G1132" s="12" t="n">
        <f aca="false">MEDIAN(F1122:F1142)</f>
        <v>1166.67618726144</v>
      </c>
      <c r="H1132" s="13" t="n">
        <f aca="false">B1132/G1132</f>
        <v>19.6182541907585</v>
      </c>
      <c r="I1132" s="14" t="n">
        <f aca="false">B1132/Summary!$C$8*100</f>
        <v>229.360864206191</v>
      </c>
      <c r="J1132" s="14" t="n">
        <f aca="false">G1132/Summary!$E$8*100</f>
        <v>198.283412400411</v>
      </c>
      <c r="K1132" s="15" t="n">
        <f aca="false">Summary!$D$9</f>
        <v>16.9374488591431</v>
      </c>
      <c r="L1132" s="16" t="str">
        <f aca="false">IF(OR(D1132="",E1132=""),"edge hidden",IF(AND(H1132&gt;=D1132-0.02,H1132&lt;=E1132+0.02),"yes","no"))</f>
        <v>yes</v>
      </c>
    </row>
    <row r="1133" customFormat="false" ht="15" hidden="false" customHeight="false" outlineLevel="0" collapsed="false">
      <c r="A1133" s="9" t="n">
        <v>45441</v>
      </c>
      <c r="B1133" s="10" t="n">
        <v>22704.7</v>
      </c>
      <c r="C1133" s="11" t="n">
        <v>19.5163</v>
      </c>
      <c r="D1133" s="11" t="n">
        <v>19.3057</v>
      </c>
      <c r="E1133" s="11" t="n">
        <v>19.7269</v>
      </c>
      <c r="F1133" s="12" t="n">
        <f aca="false">IF(C1133="","",B1133/C1133)</f>
        <v>1163.37113079836</v>
      </c>
      <c r="G1133" s="12" t="n">
        <f aca="false">MEDIAN(F1123:F1143)</f>
        <v>1168.72968587518</v>
      </c>
      <c r="H1133" s="13" t="n">
        <f aca="false">B1133/G1133</f>
        <v>19.42681894231</v>
      </c>
      <c r="I1133" s="14" t="n">
        <f aca="false">B1133/Summary!$C$8*100</f>
        <v>227.522522071129</v>
      </c>
      <c r="J1133" s="14" t="n">
        <f aca="false">G1133/Summary!$E$8*100</f>
        <v>198.632416448782</v>
      </c>
      <c r="K1133" s="15" t="n">
        <f aca="false">Summary!$D$9</f>
        <v>16.9374488591431</v>
      </c>
      <c r="L1133" s="16" t="str">
        <f aca="false">IF(OR(D1133="",E1133=""),"edge hidden",IF(AND(H1133&gt;=D1133-0.02,H1133&lt;=E1133+0.02),"yes","no"))</f>
        <v>yes</v>
      </c>
    </row>
    <row r="1134" customFormat="false" ht="15" hidden="false" customHeight="false" outlineLevel="0" collapsed="false">
      <c r="A1134" s="9" t="n">
        <v>45442</v>
      </c>
      <c r="B1134" s="10" t="n">
        <v>22488.65</v>
      </c>
      <c r="C1134" s="11" t="n">
        <v>19.599</v>
      </c>
      <c r="D1134" s="11" t="n">
        <v>19.2978</v>
      </c>
      <c r="E1134" s="11" t="n">
        <v>19.9002</v>
      </c>
      <c r="F1134" s="12" t="n">
        <f aca="false">IF(C1134="","",B1134/C1134)</f>
        <v>1147.43864482882</v>
      </c>
      <c r="G1134" s="12" t="n">
        <f aca="false">MEDIAN(F1124:F1144)</f>
        <v>1169.83276750912</v>
      </c>
      <c r="H1134" s="13" t="n">
        <f aca="false">B1134/G1134</f>
        <v>19.2238161082496</v>
      </c>
      <c r="I1134" s="14" t="n">
        <f aca="false">B1134/Summary!$C$8*100</f>
        <v>225.357497169083</v>
      </c>
      <c r="J1134" s="14" t="n">
        <f aca="false">G1134/Summary!$E$8*100</f>
        <v>198.819891596488</v>
      </c>
      <c r="K1134" s="15" t="n">
        <f aca="false">Summary!$D$9</f>
        <v>16.9374488591431</v>
      </c>
      <c r="L1134" s="16" t="str">
        <f aca="false">IF(OR(D1134="",E1134=""),"edge hidden",IF(AND(H1134&gt;=D1134-0.02,H1134&lt;=E1134+0.02),"yes","no"))</f>
        <v>no</v>
      </c>
    </row>
    <row r="1135" customFormat="false" ht="15" hidden="false" customHeight="false" outlineLevel="0" collapsed="false">
      <c r="A1135" s="9" t="n">
        <v>45443</v>
      </c>
      <c r="B1135" s="10" t="n">
        <v>22530.7</v>
      </c>
      <c r="C1135" s="11" t="n">
        <v>19.3431</v>
      </c>
      <c r="D1135" s="11" t="n">
        <v>18.7624</v>
      </c>
      <c r="E1135" s="11" t="n">
        <v>19.9238</v>
      </c>
      <c r="F1135" s="12" t="n">
        <f aca="false">IF(C1135="","",B1135/C1135)</f>
        <v>1164.79261338669</v>
      </c>
      <c r="G1135" s="12" t="n">
        <f aca="false">MEDIAN(F1125:F1145)</f>
        <v>1170.14117001961</v>
      </c>
      <c r="H1135" s="13" t="n">
        <f aca="false">B1135/G1135</f>
        <v>19.2546853125615</v>
      </c>
      <c r="I1135" s="14" t="n">
        <f aca="false">B1135/Summary!$C$8*100</f>
        <v>225.778877854716</v>
      </c>
      <c r="J1135" s="14" t="n">
        <f aca="false">G1135/Summary!$E$8*100</f>
        <v>198.87230639919</v>
      </c>
      <c r="K1135" s="15" t="n">
        <f aca="false">Summary!$D$9</f>
        <v>16.9374488591431</v>
      </c>
      <c r="L1135" s="16" t="str">
        <f aca="false">IF(OR(D1135="",E1135=""),"edge hidden",IF(AND(H1135&gt;=D1135-0.02,H1135&lt;=E1135+0.02),"yes","no"))</f>
        <v>yes</v>
      </c>
    </row>
    <row r="1136" customFormat="false" ht="15" hidden="false" customHeight="false" outlineLevel="0" collapsed="false">
      <c r="A1136" s="9" t="n">
        <v>45446</v>
      </c>
      <c r="B1136" s="10" t="n">
        <v>23263.9</v>
      </c>
      <c r="C1136" s="11" t="n">
        <v>19.3391</v>
      </c>
      <c r="D1136" s="11" t="n">
        <v>18.7388</v>
      </c>
      <c r="E1136" s="11" t="n">
        <v>19.9395</v>
      </c>
      <c r="F1136" s="12" t="n">
        <f aca="false">IF(C1136="","",B1136/C1136)</f>
        <v>1202.94636255048</v>
      </c>
      <c r="G1136" s="12" t="n">
        <f aca="false">MEDIAN(F1126:F1146)</f>
        <v>1171.41888498242</v>
      </c>
      <c r="H1136" s="13" t="n">
        <f aca="false">B1136/G1136</f>
        <v>19.8595910465872</v>
      </c>
      <c r="I1136" s="14" t="n">
        <f aca="false">B1136/Summary!$C$8*100</f>
        <v>233.126233828702</v>
      </c>
      <c r="J1136" s="14" t="n">
        <f aca="false">G1136/Summary!$E$8*100</f>
        <v>199.089461498153</v>
      </c>
      <c r="K1136" s="15" t="n">
        <f aca="false">Summary!$D$9</f>
        <v>16.9374488591431</v>
      </c>
      <c r="L1136" s="16" t="str">
        <f aca="false">IF(OR(D1136="",E1136=""),"edge hidden",IF(AND(H1136&gt;=D1136-0.02,H1136&lt;=E1136+0.02),"yes","no"))</f>
        <v>yes</v>
      </c>
    </row>
    <row r="1137" customFormat="false" ht="15" hidden="false" customHeight="false" outlineLevel="0" collapsed="false">
      <c r="A1137" s="9" t="n">
        <v>45447</v>
      </c>
      <c r="B1137" s="10" t="n">
        <v>21884.5</v>
      </c>
      <c r="C1137" s="11" t="n">
        <v>19.3352</v>
      </c>
      <c r="D1137" s="11" t="n">
        <v>18.7388</v>
      </c>
      <c r="E1137" s="11" t="n">
        <v>19.9317</v>
      </c>
      <c r="F1137" s="12" t="n">
        <f aca="false">IF(C1137="","",B1137/C1137)</f>
        <v>1131.84761471306</v>
      </c>
      <c r="G1137" s="12" t="n">
        <f aca="false">MEDIAN(F1127:F1147)</f>
        <v>1171.81271087382</v>
      </c>
      <c r="H1137" s="13" t="n">
        <f aca="false">B1137/G1137</f>
        <v>18.6757660135644</v>
      </c>
      <c r="I1137" s="14" t="n">
        <f aca="false">B1137/Summary!$C$8*100</f>
        <v>219.303343988937</v>
      </c>
      <c r="J1137" s="14" t="n">
        <f aca="false">G1137/Summary!$E$8*100</f>
        <v>199.15639450192</v>
      </c>
      <c r="K1137" s="15" t="n">
        <f aca="false">Summary!$D$9</f>
        <v>16.9374488591431</v>
      </c>
      <c r="L1137" s="16" t="str">
        <f aca="false">IF(OR(D1137="",E1137=""),"edge hidden",IF(AND(H1137&gt;=D1137-0.02,H1137&lt;=E1137+0.02),"yes","no"))</f>
        <v>no</v>
      </c>
    </row>
    <row r="1138" customFormat="false" ht="15" hidden="false" customHeight="false" outlineLevel="0" collapsed="false">
      <c r="A1138" s="9" t="n">
        <v>45448</v>
      </c>
      <c r="B1138" s="10" t="n">
        <v>22620.35</v>
      </c>
      <c r="C1138" s="11" t="n">
        <v>19.3313</v>
      </c>
      <c r="D1138" s="11" t="n">
        <v>18.7388</v>
      </c>
      <c r="E1138" s="11" t="n">
        <v>19.9238</v>
      </c>
      <c r="F1138" s="12" t="n">
        <f aca="false">IF(C1138="","",B1138/C1138)</f>
        <v>1170.14117001961</v>
      </c>
      <c r="G1138" s="12" t="n">
        <f aca="false">MEDIAN(F1128:F1148)</f>
        <v>1172.82415539851</v>
      </c>
      <c r="H1138" s="13" t="n">
        <f aca="false">B1138/G1138</f>
        <v>19.2870771768117</v>
      </c>
      <c r="I1138" s="14" t="n">
        <f aca="false">B1138/Summary!$C$8*100</f>
        <v>226.67725546392</v>
      </c>
      <c r="J1138" s="14" t="n">
        <f aca="false">G1138/Summary!$E$8*100</f>
        <v>199.328295389244</v>
      </c>
      <c r="K1138" s="15" t="n">
        <f aca="false">Summary!$D$9</f>
        <v>16.9374488591431</v>
      </c>
      <c r="L1138" s="16" t="str">
        <f aca="false">IF(OR(D1138="",E1138=""),"edge hidden",IF(AND(H1138&gt;=D1138-0.02,H1138&lt;=E1138+0.02),"yes","no"))</f>
        <v>yes</v>
      </c>
    </row>
    <row r="1139" customFormat="false" ht="15" hidden="false" customHeight="false" outlineLevel="0" collapsed="false">
      <c r="A1139" s="9" t="n">
        <v>45449</v>
      </c>
      <c r="B1139" s="10" t="n">
        <v>22821.4</v>
      </c>
      <c r="C1139" s="11" t="n">
        <v>19.3313</v>
      </c>
      <c r="D1139" s="11" t="n">
        <v>18.7545</v>
      </c>
      <c r="E1139" s="11" t="n">
        <v>19.908</v>
      </c>
      <c r="F1139" s="12" t="n">
        <f aca="false">IF(C1139="","",B1139/C1139)</f>
        <v>1180.54140176812</v>
      </c>
      <c r="G1139" s="12" t="n">
        <f aca="false">MEDIAN(F1129:F1149)</f>
        <v>1172.82415539851</v>
      </c>
      <c r="H1139" s="13" t="n">
        <f aca="false">B1139/G1139</f>
        <v>19.4585009994492</v>
      </c>
      <c r="I1139" s="14" t="n">
        <f aca="false">B1139/Summary!$C$8*100</f>
        <v>228.691966209378</v>
      </c>
      <c r="J1139" s="14" t="n">
        <f aca="false">G1139/Summary!$E$8*100</f>
        <v>199.328295389244</v>
      </c>
      <c r="K1139" s="15" t="n">
        <f aca="false">Summary!$D$9</f>
        <v>16.9374488591431</v>
      </c>
      <c r="L1139" s="16" t="str">
        <f aca="false">IF(OR(D1139="",E1139=""),"edge hidden",IF(AND(H1139&gt;=D1139-0.02,H1139&lt;=E1139+0.02),"yes","no"))</f>
        <v>yes</v>
      </c>
    </row>
    <row r="1140" customFormat="false" ht="15" hidden="false" customHeight="false" outlineLevel="0" collapsed="false">
      <c r="A1140" s="9" t="n">
        <v>45450</v>
      </c>
      <c r="B1140" s="10" t="n">
        <v>23290.15</v>
      </c>
      <c r="C1140" s="11" t="n">
        <v>19.5281</v>
      </c>
      <c r="D1140" s="11" t="n">
        <v>19.1482</v>
      </c>
      <c r="E1140" s="11" t="n">
        <v>19.908</v>
      </c>
      <c r="F1140" s="12" t="n">
        <f aca="false">IF(C1140="","",B1140/C1140)</f>
        <v>1192.64803027432</v>
      </c>
      <c r="G1140" s="12" t="n">
        <f aca="false">MEDIAN(F1130:F1150)</f>
        <v>1171.81271087382</v>
      </c>
      <c r="H1140" s="13" t="n">
        <f aca="false">B1140/G1140</f>
        <v>19.8753177738042</v>
      </c>
      <c r="I1140" s="14" t="n">
        <f aca="false">B1140/Summary!$C$8*100</f>
        <v>233.38928360273</v>
      </c>
      <c r="J1140" s="14" t="n">
        <f aca="false">G1140/Summary!$E$8*100</f>
        <v>199.15639450192</v>
      </c>
      <c r="K1140" s="15" t="n">
        <f aca="false">Summary!$D$9</f>
        <v>16.9374488591431</v>
      </c>
      <c r="L1140" s="16" t="str">
        <f aca="false">IF(OR(D1140="",E1140=""),"edge hidden",IF(AND(H1140&gt;=D1140-0.02,H1140&lt;=E1140+0.02),"yes","no"))</f>
        <v>yes</v>
      </c>
    </row>
    <row r="1141" customFormat="false" ht="15" hidden="false" customHeight="false" outlineLevel="0" collapsed="false">
      <c r="A1141" s="9" t="n">
        <v>45453</v>
      </c>
      <c r="B1141" s="10" t="n">
        <v>23259.2</v>
      </c>
      <c r="C1141" s="11" t="n">
        <v>19.8825</v>
      </c>
      <c r="D1141" s="11" t="n">
        <v>19.8254</v>
      </c>
      <c r="E1141" s="11" t="n">
        <v>19.9395</v>
      </c>
      <c r="F1141" s="12" t="n">
        <f aca="false">IF(C1141="","",B1141/C1141)</f>
        <v>1169.83276750912</v>
      </c>
      <c r="G1141" s="12" t="n">
        <f aca="false">MEDIAN(F1131:F1151)</f>
        <v>1171.41888498242</v>
      </c>
      <c r="H1141" s="13" t="n">
        <f aca="false">B1141/G1141</f>
        <v>19.8555788182884</v>
      </c>
      <c r="I1141" s="14" t="n">
        <f aca="false">B1141/Summary!$C$8*100</f>
        <v>233.079135392971</v>
      </c>
      <c r="J1141" s="14" t="n">
        <f aca="false">G1141/Summary!$E$8*100</f>
        <v>199.089461498153</v>
      </c>
      <c r="K1141" s="15" t="n">
        <f aca="false">Summary!$D$9</f>
        <v>16.9374488591431</v>
      </c>
      <c r="L1141" s="16" t="str">
        <f aca="false">IF(OR(D1141="",E1141=""),"edge hidden",IF(AND(H1141&gt;=D1141-0.02,H1141&lt;=E1141+0.02),"yes","no"))</f>
        <v>yes</v>
      </c>
    </row>
    <row r="1142" customFormat="false" ht="15" hidden="false" customHeight="false" outlineLevel="0" collapsed="false">
      <c r="A1142" s="9" t="n">
        <v>45454</v>
      </c>
      <c r="B1142" s="10" t="n">
        <v>23264.85</v>
      </c>
      <c r="C1142" s="11" t="n">
        <v>19.9061</v>
      </c>
      <c r="D1142" s="11" t="n">
        <v>19.8411</v>
      </c>
      <c r="E1142" s="11" t="n">
        <v>19.971</v>
      </c>
      <c r="F1142" s="12" t="n">
        <f aca="false">IF(C1142="","",B1142/C1142)</f>
        <v>1168.72968587518</v>
      </c>
      <c r="G1142" s="12" t="n">
        <f aca="false">MEDIAN(F1132:F1152)</f>
        <v>1171.41888498242</v>
      </c>
      <c r="H1142" s="13" t="n">
        <f aca="false">B1142/G1142</f>
        <v>19.8604020289029</v>
      </c>
      <c r="I1142" s="14" t="n">
        <f aca="false">B1142/Summary!$C$8*100</f>
        <v>233.135753725286</v>
      </c>
      <c r="J1142" s="14" t="n">
        <f aca="false">G1142/Summary!$E$8*100</f>
        <v>199.089461498153</v>
      </c>
      <c r="K1142" s="15" t="n">
        <f aca="false">Summary!$D$9</f>
        <v>16.9374488591431</v>
      </c>
      <c r="L1142" s="16" t="str">
        <f aca="false">IF(OR(D1142="",E1142=""),"edge hidden",IF(AND(H1142&gt;=D1142-0.02,H1142&lt;=E1142+0.02),"yes","no"))</f>
        <v>yes</v>
      </c>
    </row>
    <row r="1143" customFormat="false" ht="15" hidden="false" customHeight="false" outlineLevel="0" collapsed="false">
      <c r="A1143" s="9" t="n">
        <v>45455</v>
      </c>
      <c r="B1143" s="10" t="n">
        <v>23322.95</v>
      </c>
      <c r="C1143" s="11" t="n">
        <v>19.91</v>
      </c>
      <c r="D1143" s="11" t="n">
        <v>19.849</v>
      </c>
      <c r="E1143" s="11" t="n">
        <v>19.971</v>
      </c>
      <c r="F1143" s="12" t="n">
        <f aca="false">IF(C1143="","",B1143/C1143)</f>
        <v>1171.41888498242</v>
      </c>
      <c r="G1143" s="12" t="n">
        <f aca="false">MEDIAN(F1133:F1153)</f>
        <v>1171.41888498242</v>
      </c>
      <c r="H1143" s="13" t="n">
        <f aca="false">B1143/G1143</f>
        <v>19.91</v>
      </c>
      <c r="I1143" s="14" t="n">
        <f aca="false">B1143/Summary!$C$8*100</f>
        <v>233.717970558467</v>
      </c>
      <c r="J1143" s="14" t="n">
        <f aca="false">G1143/Summary!$E$8*100</f>
        <v>199.089461498153</v>
      </c>
      <c r="K1143" s="15" t="n">
        <f aca="false">Summary!$D$9</f>
        <v>16.9374488591431</v>
      </c>
      <c r="L1143" s="16" t="str">
        <f aca="false">IF(OR(D1143="",E1143=""),"edge hidden",IF(AND(H1143&gt;=D1143-0.02,H1143&lt;=E1143+0.02),"yes","no"))</f>
        <v>yes</v>
      </c>
    </row>
    <row r="1144" customFormat="false" ht="15" hidden="false" customHeight="false" outlineLevel="0" collapsed="false">
      <c r="A1144" s="9" t="n">
        <v>45456</v>
      </c>
      <c r="B1144" s="10" t="n">
        <v>23398.9</v>
      </c>
      <c r="C1144" s="11" t="n">
        <v>19.9179</v>
      </c>
      <c r="D1144" s="11" t="n">
        <v>19.8569</v>
      </c>
      <c r="E1144" s="11" t="n">
        <v>19.9789</v>
      </c>
      <c r="F1144" s="12" t="n">
        <f aca="false">IF(C1144="","",B1144/C1144)</f>
        <v>1174.76742026017</v>
      </c>
      <c r="G1144" s="12" t="n">
        <f aca="false">MEDIAN(F1134:F1154)</f>
        <v>1173.91586503662</v>
      </c>
      <c r="H1144" s="13" t="n">
        <f aca="false">B1144/G1144</f>
        <v>19.9323483879061</v>
      </c>
      <c r="I1144" s="14" t="n">
        <f aca="false">B1144/Summary!$C$8*100</f>
        <v>234.479061237987</v>
      </c>
      <c r="J1144" s="14" t="n">
        <f aca="false">G1144/Summary!$E$8*100</f>
        <v>199.513837800033</v>
      </c>
      <c r="K1144" s="15" t="n">
        <f aca="false">Summary!$D$9</f>
        <v>16.9374488591431</v>
      </c>
      <c r="L1144" s="16" t="str">
        <f aca="false">IF(OR(D1144="",E1144=""),"edge hidden",IF(AND(H1144&gt;=D1144-0.02,H1144&lt;=E1144+0.02),"yes","no"))</f>
        <v>yes</v>
      </c>
    </row>
    <row r="1145" customFormat="false" ht="15" hidden="false" customHeight="false" outlineLevel="0" collapsed="false">
      <c r="A1145" s="9" t="n">
        <v>45457</v>
      </c>
      <c r="B1145" s="10" t="n">
        <v>23465.6</v>
      </c>
      <c r="C1145" s="11" t="n">
        <v>19.9494</v>
      </c>
      <c r="D1145" s="11" t="n">
        <v>19.9041</v>
      </c>
      <c r="E1145" s="11" t="n">
        <v>19.9947</v>
      </c>
      <c r="F1145" s="12" t="n">
        <f aca="false">IF(C1145="","",B1145/C1145)</f>
        <v>1176.25592749657</v>
      </c>
      <c r="G1145" s="12" t="n">
        <f aca="false">MEDIAN(F1135:F1155)</f>
        <v>1174.37663239653</v>
      </c>
      <c r="H1145" s="13" t="n">
        <f aca="false">B1145/G1145</f>
        <v>19.9813240085629</v>
      </c>
      <c r="I1145" s="14" t="n">
        <f aca="false">B1145/Summary!$C$8*100</f>
        <v>235.147458187612</v>
      </c>
      <c r="J1145" s="14" t="n">
        <f aca="false">G1145/Summary!$E$8*100</f>
        <v>199.592147896222</v>
      </c>
      <c r="K1145" s="15" t="n">
        <f aca="false">Summary!$D$9</f>
        <v>16.9374488591431</v>
      </c>
      <c r="L1145" s="16" t="str">
        <f aca="false">IF(OR(D1145="",E1145=""),"edge hidden",IF(AND(H1145&gt;=D1145-0.02,H1145&lt;=E1145+0.02),"yes","no"))</f>
        <v>yes</v>
      </c>
    </row>
    <row r="1146" customFormat="false" ht="15" hidden="false" customHeight="false" outlineLevel="0" collapsed="false">
      <c r="A1146" s="9" t="n">
        <v>45461</v>
      </c>
      <c r="B1146" s="10" t="n">
        <v>23557.9</v>
      </c>
      <c r="C1146" s="11" t="n">
        <v>20.0163</v>
      </c>
      <c r="D1146" s="11" t="n">
        <v>19.9671</v>
      </c>
      <c r="E1146" s="11" t="n">
        <v>20.0655</v>
      </c>
      <c r="F1146" s="12" t="n">
        <f aca="false">IF(C1146="","",B1146/C1146)</f>
        <v>1176.93579732518</v>
      </c>
      <c r="G1146" s="12" t="n">
        <f aca="false">MEDIAN(F1136:F1156)</f>
        <v>1174.71026490066</v>
      </c>
      <c r="H1146" s="13" t="n">
        <f aca="false">B1146/G1146</f>
        <v>20.0542216271449</v>
      </c>
      <c r="I1146" s="14" t="n">
        <f aca="false">B1146/Summary!$C$8*100</f>
        <v>236.072391297812</v>
      </c>
      <c r="J1146" s="14" t="n">
        <f aca="false">G1146/Summary!$E$8*100</f>
        <v>199.648850683276</v>
      </c>
      <c r="K1146" s="15" t="n">
        <f aca="false">Summary!$D$9</f>
        <v>16.9374488591431</v>
      </c>
      <c r="L1146" s="16" t="str">
        <f aca="false">IF(OR(D1146="",E1146=""),"edge hidden",IF(AND(H1146&gt;=D1146-0.02,H1146&lt;=E1146+0.02),"yes","no"))</f>
        <v>yes</v>
      </c>
    </row>
    <row r="1147" customFormat="false" ht="15" hidden="false" customHeight="false" outlineLevel="0" collapsed="false">
      <c r="A1147" s="9" t="n">
        <v>45462</v>
      </c>
      <c r="B1147" s="10" t="n">
        <v>23516</v>
      </c>
      <c r="C1147" s="11" t="n">
        <v>20.0321</v>
      </c>
      <c r="D1147" s="11" t="n">
        <v>19.9828</v>
      </c>
      <c r="E1147" s="11" t="n">
        <v>20.0813</v>
      </c>
      <c r="F1147" s="12" t="n">
        <f aca="false">IF(C1147="","",B1147/C1147)</f>
        <v>1173.91586503662</v>
      </c>
      <c r="G1147" s="12" t="n">
        <f aca="false">MEDIAN(F1137:F1157)</f>
        <v>1174.71026490066</v>
      </c>
      <c r="H1147" s="13" t="n">
        <f aca="false">B1147/G1147</f>
        <v>20.018553257461</v>
      </c>
      <c r="I1147" s="14" t="n">
        <f aca="false">B1147/Summary!$C$8*100</f>
        <v>235.652513753745</v>
      </c>
      <c r="J1147" s="14" t="n">
        <f aca="false">G1147/Summary!$E$8*100</f>
        <v>199.648850683276</v>
      </c>
      <c r="K1147" s="15" t="n">
        <f aca="false">Summary!$D$9</f>
        <v>16.9374488591431</v>
      </c>
      <c r="L1147" s="16" t="str">
        <f aca="false">IF(OR(D1147="",E1147=""),"edge hidden",IF(AND(H1147&gt;=D1147-0.02,H1147&lt;=E1147+0.02),"yes","no"))</f>
        <v>yes</v>
      </c>
    </row>
    <row r="1148" customFormat="false" ht="15" hidden="false" customHeight="false" outlineLevel="0" collapsed="false">
      <c r="A1148" s="9" t="n">
        <v>45463</v>
      </c>
      <c r="B1148" s="10" t="n">
        <v>23567</v>
      </c>
      <c r="C1148" s="11" t="n">
        <v>20.0439</v>
      </c>
      <c r="D1148" s="11" t="n">
        <v>19.9907</v>
      </c>
      <c r="E1148" s="11" t="n">
        <v>20.097</v>
      </c>
      <c r="F1148" s="12" t="n">
        <f aca="false">IF(C1148="","",B1148/C1148)</f>
        <v>1175.76918663534</v>
      </c>
      <c r="G1148" s="12" t="n">
        <f aca="false">MEDIAN(F1138:F1158)</f>
        <v>1174.76742026017</v>
      </c>
      <c r="H1148" s="13" t="n">
        <f aca="false">B1148/G1148</f>
        <v>20.0609921534773</v>
      </c>
      <c r="I1148" s="14" t="n">
        <f aca="false">B1148/Summary!$C$8*100</f>
        <v>236.163581886142</v>
      </c>
      <c r="J1148" s="14" t="n">
        <f aca="false">G1148/Summary!$E$8*100</f>
        <v>199.65856456948</v>
      </c>
      <c r="K1148" s="15" t="n">
        <f aca="false">Summary!$D$9</f>
        <v>16.9374488591431</v>
      </c>
      <c r="L1148" s="16" t="str">
        <f aca="false">IF(OR(D1148="",E1148=""),"edge hidden",IF(AND(H1148&gt;=D1148-0.02,H1148&lt;=E1148+0.02),"yes","no"))</f>
        <v>yes</v>
      </c>
    </row>
    <row r="1149" customFormat="false" ht="15" hidden="false" customHeight="false" outlineLevel="0" collapsed="false">
      <c r="A1149" s="9" t="n">
        <v>45464</v>
      </c>
      <c r="B1149" s="10" t="n">
        <v>23501.1</v>
      </c>
      <c r="C1149" s="11" t="n">
        <v>20.0951</v>
      </c>
      <c r="D1149" s="11" t="n">
        <v>20.0065</v>
      </c>
      <c r="E1149" s="11" t="n">
        <v>20.1836</v>
      </c>
      <c r="F1149" s="12" t="n">
        <f aca="false">IF(C1149="","",B1149/C1149)</f>
        <v>1169.49405576484</v>
      </c>
      <c r="G1149" s="12" t="n">
        <f aca="false">MEDIAN(F1139:F1159)</f>
        <v>1175.13145197818</v>
      </c>
      <c r="H1149" s="13" t="n">
        <f aca="false">B1149/G1149</f>
        <v>19.9986988352996</v>
      </c>
      <c r="I1149" s="14" t="n">
        <f aca="false">B1149/Summary!$C$8*100</f>
        <v>235.503201691535</v>
      </c>
      <c r="J1149" s="14" t="n">
        <f aca="false">G1149/Summary!$E$8*100</f>
        <v>199.720433879969</v>
      </c>
      <c r="K1149" s="15" t="n">
        <f aca="false">Summary!$D$9</f>
        <v>16.9374488591431</v>
      </c>
      <c r="L1149" s="16" t="str">
        <f aca="false">IF(OR(D1149="",E1149=""),"edge hidden",IF(AND(H1149&gt;=D1149-0.02,H1149&lt;=E1149+0.02),"yes","no"))</f>
        <v>yes</v>
      </c>
    </row>
    <row r="1150" customFormat="false" ht="15" hidden="false" customHeight="false" outlineLevel="0" collapsed="false">
      <c r="A1150" s="9" t="n">
        <v>45467</v>
      </c>
      <c r="B1150" s="10" t="n">
        <v>23537.85</v>
      </c>
      <c r="C1150" s="11" t="n">
        <v>20.284</v>
      </c>
      <c r="D1150" s="11" t="n">
        <v>20.0773</v>
      </c>
      <c r="E1150" s="11" t="n">
        <v>20.4907</v>
      </c>
      <c r="F1150" s="12" t="n">
        <f aca="false">IF(C1150="","",B1150/C1150)</f>
        <v>1160.41461250247</v>
      </c>
      <c r="G1150" s="12" t="n">
        <f aca="false">MEDIAN(F1140:F1160)</f>
        <v>1174.76742026017</v>
      </c>
      <c r="H1150" s="13" t="n">
        <f aca="false">B1150/G1150</f>
        <v>20.0361787312651</v>
      </c>
      <c r="I1150" s="14" t="n">
        <f aca="false">B1150/Summary!$C$8*100</f>
        <v>235.871471375174</v>
      </c>
      <c r="J1150" s="14" t="n">
        <f aca="false">G1150/Summary!$E$8*100</f>
        <v>199.65856456948</v>
      </c>
      <c r="K1150" s="15" t="n">
        <f aca="false">Summary!$D$9</f>
        <v>16.9374488591431</v>
      </c>
      <c r="L1150" s="16" t="str">
        <f aca="false">IF(OR(D1150="",E1150=""),"edge hidden",IF(AND(H1150&gt;=D1150-0.02,H1150&lt;=E1150+0.02),"yes","no"))</f>
        <v>no</v>
      </c>
    </row>
    <row r="1151" customFormat="false" ht="15" hidden="false" customHeight="false" outlineLevel="0" collapsed="false">
      <c r="A1151" s="9" t="n">
        <v>45468</v>
      </c>
      <c r="B1151" s="10" t="n">
        <v>23721.3</v>
      </c>
      <c r="C1151" s="11" t="n">
        <v>20.3037</v>
      </c>
      <c r="D1151" s="11" t="n">
        <v>20.101</v>
      </c>
      <c r="E1151" s="11" t="n">
        <v>20.5065</v>
      </c>
      <c r="F1151" s="12" t="n">
        <f aca="false">IF(C1151="","",B1151/C1151)</f>
        <v>1168.3240000591</v>
      </c>
      <c r="G1151" s="12" t="n">
        <f aca="false">MEDIAN(F1141:F1161)</f>
        <v>1174.71026490066</v>
      </c>
      <c r="H1151" s="13" t="n">
        <f aca="false">B1151/G1151</f>
        <v>20.1933197561749</v>
      </c>
      <c r="I1151" s="14" t="n">
        <f aca="false">B1151/Summary!$C$8*100</f>
        <v>237.709813510236</v>
      </c>
      <c r="J1151" s="14" t="n">
        <f aca="false">G1151/Summary!$E$8*100</f>
        <v>199.648850683276</v>
      </c>
      <c r="K1151" s="15" t="n">
        <f aca="false">Summary!$D$9</f>
        <v>16.9374488591431</v>
      </c>
      <c r="L1151" s="16" t="str">
        <f aca="false">IF(OR(D1151="",E1151=""),"edge hidden",IF(AND(H1151&gt;=D1151-0.02,H1151&lt;=E1151+0.02),"yes","no"))</f>
        <v>yes</v>
      </c>
    </row>
    <row r="1152" customFormat="false" ht="15" hidden="false" customHeight="false" outlineLevel="0" collapsed="false">
      <c r="A1152" s="9" t="n">
        <v>45469</v>
      </c>
      <c r="B1152" s="10" t="n">
        <v>23868.8</v>
      </c>
      <c r="C1152" s="11" t="n">
        <v>20.3116</v>
      </c>
      <c r="D1152" s="11" t="n">
        <v>20.1167</v>
      </c>
      <c r="E1152" s="11" t="n">
        <v>20.5065</v>
      </c>
      <c r="F1152" s="12" t="n">
        <f aca="false">IF(C1152="","",B1152/C1152)</f>
        <v>1175.13145197818</v>
      </c>
      <c r="G1152" s="12" t="n">
        <f aca="false">MEDIAN(F1142:F1162)</f>
        <v>1174.71026490066</v>
      </c>
      <c r="H1152" s="13" t="n">
        <f aca="false">B1152/G1152</f>
        <v>20.3188826327473</v>
      </c>
      <c r="I1152" s="14" t="n">
        <f aca="false">B1152/Summary!$C$8*100</f>
        <v>239.187902716678</v>
      </c>
      <c r="J1152" s="14" t="n">
        <f aca="false">G1152/Summary!$E$8*100</f>
        <v>199.648850683276</v>
      </c>
      <c r="K1152" s="15" t="n">
        <f aca="false">Summary!$D$9</f>
        <v>16.9374488591431</v>
      </c>
      <c r="L1152" s="16" t="str">
        <f aca="false">IF(OR(D1152="",E1152=""),"edge hidden",IF(AND(H1152&gt;=D1152-0.02,H1152&lt;=E1152+0.02),"yes","no"))</f>
        <v>yes</v>
      </c>
    </row>
    <row r="1153" customFormat="false" ht="15" hidden="false" customHeight="false" outlineLevel="0" collapsed="false">
      <c r="A1153" s="9" t="n">
        <v>45470</v>
      </c>
      <c r="B1153" s="10" t="n">
        <v>24044.5</v>
      </c>
      <c r="C1153" s="11" t="n">
        <v>20.3588</v>
      </c>
      <c r="D1153" s="11" t="n">
        <v>20.2112</v>
      </c>
      <c r="E1153" s="11" t="n">
        <v>20.5065</v>
      </c>
      <c r="F1153" s="12" t="n">
        <f aca="false">IF(C1153="","",B1153/C1153)</f>
        <v>1181.03719276185</v>
      </c>
      <c r="G1153" s="12" t="n">
        <f aca="false">MEDIAN(F1143:F1163)</f>
        <v>1174.71026490066</v>
      </c>
      <c r="H1153" s="13" t="n">
        <f aca="false">B1153/G1153</f>
        <v>20.4684514287728</v>
      </c>
      <c r="I1153" s="14" t="n">
        <f aca="false">B1153/Summary!$C$8*100</f>
        <v>240.948582537503</v>
      </c>
      <c r="J1153" s="14" t="n">
        <f aca="false">G1153/Summary!$E$8*100</f>
        <v>199.648850683276</v>
      </c>
      <c r="K1153" s="15" t="n">
        <f aca="false">Summary!$D$9</f>
        <v>16.9374488591431</v>
      </c>
      <c r="L1153" s="16" t="str">
        <f aca="false">IF(OR(D1153="",E1153=""),"edge hidden",IF(AND(H1153&gt;=D1153-0.02,H1153&lt;=E1153+0.02),"yes","no"))</f>
        <v>yes</v>
      </c>
    </row>
    <row r="1154" customFormat="false" ht="15" hidden="false" customHeight="false" outlineLevel="0" collapsed="false">
      <c r="A1154" s="9" t="n">
        <v>45471</v>
      </c>
      <c r="B1154" s="10" t="n">
        <v>24010.6</v>
      </c>
      <c r="C1154" s="11" t="n">
        <v>20.4454</v>
      </c>
      <c r="D1154" s="11" t="n">
        <v>20.3765</v>
      </c>
      <c r="E1154" s="11" t="n">
        <v>20.5143</v>
      </c>
      <c r="F1154" s="12" t="n">
        <f aca="false">IF(C1154="","",B1154/C1154)</f>
        <v>1174.37663239653</v>
      </c>
      <c r="G1154" s="12" t="n">
        <f aca="false">MEDIAN(F1144:F1164)</f>
        <v>1174.71026490066</v>
      </c>
      <c r="H1154" s="13" t="n">
        <f aca="false">B1154/G1154</f>
        <v>20.4395932490046</v>
      </c>
      <c r="I1154" s="14" t="n">
        <f aca="false">B1154/Summary!$C$8*100</f>
        <v>240.608872543616</v>
      </c>
      <c r="J1154" s="14" t="n">
        <f aca="false">G1154/Summary!$E$8*100</f>
        <v>199.648850683276</v>
      </c>
      <c r="K1154" s="15" t="n">
        <f aca="false">Summary!$D$9</f>
        <v>16.9374488591431</v>
      </c>
      <c r="L1154" s="16" t="str">
        <f aca="false">IF(OR(D1154="",E1154=""),"edge hidden",IF(AND(H1154&gt;=D1154-0.02,H1154&lt;=E1154+0.02),"yes","no"))</f>
        <v>yes</v>
      </c>
    </row>
    <row r="1155" customFormat="false" ht="15" hidden="false" customHeight="false" outlineLevel="0" collapsed="false">
      <c r="A1155" s="9" t="n">
        <v>45474</v>
      </c>
      <c r="B1155" s="10" t="n">
        <v>24141.95</v>
      </c>
      <c r="C1155" s="11" t="n">
        <v>20.5242</v>
      </c>
      <c r="D1155" s="11" t="n">
        <v>20.4159</v>
      </c>
      <c r="E1155" s="11" t="n">
        <v>20.6325</v>
      </c>
      <c r="F1155" s="12" t="n">
        <f aca="false">IF(C1155="","",B1155/C1155)</f>
        <v>1176.26752808879</v>
      </c>
      <c r="G1155" s="12" t="n">
        <f aca="false">MEDIAN(F1145:F1165)</f>
        <v>1174.37663239653</v>
      </c>
      <c r="H1155" s="13" t="n">
        <f aca="false">B1155/G1155</f>
        <v>20.5572465715143</v>
      </c>
      <c r="I1155" s="14" t="n">
        <f aca="false">B1155/Summary!$C$8*100</f>
        <v>241.925123508132</v>
      </c>
      <c r="J1155" s="14" t="n">
        <f aca="false">G1155/Summary!$E$8*100</f>
        <v>199.592147896222</v>
      </c>
      <c r="K1155" s="15" t="n">
        <f aca="false">Summary!$D$9</f>
        <v>16.9374488591431</v>
      </c>
      <c r="L1155" s="16" t="str">
        <f aca="false">IF(OR(D1155="",E1155=""),"edge hidden",IF(AND(H1155&gt;=D1155-0.02,H1155&lt;=E1155+0.02),"yes","no"))</f>
        <v>yes</v>
      </c>
    </row>
    <row r="1156" customFormat="false" ht="15" hidden="false" customHeight="false" outlineLevel="0" collapsed="false">
      <c r="A1156" s="9" t="n">
        <v>45475</v>
      </c>
      <c r="B1156" s="10" t="n">
        <v>24123.85</v>
      </c>
      <c r="C1156" s="11" t="n">
        <v>20.536</v>
      </c>
      <c r="D1156" s="11" t="n">
        <v>20.4159</v>
      </c>
      <c r="E1156" s="11" t="n">
        <v>20.6561</v>
      </c>
      <c r="F1156" s="12" t="n">
        <f aca="false">IF(C1156="","",B1156/C1156)</f>
        <v>1174.71026490066</v>
      </c>
      <c r="G1156" s="12" t="n">
        <f aca="false">MEDIAN(F1146:F1166)</f>
        <v>1173.91586503662</v>
      </c>
      <c r="H1156" s="13" t="n">
        <f aca="false">B1156/G1156</f>
        <v>20.5498969035976</v>
      </c>
      <c r="I1156" s="14" t="n">
        <f aca="false">B1156/Summary!$C$8*100</f>
        <v>241.74374442585</v>
      </c>
      <c r="J1156" s="14" t="n">
        <f aca="false">G1156/Summary!$E$8*100</f>
        <v>199.513837800033</v>
      </c>
      <c r="K1156" s="15" t="n">
        <f aca="false">Summary!$D$9</f>
        <v>16.9374488591431</v>
      </c>
      <c r="L1156" s="16" t="str">
        <f aca="false">IF(OR(D1156="",E1156=""),"edge hidden",IF(AND(H1156&gt;=D1156-0.02,H1156&lt;=E1156+0.02),"yes","no"))</f>
        <v>yes</v>
      </c>
    </row>
    <row r="1157" customFormat="false" ht="15" hidden="false" customHeight="false" outlineLevel="0" collapsed="false">
      <c r="A1157" s="9" t="n">
        <v>45476</v>
      </c>
      <c r="B1157" s="10" t="n">
        <v>24286.5</v>
      </c>
      <c r="C1157" s="11" t="n">
        <v>20.6147</v>
      </c>
      <c r="D1157" s="11" t="n">
        <v>20.4947</v>
      </c>
      <c r="E1157" s="11" t="n">
        <v>20.7348</v>
      </c>
      <c r="F1157" s="12" t="n">
        <f aca="false">IF(C1157="","",B1157/C1157)</f>
        <v>1178.11561652607</v>
      </c>
      <c r="G1157" s="12" t="n">
        <f aca="false">MEDIAN(F1147:F1167)</f>
        <v>1173.91586503662</v>
      </c>
      <c r="H1157" s="13" t="n">
        <f aca="false">B1157/G1157</f>
        <v>20.6884502742813</v>
      </c>
      <c r="I1157" s="14" t="n">
        <f aca="false">B1157/Summary!$C$8*100</f>
        <v>243.373650930445</v>
      </c>
      <c r="J1157" s="14" t="n">
        <f aca="false">G1157/Summary!$E$8*100</f>
        <v>199.513837800033</v>
      </c>
      <c r="K1157" s="15" t="n">
        <f aca="false">Summary!$D$9</f>
        <v>16.9374488591431</v>
      </c>
      <c r="L1157" s="16" t="str">
        <f aca="false">IF(OR(D1157="",E1157=""),"edge hidden",IF(AND(H1157&gt;=D1157-0.02,H1157&lt;=E1157+0.02),"yes","no"))</f>
        <v>yes</v>
      </c>
    </row>
    <row r="1158" customFormat="false" ht="15" hidden="false" customHeight="false" outlineLevel="0" collapsed="false">
      <c r="A1158" s="9" t="n">
        <v>45477</v>
      </c>
      <c r="B1158" s="10" t="n">
        <v>24302.15</v>
      </c>
      <c r="C1158" s="11" t="n">
        <v>20.6462</v>
      </c>
      <c r="D1158" s="11" t="n">
        <v>20.5104</v>
      </c>
      <c r="E1158" s="11" t="n">
        <v>20.7821</v>
      </c>
      <c r="F1158" s="12" t="n">
        <f aca="false">IF(C1158="","",B1158/C1158)</f>
        <v>1177.07616898025</v>
      </c>
      <c r="G1158" s="12" t="n">
        <f aca="false">MEDIAN(F1148:F1168)</f>
        <v>1172.00960485217</v>
      </c>
      <c r="H1158" s="13" t="n">
        <f aca="false">B1158/G1158</f>
        <v>20.7354529343343</v>
      </c>
      <c r="I1158" s="14" t="n">
        <f aca="false">B1158/Summary!$C$8*100</f>
        <v>243.530478700484</v>
      </c>
      <c r="J1158" s="14" t="n">
        <f aca="false">G1158/Summary!$E$8*100</f>
        <v>199.189857780194</v>
      </c>
      <c r="K1158" s="15" t="n">
        <f aca="false">Summary!$D$9</f>
        <v>16.9374488591431</v>
      </c>
      <c r="L1158" s="16" t="str">
        <f aca="false">IF(OR(D1158="",E1158=""),"edge hidden",IF(AND(H1158&gt;=D1158-0.02,H1158&lt;=E1158+0.02),"yes","no"))</f>
        <v>yes</v>
      </c>
    </row>
    <row r="1159" customFormat="false" ht="15" hidden="false" customHeight="false" outlineLevel="0" collapsed="false">
      <c r="A1159" s="9" t="n">
        <v>45478</v>
      </c>
      <c r="B1159" s="10" t="n">
        <v>24323.85</v>
      </c>
      <c r="C1159" s="11" t="n">
        <v>20.6856</v>
      </c>
      <c r="D1159" s="11" t="n">
        <v>20.5734</v>
      </c>
      <c r="E1159" s="11" t="n">
        <v>20.7978</v>
      </c>
      <c r="F1159" s="12" t="n">
        <f aca="false">IF(C1159="","",B1159/C1159)</f>
        <v>1175.88322311173</v>
      </c>
      <c r="G1159" s="12" t="n">
        <f aca="false">MEDIAN(F1149:F1169)</f>
        <v>1171.13714362406</v>
      </c>
      <c r="H1159" s="13" t="n">
        <f aca="false">B1159/G1159</f>
        <v>20.7694292102549</v>
      </c>
      <c r="I1159" s="14" t="n">
        <f aca="false">B1159/Summary!$C$8*100</f>
        <v>243.747933180347</v>
      </c>
      <c r="J1159" s="14" t="n">
        <f aca="false">G1159/Summary!$E$8*100</f>
        <v>199.041577913521</v>
      </c>
      <c r="K1159" s="15" t="n">
        <f aca="false">Summary!$D$9</f>
        <v>16.9374488591431</v>
      </c>
      <c r="L1159" s="16" t="str">
        <f aca="false">IF(OR(D1159="",E1159=""),"edge hidden",IF(AND(H1159&gt;=D1159-0.02,H1159&lt;=E1159+0.02),"yes","no"))</f>
        <v>yes</v>
      </c>
    </row>
    <row r="1160" customFormat="false" ht="15" hidden="false" customHeight="false" outlineLevel="0" collapsed="false">
      <c r="A1160" s="9" t="n">
        <v>45481</v>
      </c>
      <c r="B1160" s="10" t="n">
        <v>24320.55</v>
      </c>
      <c r="C1160" s="11" t="n">
        <v>20.8037</v>
      </c>
      <c r="D1160" s="11" t="n">
        <v>20.6836</v>
      </c>
      <c r="E1160" s="11" t="n">
        <v>20.9238</v>
      </c>
      <c r="F1160" s="12" t="n">
        <f aca="false">IF(C1160="","",B1160/C1160)</f>
        <v>1169.04925566125</v>
      </c>
      <c r="G1160" s="12" t="n">
        <f aca="false">MEDIAN(F1150:F1170)</f>
        <v>1171.13714362406</v>
      </c>
      <c r="H1160" s="13" t="n">
        <f aca="false">B1160/G1160</f>
        <v>20.7666114360788</v>
      </c>
      <c r="I1160" s="14" t="n">
        <f aca="false">B1160/Summary!$C$8*100</f>
        <v>243.714864065898</v>
      </c>
      <c r="J1160" s="14" t="n">
        <f aca="false">G1160/Summary!$E$8*100</f>
        <v>199.041577913521</v>
      </c>
      <c r="K1160" s="15" t="n">
        <f aca="false">Summary!$D$9</f>
        <v>16.9374488591431</v>
      </c>
      <c r="L1160" s="16" t="str">
        <f aca="false">IF(OR(D1160="",E1160=""),"edge hidden",IF(AND(H1160&gt;=D1160-0.02,H1160&lt;=E1160+0.02),"yes","no"))</f>
        <v>yes</v>
      </c>
    </row>
    <row r="1161" customFormat="false" ht="15" hidden="false" customHeight="false" outlineLevel="0" collapsed="false">
      <c r="A1161" s="9" t="n">
        <v>45482</v>
      </c>
      <c r="B1161" s="10" t="n">
        <v>24433.2</v>
      </c>
      <c r="C1161" s="11" t="n">
        <v>20.8628</v>
      </c>
      <c r="D1161" s="11" t="n">
        <v>20.7702</v>
      </c>
      <c r="E1161" s="11" t="n">
        <v>20.9553</v>
      </c>
      <c r="F1161" s="12" t="n">
        <f aca="false">IF(C1161="","",B1161/C1161)</f>
        <v>1171.13714362406</v>
      </c>
      <c r="G1161" s="12" t="n">
        <f aca="false">MEDIAN(F1151:F1171)</f>
        <v>1171.13714362406</v>
      </c>
      <c r="H1161" s="13" t="n">
        <f aca="false">B1161/G1161</f>
        <v>20.8628</v>
      </c>
      <c r="I1161" s="14" t="n">
        <f aca="false">B1161/Summary!$C$8*100</f>
        <v>244.843723381868</v>
      </c>
      <c r="J1161" s="14" t="n">
        <f aca="false">G1161/Summary!$E$8*100</f>
        <v>199.041577913521</v>
      </c>
      <c r="K1161" s="15" t="n">
        <f aca="false">Summary!$D$9</f>
        <v>16.9374488591431</v>
      </c>
      <c r="L1161" s="16" t="str">
        <f aca="false">IF(OR(D1161="",E1161=""),"edge hidden",IF(AND(H1161&gt;=D1161-0.02,H1161&lt;=E1161+0.02),"yes","no"))</f>
        <v>yes</v>
      </c>
    </row>
    <row r="1162" customFormat="false" ht="15" hidden="false" customHeight="false" outlineLevel="0" collapsed="false">
      <c r="A1162" s="9" t="n">
        <v>45483</v>
      </c>
      <c r="B1162" s="10" t="n">
        <v>24324.45</v>
      </c>
      <c r="C1162" s="11" t="n">
        <v>20.8746</v>
      </c>
      <c r="D1162" s="11" t="n">
        <v>20.7781</v>
      </c>
      <c r="E1162" s="11" t="n">
        <v>20.971</v>
      </c>
      <c r="F1162" s="12" t="n">
        <f aca="false">IF(C1162="","",B1162/C1162)</f>
        <v>1165.26544221207</v>
      </c>
      <c r="G1162" s="12" t="n">
        <f aca="false">MEDIAN(F1152:F1172)</f>
        <v>1171.13714362406</v>
      </c>
      <c r="H1162" s="13" t="n">
        <f aca="false">B1162/G1162</f>
        <v>20.7699415328324</v>
      </c>
      <c r="I1162" s="14" t="n">
        <f aca="false">B1162/Summary!$C$8*100</f>
        <v>243.75394574661</v>
      </c>
      <c r="J1162" s="14" t="n">
        <f aca="false">G1162/Summary!$E$8*100</f>
        <v>199.041577913521</v>
      </c>
      <c r="K1162" s="15" t="n">
        <f aca="false">Summary!$D$9</f>
        <v>16.9374488591431</v>
      </c>
      <c r="L1162" s="16" t="str">
        <f aca="false">IF(OR(D1162="",E1162=""),"edge hidden",IF(AND(H1162&gt;=D1162-0.02,H1162&lt;=E1162+0.02),"yes","no"))</f>
        <v>yes</v>
      </c>
    </row>
    <row r="1163" customFormat="false" ht="15" hidden="false" customHeight="false" outlineLevel="0" collapsed="false">
      <c r="A1163" s="9" t="n">
        <v>45484</v>
      </c>
      <c r="B1163" s="10" t="n">
        <v>24315.95</v>
      </c>
      <c r="C1163" s="11" t="n">
        <v>20.8943</v>
      </c>
      <c r="D1163" s="11" t="n">
        <v>20.8017</v>
      </c>
      <c r="E1163" s="11" t="n">
        <v>20.9868</v>
      </c>
      <c r="F1163" s="12" t="n">
        <f aca="false">IF(C1163="","",B1163/C1163)</f>
        <v>1163.75997281555</v>
      </c>
      <c r="G1163" s="12" t="n">
        <f aca="false">MEDIAN(F1153:F1173)</f>
        <v>1171.13714362406</v>
      </c>
      <c r="H1163" s="13" t="n">
        <f aca="false">B1163/G1163</f>
        <v>20.7626836296515</v>
      </c>
      <c r="I1163" s="14" t="n">
        <f aca="false">B1163/Summary!$C$8*100</f>
        <v>243.668767724544</v>
      </c>
      <c r="J1163" s="14" t="n">
        <f aca="false">G1163/Summary!$E$8*100</f>
        <v>199.041577913521</v>
      </c>
      <c r="K1163" s="15" t="n">
        <f aca="false">Summary!$D$9</f>
        <v>16.9374488591431</v>
      </c>
      <c r="L1163" s="16" t="str">
        <f aca="false">IF(OR(D1163="",E1163=""),"edge hidden",IF(AND(H1163&gt;=D1163-0.02,H1163&lt;=E1163+0.02),"yes","no"))</f>
        <v>no</v>
      </c>
    </row>
    <row r="1164" customFormat="false" ht="15" hidden="false" customHeight="false" outlineLevel="0" collapsed="false">
      <c r="A1164" s="9" t="n">
        <v>45485</v>
      </c>
      <c r="B1164" s="10" t="n">
        <v>24502.15</v>
      </c>
      <c r="C1164" s="11" t="n">
        <v>20.9061</v>
      </c>
      <c r="D1164" s="11" t="n">
        <v>20.8096</v>
      </c>
      <c r="E1164" s="11" t="n">
        <v>21.0025</v>
      </c>
      <c r="F1164" s="12" t="n">
        <f aca="false">IF(C1164="","",B1164/C1164)</f>
        <v>1172.00960485217</v>
      </c>
      <c r="G1164" s="12" t="n">
        <f aca="false">MEDIAN(F1154:F1174)</f>
        <v>1171.13714362406</v>
      </c>
      <c r="H1164" s="13" t="n">
        <f aca="false">B1164/G1164</f>
        <v>20.9216744028617</v>
      </c>
      <c r="I1164" s="14" t="n">
        <f aca="false">B1164/Summary!$C$8*100</f>
        <v>245.534667454981</v>
      </c>
      <c r="J1164" s="14" t="n">
        <f aca="false">G1164/Summary!$E$8*100</f>
        <v>199.041577913521</v>
      </c>
      <c r="K1164" s="15" t="n">
        <f aca="false">Summary!$D$9</f>
        <v>16.9374488591431</v>
      </c>
      <c r="L1164" s="16" t="str">
        <f aca="false">IF(OR(D1164="",E1164=""),"edge hidden",IF(AND(H1164&gt;=D1164-0.02,H1164&lt;=E1164+0.02),"yes","no"))</f>
        <v>yes</v>
      </c>
    </row>
    <row r="1165" customFormat="false" ht="15" hidden="false" customHeight="false" outlineLevel="0" collapsed="false">
      <c r="A1165" s="9" t="n">
        <v>45488</v>
      </c>
      <c r="B1165" s="10" t="n">
        <v>24586.7</v>
      </c>
      <c r="C1165" s="11" t="n">
        <v>21.0754</v>
      </c>
      <c r="D1165" s="11" t="n">
        <v>20.9592</v>
      </c>
      <c r="E1165" s="11" t="n">
        <v>21.1915</v>
      </c>
      <c r="F1165" s="12" t="n">
        <f aca="false">IF(C1165="","",B1165/C1165)</f>
        <v>1166.60656499995</v>
      </c>
      <c r="G1165" s="12" t="n">
        <f aca="false">MEDIAN(F1155:F1175)</f>
        <v>1171.13714362406</v>
      </c>
      <c r="H1165" s="13" t="n">
        <f aca="false">B1165/G1165</f>
        <v>20.9938691927378</v>
      </c>
      <c r="I1165" s="14" t="n">
        <f aca="false">B1165/Summary!$C$8*100</f>
        <v>246.381938250944</v>
      </c>
      <c r="J1165" s="14" t="n">
        <f aca="false">G1165/Summary!$E$8*100</f>
        <v>199.041577913521</v>
      </c>
      <c r="K1165" s="15" t="n">
        <f aca="false">Summary!$D$9</f>
        <v>16.9374488591431</v>
      </c>
      <c r="L1165" s="16" t="str">
        <f aca="false">IF(OR(D1165="",E1165=""),"edge hidden",IF(AND(H1165&gt;=D1165-0.02,H1165&lt;=E1165+0.02),"yes","no"))</f>
        <v>yes</v>
      </c>
    </row>
    <row r="1166" customFormat="false" ht="15" hidden="false" customHeight="false" outlineLevel="0" collapsed="false">
      <c r="A1166" s="9" t="n">
        <v>45489</v>
      </c>
      <c r="B1166" s="10" t="n">
        <v>24613</v>
      </c>
      <c r="C1166" s="11" t="n">
        <v>21.0872</v>
      </c>
      <c r="D1166" s="11" t="n">
        <v>20.975</v>
      </c>
      <c r="E1166" s="11" t="n">
        <v>21.1994</v>
      </c>
      <c r="F1166" s="12" t="n">
        <f aca="false">IF(C1166="","",B1166/C1166)</f>
        <v>1167.2009560302</v>
      </c>
      <c r="G1166" s="12" t="n">
        <f aca="false">MEDIAN(F1156:F1176)</f>
        <v>1171.13714362406</v>
      </c>
      <c r="H1166" s="13" t="n">
        <f aca="false">B1166/G1166</f>
        <v>21.0163259990505</v>
      </c>
      <c r="I1166" s="14" t="n">
        <f aca="false">B1166/Summary!$C$8*100</f>
        <v>246.645489072161</v>
      </c>
      <c r="J1166" s="14" t="n">
        <f aca="false">G1166/Summary!$E$8*100</f>
        <v>199.041577913521</v>
      </c>
      <c r="K1166" s="15" t="n">
        <f aca="false">Summary!$D$9</f>
        <v>16.9374488591431</v>
      </c>
      <c r="L1166" s="16" t="str">
        <f aca="false">IF(OR(D1166="",E1166=""),"edge hidden",IF(AND(H1166&gt;=D1166-0.02,H1166&lt;=E1166+0.02),"yes","no"))</f>
        <v>yes</v>
      </c>
    </row>
    <row r="1167" customFormat="false" ht="15" hidden="false" customHeight="false" outlineLevel="0" collapsed="false">
      <c r="A1167" s="9" t="n">
        <v>45491</v>
      </c>
      <c r="B1167" s="10" t="n">
        <v>24800.85</v>
      </c>
      <c r="C1167" s="11" t="n">
        <v>21.1029</v>
      </c>
      <c r="D1167" s="11" t="n">
        <v>20.9986</v>
      </c>
      <c r="E1167" s="11" t="n">
        <v>21.2073</v>
      </c>
      <c r="F1167" s="12" t="n">
        <f aca="false">IF(C1167="","",B1167/C1167)</f>
        <v>1175.23420951623</v>
      </c>
      <c r="G1167" s="12" t="n">
        <f aca="false">MEDIAN(F1157:F1177)</f>
        <v>1171.13714362406</v>
      </c>
      <c r="H1167" s="13" t="n">
        <f aca="false">B1167/G1167</f>
        <v>21.1767256593488</v>
      </c>
      <c r="I1167" s="14" t="n">
        <f aca="false">B1167/Summary!$C$8*100</f>
        <v>248.527923359822</v>
      </c>
      <c r="J1167" s="14" t="n">
        <f aca="false">G1167/Summary!$E$8*100</f>
        <v>199.041577913521</v>
      </c>
      <c r="K1167" s="15" t="n">
        <f aca="false">Summary!$D$9</f>
        <v>16.9374488591431</v>
      </c>
      <c r="L1167" s="16" t="str">
        <f aca="false">IF(OR(D1167="",E1167=""),"edge hidden",IF(AND(H1167&gt;=D1167-0.02,H1167&lt;=E1167+0.02),"yes","no"))</f>
        <v>yes</v>
      </c>
    </row>
    <row r="1168" customFormat="false" ht="15" hidden="false" customHeight="false" outlineLevel="0" collapsed="false">
      <c r="A1168" s="9" t="n">
        <v>45492</v>
      </c>
      <c r="B1168" s="10" t="n">
        <v>24530.9</v>
      </c>
      <c r="C1168" s="11" t="n">
        <v>21.099</v>
      </c>
      <c r="D1168" s="11" t="n">
        <v>20.9986</v>
      </c>
      <c r="E1168" s="11" t="n">
        <v>21.1994</v>
      </c>
      <c r="F1168" s="12" t="n">
        <f aca="false">IF(C1168="","",B1168/C1168)</f>
        <v>1162.65699796199</v>
      </c>
      <c r="G1168" s="12" t="n">
        <f aca="false">MEDIAN(F1158:F1178)</f>
        <v>1171.13714362406</v>
      </c>
      <c r="H1168" s="13" t="n">
        <f aca="false">B1168/G1168</f>
        <v>20.9462231930324</v>
      </c>
      <c r="I1168" s="14" t="n">
        <f aca="false">B1168/Summary!$C$8*100</f>
        <v>245.82276958844</v>
      </c>
      <c r="J1168" s="14" t="n">
        <f aca="false">G1168/Summary!$E$8*100</f>
        <v>199.041577913521</v>
      </c>
      <c r="K1168" s="15" t="n">
        <f aca="false">Summary!$D$9</f>
        <v>16.9374488591431</v>
      </c>
      <c r="L1168" s="16" t="str">
        <f aca="false">IF(OR(D1168="",E1168=""),"edge hidden",IF(AND(H1168&gt;=D1168-0.02,H1168&lt;=E1168+0.02),"yes","no"))</f>
        <v>no</v>
      </c>
    </row>
    <row r="1169" customFormat="false" ht="15" hidden="false" customHeight="false" outlineLevel="0" collapsed="false">
      <c r="A1169" s="9" t="n">
        <v>45495</v>
      </c>
      <c r="B1169" s="10" t="n">
        <v>24509.25</v>
      </c>
      <c r="C1169" s="11" t="n">
        <v>21.0675</v>
      </c>
      <c r="D1169" s="11" t="n">
        <v>20.9277</v>
      </c>
      <c r="E1169" s="11" t="n">
        <v>21.2073</v>
      </c>
      <c r="F1169" s="12" t="n">
        <f aca="false">IF(C1169="","",B1169/C1169)</f>
        <v>1163.36774652901</v>
      </c>
      <c r="G1169" s="12" t="n">
        <f aca="false">MEDIAN(F1159:F1179)</f>
        <v>1171.13714362406</v>
      </c>
      <c r="H1169" s="13" t="n">
        <f aca="false">B1169/G1169</f>
        <v>20.9277368866952</v>
      </c>
      <c r="I1169" s="14" t="n">
        <f aca="false">B1169/Summary!$C$8*100</f>
        <v>245.605816155766</v>
      </c>
      <c r="J1169" s="14" t="n">
        <f aca="false">G1169/Summary!$E$8*100</f>
        <v>199.041577913521</v>
      </c>
      <c r="K1169" s="15" t="n">
        <f aca="false">Summary!$D$9</f>
        <v>16.9374488591431</v>
      </c>
      <c r="L1169" s="16" t="str">
        <f aca="false">IF(OR(D1169="",E1169=""),"edge hidden",IF(AND(H1169&gt;=D1169-0.02,H1169&lt;=E1169+0.02),"yes","no"))</f>
        <v>yes</v>
      </c>
    </row>
    <row r="1170" customFormat="false" ht="15" hidden="false" customHeight="false" outlineLevel="0" collapsed="false">
      <c r="A1170" s="9" t="n">
        <v>45496</v>
      </c>
      <c r="B1170" s="10" t="n">
        <v>24479.05</v>
      </c>
      <c r="C1170" s="11" t="n">
        <v>21.0714</v>
      </c>
      <c r="D1170" s="11" t="n">
        <v>20.9277</v>
      </c>
      <c r="E1170" s="11" t="n">
        <v>21.2151</v>
      </c>
      <c r="F1170" s="12" t="n">
        <f aca="false">IF(C1170="","",B1170/C1170)</f>
        <v>1161.71920233112</v>
      </c>
      <c r="G1170" s="12" t="n">
        <f aca="false">MEDIAN(F1160:F1180)</f>
        <v>1171.13714362406</v>
      </c>
      <c r="H1170" s="13" t="n">
        <f aca="false">B1170/G1170</f>
        <v>20.9019499836288</v>
      </c>
      <c r="I1170" s="14" t="n">
        <f aca="false">B1170/Summary!$C$8*100</f>
        <v>245.303183653837</v>
      </c>
      <c r="J1170" s="14" t="n">
        <f aca="false">G1170/Summary!$E$8*100</f>
        <v>199.041577913521</v>
      </c>
      <c r="K1170" s="15" t="n">
        <f aca="false">Summary!$D$9</f>
        <v>16.9374488591431</v>
      </c>
      <c r="L1170" s="16" t="str">
        <f aca="false">IF(OR(D1170="",E1170=""),"edge hidden",IF(AND(H1170&gt;=D1170-0.02,H1170&lt;=E1170+0.02),"yes","no"))</f>
        <v>no</v>
      </c>
    </row>
    <row r="1171" customFormat="false" ht="15" hidden="false" customHeight="false" outlineLevel="0" collapsed="false">
      <c r="A1171" s="9" t="n">
        <v>45497</v>
      </c>
      <c r="B1171" s="10" t="n">
        <v>24413.5</v>
      </c>
      <c r="C1171" s="11" t="n">
        <v>21.0754</v>
      </c>
      <c r="D1171" s="11" t="n">
        <v>20.9199</v>
      </c>
      <c r="E1171" s="11" t="n">
        <v>21.2309</v>
      </c>
      <c r="F1171" s="12" t="n">
        <f aca="false">IF(C1171="","",B1171/C1171)</f>
        <v>1158.3884528882</v>
      </c>
      <c r="G1171" s="12" t="n">
        <f aca="false">MEDIAN(F1161:F1181)</f>
        <v>1172.00960485217</v>
      </c>
      <c r="H1171" s="13" t="n">
        <f aca="false">B1171/G1171</f>
        <v>20.8304606881437</v>
      </c>
      <c r="I1171" s="14" t="n">
        <f aca="false">B1171/Summary!$C$8*100</f>
        <v>244.64631078955</v>
      </c>
      <c r="J1171" s="14" t="n">
        <f aca="false">G1171/Summary!$E$8*100</f>
        <v>199.189857780194</v>
      </c>
      <c r="K1171" s="15" t="n">
        <f aca="false">Summary!$D$9</f>
        <v>16.9374488591431</v>
      </c>
      <c r="L1171" s="16" t="str">
        <f aca="false">IF(OR(D1171="",E1171=""),"edge hidden",IF(AND(H1171&gt;=D1171-0.02,H1171&lt;=E1171+0.02),"yes","no"))</f>
        <v>no</v>
      </c>
    </row>
    <row r="1172" customFormat="false" ht="15" hidden="false" customHeight="false" outlineLevel="0" collapsed="false">
      <c r="A1172" s="9" t="n">
        <v>45498</v>
      </c>
      <c r="B1172" s="10" t="n">
        <v>24406.1</v>
      </c>
      <c r="C1172" s="11" t="n">
        <v>21.0832</v>
      </c>
      <c r="D1172" s="11" t="n">
        <v>20.9199</v>
      </c>
      <c r="E1172" s="11" t="n">
        <v>21.2466</v>
      </c>
      <c r="F1172" s="12" t="n">
        <f aca="false">IF(C1172="","",B1172/C1172)</f>
        <v>1157.60890187448</v>
      </c>
      <c r="G1172" s="12" t="n">
        <f aca="false">MEDIAN(F1162:F1182)</f>
        <v>1175.23420951623</v>
      </c>
      <c r="H1172" s="13" t="n">
        <f aca="false">B1172/G1172</f>
        <v>20.7670095053194</v>
      </c>
      <c r="I1172" s="14" t="n">
        <f aca="false">B1172/Summary!$C$8*100</f>
        <v>244.572155805634</v>
      </c>
      <c r="J1172" s="14" t="n">
        <f aca="false">G1172/Summary!$E$8*100</f>
        <v>199.737898121989</v>
      </c>
      <c r="K1172" s="15" t="n">
        <f aca="false">Summary!$D$9</f>
        <v>16.9374488591431</v>
      </c>
      <c r="L1172" s="16" t="str">
        <f aca="false">IF(OR(D1172="",E1172=""),"edge hidden",IF(AND(H1172&gt;=D1172-0.02,H1172&lt;=E1172+0.02),"yes","no"))</f>
        <v>no</v>
      </c>
    </row>
    <row r="1173" customFormat="false" ht="15" hidden="false" customHeight="false" outlineLevel="0" collapsed="false">
      <c r="A1173" s="9" t="n">
        <v>45499</v>
      </c>
      <c r="B1173" s="10" t="n">
        <v>24834.85</v>
      </c>
      <c r="C1173" s="11" t="n">
        <v>21.0832</v>
      </c>
      <c r="D1173" s="11" t="n">
        <v>20.9199</v>
      </c>
      <c r="E1173" s="11" t="n">
        <v>21.2466</v>
      </c>
      <c r="F1173" s="12" t="n">
        <f aca="false">IF(C1173="","",B1173/C1173)</f>
        <v>1177.94499886165</v>
      </c>
      <c r="G1173" s="12" t="n">
        <f aca="false">MEDIAN(F1163:F1183)</f>
        <v>1175.30457188484</v>
      </c>
      <c r="H1173" s="13" t="n">
        <f aca="false">B1173/G1173</f>
        <v>21.1305652969359</v>
      </c>
      <c r="I1173" s="14" t="n">
        <f aca="false">B1173/Summary!$C$8*100</f>
        <v>248.868635448086</v>
      </c>
      <c r="J1173" s="14" t="n">
        <f aca="false">G1173/Summary!$E$8*100</f>
        <v>199.749856616305</v>
      </c>
      <c r="K1173" s="15" t="n">
        <f aca="false">Summary!$D$9</f>
        <v>16.9374488591431</v>
      </c>
      <c r="L1173" s="16" t="str">
        <f aca="false">IF(OR(D1173="",E1173=""),"edge hidden",IF(AND(H1173&gt;=D1173-0.02,H1173&lt;=E1173+0.02),"yes","no"))</f>
        <v>yes</v>
      </c>
    </row>
    <row r="1174" customFormat="false" ht="15" hidden="false" customHeight="false" outlineLevel="0" collapsed="false">
      <c r="A1174" s="9" t="n">
        <v>45502</v>
      </c>
      <c r="B1174" s="10" t="n">
        <v>24836.1</v>
      </c>
      <c r="C1174" s="11" t="n">
        <v>21.0439</v>
      </c>
      <c r="D1174" s="11" t="n">
        <v>20.8411</v>
      </c>
      <c r="E1174" s="11" t="n">
        <v>21.2466</v>
      </c>
      <c r="F1174" s="12" t="n">
        <f aca="false">IF(C1174="","",B1174/C1174)</f>
        <v>1180.20423970842</v>
      </c>
      <c r="G1174" s="12" t="n">
        <f aca="false">MEDIAN(F1164:F1184)</f>
        <v>1177.94499886165</v>
      </c>
      <c r="H1174" s="13" t="n">
        <f aca="false">B1174/G1174</f>
        <v>21.0842611700896</v>
      </c>
      <c r="I1174" s="14" t="n">
        <f aca="false">B1174/Summary!$C$8*100</f>
        <v>248.881161627802</v>
      </c>
      <c r="J1174" s="14" t="n">
        <f aca="false">G1174/Summary!$E$8*100</f>
        <v>200.198612558076</v>
      </c>
      <c r="K1174" s="15" t="n">
        <f aca="false">Summary!$D$9</f>
        <v>16.9374488591431</v>
      </c>
      <c r="L1174" s="16" t="str">
        <f aca="false">IF(OR(D1174="",E1174=""),"edge hidden",IF(AND(H1174&gt;=D1174-0.02,H1174&lt;=E1174+0.02),"yes","no"))</f>
        <v>yes</v>
      </c>
    </row>
    <row r="1175" customFormat="false" ht="15" hidden="false" customHeight="false" outlineLevel="0" collapsed="false">
      <c r="A1175" s="9" t="n">
        <v>45503</v>
      </c>
      <c r="B1175" s="10" t="n">
        <v>24857.3</v>
      </c>
      <c r="C1175" s="11" t="n">
        <v>21.0006</v>
      </c>
      <c r="D1175" s="11" t="n">
        <v>20.7702</v>
      </c>
      <c r="E1175" s="11" t="n">
        <v>21.2309</v>
      </c>
      <c r="F1175" s="12" t="n">
        <f aca="false">IF(C1175="","",B1175/C1175)</f>
        <v>1183.64713389141</v>
      </c>
      <c r="G1175" s="12" t="n">
        <f aca="false">MEDIAN(F1165:F1185)</f>
        <v>1178.16229876726</v>
      </c>
      <c r="H1175" s="13" t="n">
        <f aca="false">B1175/G1175</f>
        <v>21.0983665204776</v>
      </c>
      <c r="I1175" s="14" t="n">
        <f aca="false">B1175/Summary!$C$8*100</f>
        <v>249.093605635779</v>
      </c>
      <c r="J1175" s="14" t="n">
        <f aca="false">G1175/Summary!$E$8*100</f>
        <v>200.235543942524</v>
      </c>
      <c r="K1175" s="15" t="n">
        <f aca="false">Summary!$D$9</f>
        <v>16.9374488591431</v>
      </c>
      <c r="L1175" s="16" t="str">
        <f aca="false">IF(OR(D1175="",E1175=""),"edge hidden",IF(AND(H1175&gt;=D1175-0.02,H1175&lt;=E1175+0.02),"yes","no"))</f>
        <v>yes</v>
      </c>
    </row>
    <row r="1176" customFormat="false" ht="15" hidden="false" customHeight="false" outlineLevel="0" collapsed="false">
      <c r="A1176" s="9" t="n">
        <v>45504</v>
      </c>
      <c r="B1176" s="10" t="n">
        <v>24951.15</v>
      </c>
      <c r="C1176" s="11" t="n">
        <v>20.8706</v>
      </c>
      <c r="D1176" s="11" t="n">
        <v>20.7151</v>
      </c>
      <c r="E1176" s="11" t="n">
        <v>21.0262</v>
      </c>
      <c r="F1176" s="12" t="n">
        <f aca="false">IF(C1176="","",B1176/C1176)</f>
        <v>1195.51665979895</v>
      </c>
      <c r="G1176" s="12" t="n">
        <f aca="false">MEDIAN(F1166:F1186)</f>
        <v>1180.20423970842</v>
      </c>
      <c r="H1176" s="13" t="n">
        <f aca="false">B1176/G1176</f>
        <v>21.1413831271818</v>
      </c>
      <c r="I1176" s="14" t="n">
        <f aca="false">B1176/Summary!$C$8*100</f>
        <v>250.034071208826</v>
      </c>
      <c r="J1176" s="14" t="n">
        <f aca="false">G1176/Summary!$E$8*100</f>
        <v>200.582583697131</v>
      </c>
      <c r="K1176" s="15" t="n">
        <f aca="false">Summary!$D$9</f>
        <v>16.9374488591431</v>
      </c>
      <c r="L1176" s="16" t="str">
        <f aca="false">IF(OR(D1176="",E1176=""),"edge hidden",IF(AND(H1176&gt;=D1176-0.02,H1176&lt;=E1176+0.02),"yes","no"))</f>
        <v>no</v>
      </c>
    </row>
    <row r="1177" customFormat="false" ht="15" hidden="false" customHeight="false" outlineLevel="0" collapsed="false">
      <c r="A1177" s="9" t="n">
        <v>45505</v>
      </c>
      <c r="B1177" s="10" t="n">
        <v>25010.9</v>
      </c>
      <c r="C1177" s="11" t="n">
        <v>20.725</v>
      </c>
      <c r="D1177" s="11" t="n">
        <v>20.4395</v>
      </c>
      <c r="E1177" s="11" t="n">
        <v>21.0104</v>
      </c>
      <c r="F1177" s="12" t="n">
        <f aca="false">IF(C1177="","",B1177/C1177)</f>
        <v>1206.79855247286</v>
      </c>
      <c r="G1177" s="12" t="n">
        <f aca="false">MEDIAN(F1167:F1187)</f>
        <v>1183.64713389141</v>
      </c>
      <c r="H1177" s="13" t="n">
        <f aca="false">B1177/G1177</f>
        <v>21.1303684044526</v>
      </c>
      <c r="I1177" s="14" t="n">
        <f aca="false">B1177/Summary!$C$8*100</f>
        <v>250.632822599232</v>
      </c>
      <c r="J1177" s="14" t="n">
        <f aca="false">G1177/Summary!$E$8*100</f>
        <v>201.167723613923</v>
      </c>
      <c r="K1177" s="15" t="n">
        <f aca="false">Summary!$D$9</f>
        <v>16.9374488591431</v>
      </c>
      <c r="L1177" s="16" t="str">
        <f aca="false">IF(OR(D1177="",E1177=""),"edge hidden",IF(AND(H1177&gt;=D1177-0.02,H1177&lt;=E1177+0.02),"yes","no"))</f>
        <v>no</v>
      </c>
    </row>
    <row r="1178" customFormat="false" ht="15" hidden="false" customHeight="false" outlineLevel="0" collapsed="false">
      <c r="A1178" s="9" t="n">
        <v>45506</v>
      </c>
      <c r="B1178" s="10" t="n">
        <v>24717.7</v>
      </c>
      <c r="C1178" s="11" t="n">
        <v>20.5675</v>
      </c>
      <c r="D1178" s="11" t="n">
        <v>20.1403</v>
      </c>
      <c r="E1178" s="11" t="n">
        <v>20.9947</v>
      </c>
      <c r="F1178" s="12" t="n">
        <f aca="false">IF(C1178="","",B1178/C1178)</f>
        <v>1201.7843685426</v>
      </c>
      <c r="G1178" s="12" t="n">
        <f aca="false">MEDIAN(F1168:F1188)</f>
        <v>1189.35900846314</v>
      </c>
      <c r="H1178" s="13" t="n">
        <f aca="false">B1178/G1178</f>
        <v>20.7823708603676</v>
      </c>
      <c r="I1178" s="14" t="n">
        <f aca="false">B1178/Summary!$C$8*100</f>
        <v>247.69468188514</v>
      </c>
      <c r="J1178" s="14" t="n">
        <f aca="false">G1178/Summary!$E$8*100</f>
        <v>202.138489961647</v>
      </c>
      <c r="K1178" s="15" t="n">
        <f aca="false">Summary!$D$9</f>
        <v>16.9374488591431</v>
      </c>
      <c r="L1178" s="16" t="str">
        <f aca="false">IF(OR(D1178="",E1178=""),"edge hidden",IF(AND(H1178&gt;=D1178-0.02,H1178&lt;=E1178+0.02),"yes","no"))</f>
        <v>yes</v>
      </c>
    </row>
    <row r="1179" customFormat="false" ht="15" hidden="false" customHeight="false" outlineLevel="0" collapsed="false">
      <c r="A1179" s="9" t="n">
        <v>45509</v>
      </c>
      <c r="B1179" s="10" t="n">
        <v>24055.6</v>
      </c>
      <c r="C1179" s="11" t="n">
        <v>20.4179</v>
      </c>
      <c r="D1179" s="11" t="n">
        <v>20.1088</v>
      </c>
      <c r="E1179" s="11" t="n">
        <v>20.7269</v>
      </c>
      <c r="F1179" s="12" t="n">
        <f aca="false">IF(C1179="","",B1179/C1179)</f>
        <v>1178.16229876726</v>
      </c>
      <c r="G1179" s="12" t="n">
        <f aca="false">MEDIAN(F1169:F1189)</f>
        <v>1189.58796367023</v>
      </c>
      <c r="H1179" s="13" t="n">
        <f aca="false">B1179/G1179</f>
        <v>20.2217916914537</v>
      </c>
      <c r="I1179" s="14" t="n">
        <f aca="false">B1179/Summary!$C$8*100</f>
        <v>241.059815013378</v>
      </c>
      <c r="J1179" s="14" t="n">
        <f aca="false">G1179/Summary!$E$8*100</f>
        <v>202.17740223246</v>
      </c>
      <c r="K1179" s="15" t="n">
        <f aca="false">Summary!$D$9</f>
        <v>16.9374488591431</v>
      </c>
      <c r="L1179" s="16" t="str">
        <f aca="false">IF(OR(D1179="",E1179=""),"edge hidden",IF(AND(H1179&gt;=D1179-0.02,H1179&lt;=E1179+0.02),"yes","no"))</f>
        <v>yes</v>
      </c>
    </row>
    <row r="1180" customFormat="false" ht="15" hidden="false" customHeight="false" outlineLevel="0" collapsed="false">
      <c r="A1180" s="9" t="n">
        <v>45510</v>
      </c>
      <c r="B1180" s="10" t="n">
        <v>23992.55</v>
      </c>
      <c r="C1180" s="11" t="n">
        <v>20.4139</v>
      </c>
      <c r="D1180" s="11" t="n">
        <v>20.1167</v>
      </c>
      <c r="E1180" s="11" t="n">
        <v>20.7112</v>
      </c>
      <c r="F1180" s="12" t="n">
        <f aca="false">IF(C1180="","",B1180/C1180)</f>
        <v>1175.30457188484</v>
      </c>
      <c r="G1180" s="12" t="n">
        <f aca="false">MEDIAN(F1170:F1190)</f>
        <v>1191.51017504335</v>
      </c>
      <c r="H1180" s="13" t="n">
        <f aca="false">B1180/G1180</f>
        <v>20.1362527173778</v>
      </c>
      <c r="I1180" s="14" t="n">
        <f aca="false">B1180/Summary!$C$8*100</f>
        <v>240.427994508523</v>
      </c>
      <c r="J1180" s="14" t="n">
        <f aca="false">G1180/Summary!$E$8*100</f>
        <v>202.50409324971</v>
      </c>
      <c r="K1180" s="15" t="n">
        <f aca="false">Summary!$D$9</f>
        <v>16.9374488591431</v>
      </c>
      <c r="L1180" s="16" t="str">
        <f aca="false">IF(OR(D1180="",E1180=""),"edge hidden",IF(AND(H1180&gt;=D1180-0.02,H1180&lt;=E1180+0.02),"yes","no"))</f>
        <v>yes</v>
      </c>
    </row>
    <row r="1181" customFormat="false" ht="15" hidden="false" customHeight="false" outlineLevel="0" collapsed="false">
      <c r="A1181" s="9" t="n">
        <v>45511</v>
      </c>
      <c r="B1181" s="10" t="n">
        <v>24297.5</v>
      </c>
      <c r="C1181" s="11" t="n">
        <v>20.2407</v>
      </c>
      <c r="D1181" s="11" t="n">
        <v>20.1167</v>
      </c>
      <c r="E1181" s="11" t="n">
        <v>20.3647</v>
      </c>
      <c r="F1181" s="12" t="n">
        <f aca="false">IF(C1181="","",B1181/C1181)</f>
        <v>1200.42785081544</v>
      </c>
      <c r="G1181" s="12" t="n">
        <f aca="false">MEDIAN(F1171:F1191)</f>
        <v>1195.51665979895</v>
      </c>
      <c r="H1181" s="13" t="n">
        <f aca="false">B1181/G1181</f>
        <v>20.3238489408304</v>
      </c>
      <c r="I1181" s="14" t="n">
        <f aca="false">B1181/Summary!$C$8*100</f>
        <v>243.483881311942</v>
      </c>
      <c r="J1181" s="14" t="n">
        <f aca="false">G1181/Summary!$E$8*100</f>
        <v>203.1850186665</v>
      </c>
      <c r="K1181" s="15" t="n">
        <f aca="false">Summary!$D$9</f>
        <v>16.9374488591431</v>
      </c>
      <c r="L1181" s="16" t="str">
        <f aca="false">IF(OR(D1181="",E1181=""),"edge hidden",IF(AND(H1181&gt;=D1181-0.02,H1181&lt;=E1181+0.02),"yes","no"))</f>
        <v>yes</v>
      </c>
    </row>
    <row r="1182" customFormat="false" ht="15" hidden="false" customHeight="false" outlineLevel="0" collapsed="false">
      <c r="A1182" s="9" t="n">
        <v>45512</v>
      </c>
      <c r="B1182" s="10" t="n">
        <v>24117</v>
      </c>
      <c r="C1182" s="11" t="n">
        <v>20.2407</v>
      </c>
      <c r="D1182" s="11" t="n">
        <v>20.1325</v>
      </c>
      <c r="E1182" s="11" t="n">
        <v>20.349</v>
      </c>
      <c r="F1182" s="12" t="n">
        <f aca="false">IF(C1182="","",B1182/C1182)</f>
        <v>1191.51017504335</v>
      </c>
      <c r="G1182" s="12" t="n">
        <f aca="false">MEDIAN(F1172:F1192)</f>
        <v>1195.65048146869</v>
      </c>
      <c r="H1182" s="13" t="n">
        <f aca="false">B1182/G1182</f>
        <v>20.170610369659</v>
      </c>
      <c r="I1182" s="14" t="n">
        <f aca="false">B1182/Summary!$C$8*100</f>
        <v>241.675100961008</v>
      </c>
      <c r="J1182" s="14" t="n">
        <f aca="false">G1182/Summary!$E$8*100</f>
        <v>203.207762438609</v>
      </c>
      <c r="K1182" s="15" t="n">
        <f aca="false">Summary!$D$9</f>
        <v>16.9374488591431</v>
      </c>
      <c r="L1182" s="16" t="str">
        <f aca="false">IF(OR(D1182="",E1182=""),"edge hidden",IF(AND(H1182&gt;=D1182-0.02,H1182&lt;=E1182+0.02),"yes","no"))</f>
        <v>yes</v>
      </c>
    </row>
    <row r="1183" customFormat="false" ht="15" hidden="false" customHeight="false" outlineLevel="0" collapsed="false">
      <c r="A1183" s="9" t="n">
        <v>45513</v>
      </c>
      <c r="B1183" s="10" t="n">
        <v>24367.5</v>
      </c>
      <c r="C1183" s="11" t="n">
        <v>20.2407</v>
      </c>
      <c r="D1183" s="11" t="n">
        <v>20.1403</v>
      </c>
      <c r="E1183" s="11" t="n">
        <v>20.3411</v>
      </c>
      <c r="F1183" s="12" t="n">
        <f aca="false">IF(C1183="","",B1183/C1183)</f>
        <v>1203.8862292312</v>
      </c>
      <c r="G1183" s="12" t="n">
        <f aca="false">MEDIAN(F1173:F1193)</f>
        <v>1200.24707833495</v>
      </c>
      <c r="H1183" s="13" t="n">
        <f aca="false">B1183/G1183</f>
        <v>20.3020698319915</v>
      </c>
      <c r="I1183" s="14" t="n">
        <f aca="false">B1183/Summary!$C$8*100</f>
        <v>244.185347376016</v>
      </c>
      <c r="J1183" s="14" t="n">
        <f aca="false">G1183/Summary!$E$8*100</f>
        <v>203.988980845245</v>
      </c>
      <c r="K1183" s="15" t="n">
        <f aca="false">Summary!$D$9</f>
        <v>16.9374488591431</v>
      </c>
      <c r="L1183" s="16" t="str">
        <f aca="false">IF(OR(D1183="",E1183=""),"edge hidden",IF(AND(H1183&gt;=D1183-0.02,H1183&lt;=E1183+0.02),"yes","no"))</f>
        <v>yes</v>
      </c>
    </row>
    <row r="1184" customFormat="false" ht="15" hidden="false" customHeight="false" outlineLevel="0" collapsed="false">
      <c r="A1184" s="9" t="n">
        <v>45516</v>
      </c>
      <c r="B1184" s="10" t="n">
        <v>24347</v>
      </c>
      <c r="C1184" s="11" t="n">
        <v>20.2447</v>
      </c>
      <c r="D1184" s="11" t="n">
        <v>20.1325</v>
      </c>
      <c r="E1184" s="11" t="n">
        <v>20.3569</v>
      </c>
      <c r="F1184" s="12" t="n">
        <f aca="false">IF(C1184="","",B1184/C1184)</f>
        <v>1202.63575157943</v>
      </c>
      <c r="G1184" s="12" t="n">
        <f aca="false">MEDIAN(F1174:F1194)</f>
        <v>1200.42785081544</v>
      </c>
      <c r="H1184" s="13" t="n">
        <f aca="false">B1184/G1184</f>
        <v>20.2819352978702</v>
      </c>
      <c r="I1184" s="14" t="n">
        <f aca="false">B1184/Summary!$C$8*100</f>
        <v>243.97991802868</v>
      </c>
      <c r="J1184" s="14" t="n">
        <f aca="false">G1184/Summary!$E$8*100</f>
        <v>204.019704181068</v>
      </c>
      <c r="K1184" s="15" t="n">
        <f aca="false">Summary!$D$9</f>
        <v>16.9374488591431</v>
      </c>
      <c r="L1184" s="16" t="str">
        <f aca="false">IF(OR(D1184="",E1184=""),"edge hidden",IF(AND(H1184&gt;=D1184-0.02,H1184&lt;=E1184+0.02),"yes","no"))</f>
        <v>yes</v>
      </c>
    </row>
    <row r="1185" customFormat="false" ht="15" hidden="false" customHeight="false" outlineLevel="0" collapsed="false">
      <c r="A1185" s="9" t="n">
        <v>45517</v>
      </c>
      <c r="B1185" s="10" t="n">
        <v>24139</v>
      </c>
      <c r="C1185" s="11" t="n">
        <v>20.2919</v>
      </c>
      <c r="D1185" s="11" t="n">
        <v>20.1325</v>
      </c>
      <c r="E1185" s="11" t="n">
        <v>20.4514</v>
      </c>
      <c r="F1185" s="12" t="n">
        <f aca="false">IF(C1185="","",B1185/C1185)</f>
        <v>1189.58796367023</v>
      </c>
      <c r="G1185" s="12" t="n">
        <f aca="false">MEDIAN(F1175:F1195)</f>
        <v>1201.06012198664</v>
      </c>
      <c r="H1185" s="13" t="n">
        <f aca="false">B1185/G1185</f>
        <v>20.0980779880297</v>
      </c>
      <c r="I1185" s="14" t="n">
        <f aca="false">B1185/Summary!$C$8*100</f>
        <v>241.895561724003</v>
      </c>
      <c r="J1185" s="14" t="n">
        <f aca="false">G1185/Summary!$E$8*100</f>
        <v>204.127162348774</v>
      </c>
      <c r="K1185" s="15" t="n">
        <f aca="false">Summary!$D$9</f>
        <v>16.9374488591431</v>
      </c>
      <c r="L1185" s="16" t="str">
        <f aca="false">IF(OR(D1185="",E1185=""),"edge hidden",IF(AND(H1185&gt;=D1185-0.02,H1185&lt;=E1185+0.02),"yes","no"))</f>
        <v>no</v>
      </c>
    </row>
    <row r="1186" customFormat="false" ht="15" hidden="false" customHeight="false" outlineLevel="0" collapsed="false">
      <c r="A1186" s="9" t="n">
        <v>45518</v>
      </c>
      <c r="B1186" s="10" t="n">
        <v>24143.75</v>
      </c>
      <c r="C1186" s="11" t="n">
        <v>20.2998</v>
      </c>
      <c r="D1186" s="11" t="n">
        <v>20.1325</v>
      </c>
      <c r="E1186" s="11" t="n">
        <v>20.4671</v>
      </c>
      <c r="F1186" s="12" t="n">
        <f aca="false">IF(C1186="","",B1186/C1186)</f>
        <v>1189.35900846314</v>
      </c>
      <c r="G1186" s="12" t="n">
        <f aca="false">MEDIAN(F1176:F1196)</f>
        <v>1201.09562527962</v>
      </c>
      <c r="H1186" s="13" t="n">
        <f aca="false">B1186/G1186</f>
        <v>20.1014386297338</v>
      </c>
      <c r="I1186" s="14" t="n">
        <f aca="false">B1186/Summary!$C$8*100</f>
        <v>241.943161206922</v>
      </c>
      <c r="J1186" s="14" t="n">
        <f aca="false">G1186/Summary!$E$8*100</f>
        <v>204.133196340176</v>
      </c>
      <c r="K1186" s="15" t="n">
        <f aca="false">Summary!$D$9</f>
        <v>16.9374488591431</v>
      </c>
      <c r="L1186" s="16" t="str">
        <f aca="false">IF(OR(D1186="",E1186=""),"edge hidden",IF(AND(H1186&gt;=D1186-0.02,H1186&lt;=E1186+0.02),"yes","no"))</f>
        <v>no</v>
      </c>
    </row>
    <row r="1187" customFormat="false" ht="15" hidden="false" customHeight="false" outlineLevel="0" collapsed="false">
      <c r="A1187" s="9" t="n">
        <v>45520</v>
      </c>
      <c r="B1187" s="10" t="n">
        <v>24541.15</v>
      </c>
      <c r="C1187" s="11" t="n">
        <v>20.347</v>
      </c>
      <c r="D1187" s="11" t="n">
        <v>20.1561</v>
      </c>
      <c r="E1187" s="11" t="n">
        <v>20.538</v>
      </c>
      <c r="F1187" s="12" t="n">
        <f aca="false">IF(C1187="","",B1187/C1187)</f>
        <v>1206.13112498157</v>
      </c>
      <c r="G1187" s="12" t="n">
        <f aca="false">MEDIAN(F1177:F1197)</f>
        <v>1201.7843685426</v>
      </c>
      <c r="H1187" s="13" t="n">
        <f aca="false">B1187/G1187</f>
        <v>20.4205934461944</v>
      </c>
      <c r="I1187" s="14" t="n">
        <f aca="false">B1187/Summary!$C$8*100</f>
        <v>245.925484262108</v>
      </c>
      <c r="J1187" s="14" t="n">
        <f aca="false">G1187/Summary!$E$8*100</f>
        <v>204.250252268756</v>
      </c>
      <c r="K1187" s="15" t="n">
        <f aca="false">Summary!$D$9</f>
        <v>16.9374488591431</v>
      </c>
      <c r="L1187" s="16" t="str">
        <f aca="false">IF(OR(D1187="",E1187=""),"edge hidden",IF(AND(H1187&gt;=D1187-0.02,H1187&lt;=E1187+0.02),"yes","no"))</f>
        <v>yes</v>
      </c>
    </row>
    <row r="1188" customFormat="false" ht="15" hidden="false" customHeight="false" outlineLevel="0" collapsed="false">
      <c r="A1188" s="9" t="n">
        <v>45523</v>
      </c>
      <c r="B1188" s="10" t="n">
        <v>24572.65</v>
      </c>
      <c r="C1188" s="11" t="n">
        <v>20.5517</v>
      </c>
      <c r="D1188" s="11" t="n">
        <v>20.4632</v>
      </c>
      <c r="E1188" s="11" t="n">
        <v>20.6403</v>
      </c>
      <c r="F1188" s="12" t="n">
        <f aca="false">IF(C1188="","",B1188/C1188)</f>
        <v>1195.65048146869</v>
      </c>
      <c r="G1188" s="12" t="n">
        <f aca="false">MEDIAN(F1178:F1198)</f>
        <v>1201.7843685426</v>
      </c>
      <c r="H1188" s="13" t="n">
        <f aca="false">B1188/G1188</f>
        <v>20.4468044710875</v>
      </c>
      <c r="I1188" s="14" t="n">
        <f aca="false">B1188/Summary!$C$8*100</f>
        <v>246.241143990941</v>
      </c>
      <c r="J1188" s="14" t="n">
        <f aca="false">G1188/Summary!$E$8*100</f>
        <v>204.250252268756</v>
      </c>
      <c r="K1188" s="15" t="n">
        <f aca="false">Summary!$D$9</f>
        <v>16.9374488591431</v>
      </c>
      <c r="L1188" s="16" t="str">
        <f aca="false">IF(OR(D1188="",E1188=""),"edge hidden",IF(AND(H1188&gt;=D1188-0.02,H1188&lt;=E1188+0.02),"yes","no"))</f>
        <v>yes</v>
      </c>
    </row>
    <row r="1189" customFormat="false" ht="15" hidden="false" customHeight="false" outlineLevel="0" collapsed="false">
      <c r="A1189" s="9" t="n">
        <v>45524</v>
      </c>
      <c r="B1189" s="10" t="n">
        <v>24698.85</v>
      </c>
      <c r="C1189" s="11" t="n">
        <v>20.5636</v>
      </c>
      <c r="D1189" s="11" t="n">
        <v>20.4789</v>
      </c>
      <c r="E1189" s="11" t="n">
        <v>20.6482</v>
      </c>
      <c r="F1189" s="12" t="n">
        <f aca="false">IF(C1189="","",B1189/C1189)</f>
        <v>1201.09562527962</v>
      </c>
      <c r="G1189" s="12" t="n">
        <f aca="false">MEDIAN(F1179:F1199)</f>
        <v>1202.63575157943</v>
      </c>
      <c r="H1189" s="13" t="n">
        <f aca="false">B1189/G1189</f>
        <v>20.5372657245246</v>
      </c>
      <c r="I1189" s="14" t="n">
        <f aca="false">B1189/Summary!$C$8*100</f>
        <v>247.505787095029</v>
      </c>
      <c r="J1189" s="14" t="n">
        <f aca="false">G1189/Summary!$E$8*100</f>
        <v>204.394949774066</v>
      </c>
      <c r="K1189" s="15" t="n">
        <f aca="false">Summary!$D$9</f>
        <v>16.9374488591431</v>
      </c>
      <c r="L1189" s="16" t="str">
        <f aca="false">IF(OR(D1189="",E1189=""),"edge hidden",IF(AND(H1189&gt;=D1189-0.02,H1189&lt;=E1189+0.02),"yes","no"))</f>
        <v>yes</v>
      </c>
    </row>
    <row r="1190" customFormat="false" ht="15" hidden="false" customHeight="false" outlineLevel="0" collapsed="false">
      <c r="A1190" s="9" t="n">
        <v>45525</v>
      </c>
      <c r="B1190" s="10" t="n">
        <v>24770.2</v>
      </c>
      <c r="C1190" s="11" t="n">
        <v>20.5754</v>
      </c>
      <c r="D1190" s="11" t="n">
        <v>20.4947</v>
      </c>
      <c r="E1190" s="11" t="n">
        <v>20.6561</v>
      </c>
      <c r="F1190" s="12" t="n">
        <f aca="false">IF(C1190="","",B1190/C1190)</f>
        <v>1203.87452977828</v>
      </c>
      <c r="G1190" s="12" t="n">
        <f aca="false">MEDIAN(F1180:F1200)</f>
        <v>1203.47075235713</v>
      </c>
      <c r="H1190" s="13" t="n">
        <f aca="false">B1190/G1190</f>
        <v>20.5823032686792</v>
      </c>
      <c r="I1190" s="14" t="n">
        <f aca="false">B1190/Summary!$C$8*100</f>
        <v>248.220781433195</v>
      </c>
      <c r="J1190" s="14" t="n">
        <f aca="false">G1190/Summary!$E$8*100</f>
        <v>204.536863019033</v>
      </c>
      <c r="K1190" s="15" t="n">
        <f aca="false">Summary!$D$9</f>
        <v>16.9374488591431</v>
      </c>
      <c r="L1190" s="16" t="str">
        <f aca="false">IF(OR(D1190="",E1190=""),"edge hidden",IF(AND(H1190&gt;=D1190-0.02,H1190&lt;=E1190+0.02),"yes","no"))</f>
        <v>yes</v>
      </c>
    </row>
    <row r="1191" customFormat="false" ht="15" hidden="false" customHeight="false" outlineLevel="0" collapsed="false">
      <c r="A1191" s="9" t="n">
        <v>45526</v>
      </c>
      <c r="B1191" s="10" t="n">
        <v>24811.5</v>
      </c>
      <c r="C1191" s="11" t="n">
        <v>20.658</v>
      </c>
      <c r="D1191" s="11" t="n">
        <v>20.5813</v>
      </c>
      <c r="E1191" s="11" t="n">
        <v>20.7348</v>
      </c>
      <c r="F1191" s="12" t="n">
        <f aca="false">IF(C1191="","",B1191/C1191)</f>
        <v>1201.06012198664</v>
      </c>
      <c r="G1191" s="12" t="n">
        <f aca="false">MEDIAN(F1181:F1201)</f>
        <v>1203.76857137366</v>
      </c>
      <c r="H1191" s="13" t="n">
        <f aca="false">B1191/G1191</f>
        <v>20.6115200130926</v>
      </c>
      <c r="I1191" s="14" t="n">
        <f aca="false">B1191/Summary!$C$8*100</f>
        <v>248.634646410999</v>
      </c>
      <c r="J1191" s="14" t="n">
        <f aca="false">G1191/Summary!$E$8*100</f>
        <v>204.587479095301</v>
      </c>
      <c r="K1191" s="15" t="n">
        <f aca="false">Summary!$D$9</f>
        <v>16.9374488591431</v>
      </c>
      <c r="L1191" s="16" t="str">
        <f aca="false">IF(OR(D1191="",E1191=""),"edge hidden",IF(AND(H1191&gt;=D1191-0.02,H1191&lt;=E1191+0.02),"yes","no"))</f>
        <v>yes</v>
      </c>
    </row>
    <row r="1192" customFormat="false" ht="15" hidden="false" customHeight="false" outlineLevel="0" collapsed="false">
      <c r="A1192" s="9" t="n">
        <v>45527</v>
      </c>
      <c r="B1192" s="10" t="n">
        <v>24823.15</v>
      </c>
      <c r="C1192" s="11" t="n">
        <v>20.6817</v>
      </c>
      <c r="D1192" s="11" t="n">
        <v>20.6206</v>
      </c>
      <c r="E1192" s="11" t="n">
        <v>20.7427</v>
      </c>
      <c r="F1192" s="12" t="n">
        <f aca="false">IF(C1192="","",B1192/C1192)</f>
        <v>1200.24707833495</v>
      </c>
      <c r="G1192" s="12" t="n">
        <f aca="false">MEDIAN(F1182:F1202)</f>
        <v>1203.87452977828</v>
      </c>
      <c r="H1192" s="13" t="n">
        <f aca="false">B1192/G1192</f>
        <v>20.6193829888334</v>
      </c>
      <c r="I1192" s="14" t="n">
        <f aca="false">B1192/Summary!$C$8*100</f>
        <v>248.751390405948</v>
      </c>
      <c r="J1192" s="14" t="n">
        <f aca="false">G1192/Summary!$E$8*100</f>
        <v>204.605487343237</v>
      </c>
      <c r="K1192" s="15" t="n">
        <f aca="false">Summary!$D$9</f>
        <v>16.9374488591431</v>
      </c>
      <c r="L1192" s="16" t="str">
        <f aca="false">IF(OR(D1192="",E1192=""),"edge hidden",IF(AND(H1192&gt;=D1192-0.02,H1192&lt;=E1192+0.02),"yes","no"))</f>
        <v>yes</v>
      </c>
    </row>
    <row r="1193" customFormat="false" ht="15" hidden="false" customHeight="false" outlineLevel="0" collapsed="false">
      <c r="A1193" s="9" t="n">
        <v>45530</v>
      </c>
      <c r="B1193" s="10" t="n">
        <v>25010.6</v>
      </c>
      <c r="C1193" s="11" t="n">
        <v>20.7486</v>
      </c>
      <c r="D1193" s="11" t="n">
        <v>20.6443</v>
      </c>
      <c r="E1193" s="11" t="n">
        <v>20.8529</v>
      </c>
      <c r="F1193" s="12" t="n">
        <f aca="false">IF(C1193="","",B1193/C1193)</f>
        <v>1205.41144944719</v>
      </c>
      <c r="G1193" s="12" t="n">
        <f aca="false">MEDIAN(F1183:F1203)</f>
        <v>1203.8862292312</v>
      </c>
      <c r="H1193" s="13" t="n">
        <f aca="false">B1193/G1193</f>
        <v>20.7748866900585</v>
      </c>
      <c r="I1193" s="14" t="n">
        <f aca="false">B1193/Summary!$C$8*100</f>
        <v>250.629816316101</v>
      </c>
      <c r="J1193" s="14" t="n">
        <f aca="false">G1193/Summary!$E$8*100</f>
        <v>204.607475733396</v>
      </c>
      <c r="K1193" s="15" t="n">
        <f aca="false">Summary!$D$9</f>
        <v>16.9374488591431</v>
      </c>
      <c r="L1193" s="16" t="str">
        <f aca="false">IF(OR(D1193="",E1193=""),"edge hidden",IF(AND(H1193&gt;=D1193-0.02,H1193&lt;=E1193+0.02),"yes","no"))</f>
        <v>yes</v>
      </c>
    </row>
    <row r="1194" customFormat="false" ht="15" hidden="false" customHeight="false" outlineLevel="0" collapsed="false">
      <c r="A1194" s="9" t="n">
        <v>45531</v>
      </c>
      <c r="B1194" s="10" t="n">
        <v>25017.75</v>
      </c>
      <c r="C1194" s="11" t="n">
        <v>20.788</v>
      </c>
      <c r="D1194" s="11" t="n">
        <v>20.6915</v>
      </c>
      <c r="E1194" s="11" t="n">
        <v>20.8844</v>
      </c>
      <c r="F1194" s="12" t="n">
        <f aca="false">IF(C1194="","",B1194/C1194)</f>
        <v>1203.47075235713</v>
      </c>
      <c r="G1194" s="12" t="n">
        <f aca="false">MEDIAN(F1184:F1204)</f>
        <v>1205.41144944719</v>
      </c>
      <c r="H1194" s="13" t="n">
        <f aca="false">B1194/G1194</f>
        <v>20.7545315846081</v>
      </c>
      <c r="I1194" s="14" t="n">
        <f aca="false">B1194/Summary!$C$8*100</f>
        <v>250.701466064074</v>
      </c>
      <c r="J1194" s="14" t="n">
        <f aca="false">G1194/Summary!$E$8*100</f>
        <v>204.866695791532</v>
      </c>
      <c r="K1194" s="15" t="n">
        <f aca="false">Summary!$D$9</f>
        <v>16.9374488591431</v>
      </c>
      <c r="L1194" s="16" t="str">
        <f aca="false">IF(OR(D1194="",E1194=""),"edge hidden",IF(AND(H1194&gt;=D1194-0.02,H1194&lt;=E1194+0.02),"yes","no"))</f>
        <v>yes</v>
      </c>
    </row>
    <row r="1195" customFormat="false" ht="15" hidden="false" customHeight="false" outlineLevel="0" collapsed="false">
      <c r="A1195" s="9" t="n">
        <v>45532</v>
      </c>
      <c r="B1195" s="10" t="n">
        <v>25052.35</v>
      </c>
      <c r="C1195" s="11" t="n">
        <v>20.8116</v>
      </c>
      <c r="D1195" s="11" t="n">
        <v>20.7309</v>
      </c>
      <c r="E1195" s="11" t="n">
        <v>20.8923</v>
      </c>
      <c r="F1195" s="12" t="n">
        <f aca="false">IF(C1195="","",B1195/C1195)</f>
        <v>1203.76857137366</v>
      </c>
      <c r="G1195" s="12" t="n">
        <f aca="false">MEDIAN(F1185:F1205)</f>
        <v>1206.13112498157</v>
      </c>
      <c r="H1195" s="13" t="n">
        <f aca="false">B1195/G1195</f>
        <v>20.7708345146825</v>
      </c>
      <c r="I1195" s="14" t="n">
        <f aca="false">B1195/Summary!$C$8*100</f>
        <v>251.048190718602</v>
      </c>
      <c r="J1195" s="14" t="n">
        <f aca="false">G1195/Summary!$E$8*100</f>
        <v>204.989008839776</v>
      </c>
      <c r="K1195" s="15" t="n">
        <f aca="false">Summary!$D$9</f>
        <v>16.9374488591431</v>
      </c>
      <c r="L1195" s="16" t="str">
        <f aca="false">IF(OR(D1195="",E1195=""),"edge hidden",IF(AND(H1195&gt;=D1195-0.02,H1195&lt;=E1195+0.02),"yes","no"))</f>
        <v>yes</v>
      </c>
    </row>
    <row r="1196" customFormat="false" ht="15" hidden="false" customHeight="false" outlineLevel="0" collapsed="false">
      <c r="A1196" s="9" t="n">
        <v>45533</v>
      </c>
      <c r="B1196" s="10" t="n">
        <v>25151.95</v>
      </c>
      <c r="C1196" s="11" t="n">
        <v>20.8234</v>
      </c>
      <c r="D1196" s="11" t="n">
        <v>20.7545</v>
      </c>
      <c r="E1196" s="11" t="n">
        <v>20.8923</v>
      </c>
      <c r="F1196" s="12" t="n">
        <f aca="false">IF(C1196="","",B1196/C1196)</f>
        <v>1207.86951218341</v>
      </c>
      <c r="G1196" s="12" t="n">
        <f aca="false">MEDIAN(F1186:F1206)</f>
        <v>1206.70207962088</v>
      </c>
      <c r="H1196" s="13" t="n">
        <f aca="false">B1196/G1196</f>
        <v>20.8435457473498</v>
      </c>
      <c r="I1196" s="14" t="n">
        <f aca="false">B1196/Summary!$C$8*100</f>
        <v>252.046276718341</v>
      </c>
      <c r="J1196" s="14" t="n">
        <f aca="false">G1196/Summary!$E$8*100</f>
        <v>205.086045905797</v>
      </c>
      <c r="K1196" s="15" t="n">
        <f aca="false">Summary!$D$9</f>
        <v>16.9374488591431</v>
      </c>
      <c r="L1196" s="16" t="str">
        <f aca="false">IF(OR(D1196="",E1196=""),"edge hidden",IF(AND(H1196&gt;=D1196-0.02,H1196&lt;=E1196+0.02),"yes","no"))</f>
        <v>yes</v>
      </c>
    </row>
    <row r="1197" customFormat="false" ht="15" hidden="false" customHeight="false" outlineLevel="0" collapsed="false">
      <c r="A1197" s="9" t="n">
        <v>45534</v>
      </c>
      <c r="B1197" s="10" t="n">
        <v>25235.9</v>
      </c>
      <c r="C1197" s="11" t="n">
        <v>20.8313</v>
      </c>
      <c r="D1197" s="11" t="n">
        <v>20.7624</v>
      </c>
      <c r="E1197" s="11" t="n">
        <v>20.9002</v>
      </c>
      <c r="F1197" s="12" t="n">
        <f aca="false">IF(C1197="","",B1197/C1197)</f>
        <v>1211.44143668422</v>
      </c>
      <c r="G1197" s="12" t="n">
        <f aca="false">MEDIAN(F1187:F1207)</f>
        <v>1207.86951218341</v>
      </c>
      <c r="H1197" s="13" t="n">
        <f aca="false">B1197/G1197</f>
        <v>20.8929025407573</v>
      </c>
      <c r="I1197" s="14" t="n">
        <f aca="false">B1197/Summary!$C$8*100</f>
        <v>252.887534948041</v>
      </c>
      <c r="J1197" s="14" t="n">
        <f aca="false">G1197/Summary!$E$8*100</f>
        <v>205.284457868579</v>
      </c>
      <c r="K1197" s="15" t="n">
        <f aca="false">Summary!$D$9</f>
        <v>16.9374488591431</v>
      </c>
      <c r="L1197" s="16" t="str">
        <f aca="false">IF(OR(D1197="",E1197=""),"edge hidden",IF(AND(H1197&gt;=D1197-0.02,H1197&lt;=E1197+0.02),"yes","no"))</f>
        <v>yes</v>
      </c>
    </row>
    <row r="1198" customFormat="false" ht="15" hidden="false" customHeight="false" outlineLevel="0" collapsed="false">
      <c r="A1198" s="9" t="n">
        <v>45537</v>
      </c>
      <c r="B1198" s="10" t="n">
        <v>25278.7</v>
      </c>
      <c r="C1198" s="11" t="n">
        <v>20.6738</v>
      </c>
      <c r="D1198" s="11" t="n">
        <v>20.4553</v>
      </c>
      <c r="E1198" s="11" t="n">
        <v>20.8923</v>
      </c>
      <c r="F1198" s="12" t="n">
        <f aca="false">IF(C1198="","",B1198/C1198)</f>
        <v>1222.7408604127</v>
      </c>
      <c r="G1198" s="12" t="n">
        <f aca="false">MEDIAN(F1188:F1208)</f>
        <v>1208.77092560163</v>
      </c>
      <c r="H1198" s="13" t="n">
        <f aca="false">B1198/G1198</f>
        <v>20.9127300008628</v>
      </c>
      <c r="I1198" s="14" t="n">
        <f aca="false">B1198/Summary!$C$8*100</f>
        <v>253.316431341504</v>
      </c>
      <c r="J1198" s="14" t="n">
        <f aca="false">G1198/Summary!$E$8*100</f>
        <v>205.43765832857</v>
      </c>
      <c r="K1198" s="15" t="n">
        <f aca="false">Summary!$D$9</f>
        <v>16.9374488591431</v>
      </c>
      <c r="L1198" s="16" t="str">
        <f aca="false">IF(OR(D1198="",E1198=""),"edge hidden",IF(AND(H1198&gt;=D1198-0.02,H1198&lt;=E1198+0.02),"yes","no"))</f>
        <v>no</v>
      </c>
    </row>
    <row r="1199" customFormat="false" ht="15" hidden="false" customHeight="false" outlineLevel="0" collapsed="false">
      <c r="A1199" s="9" t="n">
        <v>45538</v>
      </c>
      <c r="B1199" s="10" t="n">
        <v>25279.85</v>
      </c>
      <c r="C1199" s="11" t="n">
        <v>20.658</v>
      </c>
      <c r="D1199" s="11" t="n">
        <v>20.4238</v>
      </c>
      <c r="E1199" s="11" t="n">
        <v>20.8923</v>
      </c>
      <c r="F1199" s="12" t="n">
        <f aca="false">IF(C1199="","",B1199/C1199)</f>
        <v>1223.73172620776</v>
      </c>
      <c r="G1199" s="12" t="n">
        <f aca="false">MEDIAN(F1189:F1209)</f>
        <v>1210.79285849547</v>
      </c>
      <c r="H1199" s="13" t="n">
        <f aca="false">B1199/G1199</f>
        <v>20.8787571074814</v>
      </c>
      <c r="I1199" s="14" t="n">
        <f aca="false">B1199/Summary!$C$8*100</f>
        <v>253.327955426842</v>
      </c>
      <c r="J1199" s="14" t="n">
        <f aca="false">G1199/Summary!$E$8*100</f>
        <v>205.781297599013</v>
      </c>
      <c r="K1199" s="15" t="n">
        <f aca="false">Summary!$D$9</f>
        <v>16.9374488591431</v>
      </c>
      <c r="L1199" s="16" t="str">
        <f aca="false">IF(OR(D1199="",E1199=""),"edge hidden",IF(AND(H1199&gt;=D1199-0.02,H1199&lt;=E1199+0.02),"yes","no"))</f>
        <v>yes</v>
      </c>
    </row>
    <row r="1200" customFormat="false" ht="15" hidden="false" customHeight="false" outlineLevel="0" collapsed="false">
      <c r="A1200" s="9" t="n">
        <v>45539</v>
      </c>
      <c r="B1200" s="10" t="n">
        <v>25198.7</v>
      </c>
      <c r="C1200" s="11" t="n">
        <v>20.6384</v>
      </c>
      <c r="D1200" s="11" t="n">
        <v>20.4002</v>
      </c>
      <c r="E1200" s="11" t="n">
        <v>20.8765</v>
      </c>
      <c r="F1200" s="12" t="n">
        <f aca="false">IF(C1200="","",B1200/C1200)</f>
        <v>1220.96189627103</v>
      </c>
      <c r="G1200" s="12" t="n">
        <f aca="false">MEDIAN(F1190:F1210)</f>
        <v>1211.44143668422</v>
      </c>
      <c r="H1200" s="13" t="n">
        <f aca="false">B1200/G1200</f>
        <v>20.8005927789379</v>
      </c>
      <c r="I1200" s="14" t="n">
        <f aca="false">B1200/Summary!$C$8*100</f>
        <v>252.514755839705</v>
      </c>
      <c r="J1200" s="14" t="n">
        <f aca="false">G1200/Summary!$E$8*100</f>
        <v>205.891527239319</v>
      </c>
      <c r="K1200" s="15" t="n">
        <f aca="false">Summary!$D$9</f>
        <v>16.9374488591431</v>
      </c>
      <c r="L1200" s="16" t="str">
        <f aca="false">IF(OR(D1200="",E1200=""),"edge hidden",IF(AND(H1200&gt;=D1200-0.02,H1200&lt;=E1200+0.02),"yes","no"))</f>
        <v>yes</v>
      </c>
    </row>
    <row r="1201" customFormat="false" ht="15" hidden="false" customHeight="false" outlineLevel="0" collapsed="false">
      <c r="A1201" s="9" t="n">
        <v>45540</v>
      </c>
      <c r="B1201" s="10" t="n">
        <v>25145.1</v>
      </c>
      <c r="C1201" s="11" t="n">
        <v>20.6265</v>
      </c>
      <c r="D1201" s="11" t="n">
        <v>20.4002</v>
      </c>
      <c r="E1201" s="11" t="n">
        <v>20.8529</v>
      </c>
      <c r="F1201" s="12" t="n">
        <f aca="false">IF(C1201="","",B1201/C1201)</f>
        <v>1219.06770416697</v>
      </c>
      <c r="G1201" s="12" t="n">
        <f aca="false">MEDIAN(F1191:F1211)</f>
        <v>1215.41627634945</v>
      </c>
      <c r="H1201" s="13" t="n">
        <f aca="false">B1201/G1201</f>
        <v>20.6884673912089</v>
      </c>
      <c r="I1201" s="14" t="n">
        <f aca="false">B1201/Summary!$C$8*100</f>
        <v>251.9776332535</v>
      </c>
      <c r="J1201" s="14" t="n">
        <f aca="false">G1201/Summary!$E$8*100</f>
        <v>206.567074388708</v>
      </c>
      <c r="K1201" s="15" t="n">
        <f aca="false">Summary!$D$9</f>
        <v>16.9374488591431</v>
      </c>
      <c r="L1201" s="16" t="str">
        <f aca="false">IF(OR(D1201="",E1201=""),"edge hidden",IF(AND(H1201&gt;=D1201-0.02,H1201&lt;=E1201+0.02),"yes","no"))</f>
        <v>yes</v>
      </c>
    </row>
    <row r="1202" customFormat="false" ht="15" hidden="false" customHeight="false" outlineLevel="0" collapsed="false">
      <c r="A1202" s="9" t="n">
        <v>45541</v>
      </c>
      <c r="B1202" s="10" t="n">
        <v>24852.15</v>
      </c>
      <c r="C1202" s="11" t="n">
        <v>20.5951</v>
      </c>
      <c r="D1202" s="11" t="n">
        <v>20.3923</v>
      </c>
      <c r="E1202" s="11" t="n">
        <v>20.7978</v>
      </c>
      <c r="F1202" s="12" t="n">
        <f aca="false">IF(C1202="","",B1202/C1202)</f>
        <v>1206.70207962088</v>
      </c>
      <c r="G1202" s="12" t="n">
        <f aca="false">MEDIAN(F1192:F1212)</f>
        <v>1215.48722369902</v>
      </c>
      <c r="H1202" s="13" t="n">
        <f aca="false">B1202/G1202</f>
        <v>20.4462453536689</v>
      </c>
      <c r="I1202" s="14" t="n">
        <f aca="false">B1202/Summary!$C$8*100</f>
        <v>249.041997775351</v>
      </c>
      <c r="J1202" s="14" t="n">
        <f aca="false">G1202/Summary!$E$8*100</f>
        <v>206.579132303945</v>
      </c>
      <c r="K1202" s="15" t="n">
        <f aca="false">Summary!$D$9</f>
        <v>16.9374488591431</v>
      </c>
      <c r="L1202" s="16" t="str">
        <f aca="false">IF(OR(D1202="",E1202=""),"edge hidden",IF(AND(H1202&gt;=D1202-0.02,H1202&lt;=E1202+0.02),"yes","no"))</f>
        <v>yes</v>
      </c>
    </row>
    <row r="1203" customFormat="false" ht="15" hidden="false" customHeight="false" outlineLevel="0" collapsed="false">
      <c r="A1203" s="9" t="n">
        <v>45544</v>
      </c>
      <c r="B1203" s="10" t="n">
        <v>24936.4</v>
      </c>
      <c r="C1203" s="11" t="n">
        <v>20.5951</v>
      </c>
      <c r="D1203" s="11" t="n">
        <v>20.4002</v>
      </c>
      <c r="E1203" s="11" t="n">
        <v>20.7899</v>
      </c>
      <c r="F1203" s="12" t="n">
        <f aca="false">IF(C1203="","",B1203/C1203)</f>
        <v>1210.79285849547</v>
      </c>
      <c r="G1203" s="12" t="n">
        <f aca="false">MEDIAN(F1193:F1213)</f>
        <v>1216.63164243692</v>
      </c>
      <c r="H1203" s="13" t="n">
        <f aca="false">B1203/G1203</f>
        <v>20.4962612595315</v>
      </c>
      <c r="I1203" s="14" t="n">
        <f aca="false">B1203/Summary!$C$8*100</f>
        <v>249.886262288182</v>
      </c>
      <c r="J1203" s="14" t="n">
        <f aca="false">G1203/Summary!$E$8*100</f>
        <v>206.773632933205</v>
      </c>
      <c r="K1203" s="15" t="n">
        <f aca="false">Summary!$D$9</f>
        <v>16.9374488591431</v>
      </c>
      <c r="L1203" s="16" t="str">
        <f aca="false">IF(OR(D1203="",E1203=""),"edge hidden",IF(AND(H1203&gt;=D1203-0.02,H1203&lt;=E1203+0.02),"yes","no"))</f>
        <v>yes</v>
      </c>
    </row>
    <row r="1204" customFormat="false" ht="15" hidden="false" customHeight="false" outlineLevel="0" collapsed="false">
      <c r="A1204" s="9" t="n">
        <v>45545</v>
      </c>
      <c r="B1204" s="10" t="n">
        <v>25041.1</v>
      </c>
      <c r="C1204" s="11" t="n">
        <v>20.6029</v>
      </c>
      <c r="D1204" s="11" t="n">
        <v>20.408</v>
      </c>
      <c r="E1204" s="11" t="n">
        <v>20.7978</v>
      </c>
      <c r="F1204" s="12" t="n">
        <f aca="false">IF(C1204="","",B1204/C1204)</f>
        <v>1215.41627634945</v>
      </c>
      <c r="G1204" s="12" t="n">
        <f aca="false">MEDIAN(F1194:F1214)</f>
        <v>1218.36714151504</v>
      </c>
      <c r="H1204" s="13" t="n">
        <f aca="false">B1204/G1204</f>
        <v>20.5530001152701</v>
      </c>
      <c r="I1204" s="14" t="n">
        <f aca="false">B1204/Summary!$C$8*100</f>
        <v>250.935455101161</v>
      </c>
      <c r="J1204" s="14" t="n">
        <f aca="false">G1204/Summary!$E$8*100</f>
        <v>207.068591108563</v>
      </c>
      <c r="K1204" s="15" t="n">
        <f aca="false">Summary!$D$9</f>
        <v>16.9374488591431</v>
      </c>
      <c r="L1204" s="16" t="str">
        <f aca="false">IF(OR(D1204="",E1204=""),"edge hidden",IF(AND(H1204&gt;=D1204-0.02,H1204&lt;=E1204+0.02),"yes","no"))</f>
        <v>yes</v>
      </c>
    </row>
    <row r="1205" customFormat="false" ht="15" hidden="false" customHeight="false" outlineLevel="0" collapsed="false">
      <c r="A1205" s="9" t="n">
        <v>45546</v>
      </c>
      <c r="B1205" s="10" t="n">
        <v>24918.45</v>
      </c>
      <c r="C1205" s="11" t="n">
        <v>20.6147</v>
      </c>
      <c r="D1205" s="11" t="n">
        <v>20.4317</v>
      </c>
      <c r="E1205" s="11" t="n">
        <v>20.7978</v>
      </c>
      <c r="F1205" s="12" t="n">
        <f aca="false">IF(C1205="","",B1205/C1205)</f>
        <v>1208.77092560163</v>
      </c>
      <c r="G1205" s="12" t="n">
        <f aca="false">MEDIAN(F1195:F1215)</f>
        <v>1218.77295664825</v>
      </c>
      <c r="H1205" s="13" t="n">
        <f aca="false">B1205/G1205</f>
        <v>20.4455225758605</v>
      </c>
      <c r="I1205" s="14" t="n">
        <f aca="false">B1205/Summary!$C$8*100</f>
        <v>249.706386347466</v>
      </c>
      <c r="J1205" s="14" t="n">
        <f aca="false">G1205/Summary!$E$8*100</f>
        <v>207.137561753798</v>
      </c>
      <c r="K1205" s="15" t="n">
        <f aca="false">Summary!$D$9</f>
        <v>16.9374488591431</v>
      </c>
      <c r="L1205" s="16" t="str">
        <f aca="false">IF(OR(D1205="",E1205=""),"edge hidden",IF(AND(H1205&gt;=D1205-0.02,H1205&lt;=E1205+0.02),"yes","no"))</f>
        <v>yes</v>
      </c>
    </row>
    <row r="1206" customFormat="false" ht="15" hidden="false" customHeight="false" outlineLevel="0" collapsed="false">
      <c r="A1206" s="9" t="n">
        <v>45547</v>
      </c>
      <c r="B1206" s="10" t="n">
        <v>25388.9</v>
      </c>
      <c r="C1206" s="11" t="n">
        <v>20.6187</v>
      </c>
      <c r="D1206" s="11" t="n">
        <v>20.4395</v>
      </c>
      <c r="E1206" s="11" t="n">
        <v>20.7978</v>
      </c>
      <c r="F1206" s="12" t="n">
        <f aca="false">IF(C1206="","",B1206/C1206)</f>
        <v>1231.35309209601</v>
      </c>
      <c r="G1206" s="12" t="n">
        <f aca="false">MEDIAN(F1196:F1216)</f>
        <v>1219.06770416697</v>
      </c>
      <c r="H1206" s="13" t="n">
        <f aca="false">B1206/G1206</f>
        <v>20.8264888924681</v>
      </c>
      <c r="I1206" s="14" t="n">
        <f aca="false">B1206/Summary!$C$8*100</f>
        <v>254.420739345232</v>
      </c>
      <c r="J1206" s="14" t="n">
        <f aca="false">G1206/Summary!$E$8*100</f>
        <v>207.187655811127</v>
      </c>
      <c r="K1206" s="15" t="n">
        <f aca="false">Summary!$D$9</f>
        <v>16.9374488591431</v>
      </c>
      <c r="L1206" s="16" t="str">
        <f aca="false">IF(OR(D1206="",E1206=""),"edge hidden",IF(AND(H1206&gt;=D1206-0.02,H1206&lt;=E1206+0.02),"yes","no"))</f>
        <v>no</v>
      </c>
    </row>
    <row r="1207" customFormat="false" ht="15" hidden="false" customHeight="false" outlineLevel="0" collapsed="false">
      <c r="A1207" s="9" t="n">
        <v>45548</v>
      </c>
      <c r="B1207" s="10" t="n">
        <v>25356.5</v>
      </c>
      <c r="C1207" s="11" t="n">
        <v>20.6265</v>
      </c>
      <c r="D1207" s="11" t="n">
        <v>20.4553</v>
      </c>
      <c r="E1207" s="11" t="n">
        <v>20.7978</v>
      </c>
      <c r="F1207" s="12" t="n">
        <f aca="false">IF(C1207="","",B1207/C1207)</f>
        <v>1229.31665575837</v>
      </c>
      <c r="G1207" s="12" t="n">
        <f aca="false">MEDIAN(F1197:F1217)</f>
        <v>1220.96189627103</v>
      </c>
      <c r="H1207" s="13" t="n">
        <f aca="false">B1207/G1207</f>
        <v>20.7676423625028</v>
      </c>
      <c r="I1207" s="14" t="n">
        <f aca="false">B1207/Summary!$C$8*100</f>
        <v>254.096060767003</v>
      </c>
      <c r="J1207" s="14" t="n">
        <f aca="false">G1207/Summary!$E$8*100</f>
        <v>207.509584790423</v>
      </c>
      <c r="K1207" s="15" t="n">
        <f aca="false">Summary!$D$9</f>
        <v>16.9374488591431</v>
      </c>
      <c r="L1207" s="16" t="str">
        <f aca="false">IF(OR(D1207="",E1207=""),"edge hidden",IF(AND(H1207&gt;=D1207-0.02,H1207&lt;=E1207+0.02),"yes","no"))</f>
        <v>yes</v>
      </c>
    </row>
    <row r="1208" customFormat="false" ht="15" hidden="false" customHeight="false" outlineLevel="0" collapsed="false">
      <c r="A1208" s="9" t="n">
        <v>45551</v>
      </c>
      <c r="B1208" s="10" t="n">
        <v>25383.75</v>
      </c>
      <c r="C1208" s="11" t="n">
        <v>20.8273</v>
      </c>
      <c r="D1208" s="11" t="n">
        <v>20.7073</v>
      </c>
      <c r="E1208" s="11" t="n">
        <v>20.9474</v>
      </c>
      <c r="F1208" s="12" t="n">
        <f aca="false">IF(C1208="","",B1208/C1208)</f>
        <v>1218.77295664825</v>
      </c>
      <c r="G1208" s="12" t="n">
        <f aca="false">MEDIAN(F1198:F1218)</f>
        <v>1222.7408604127</v>
      </c>
      <c r="H1208" s="13" t="n">
        <f aca="false">B1208/G1208</f>
        <v>20.759713543418</v>
      </c>
      <c r="I1208" s="14" t="n">
        <f aca="false">B1208/Summary!$C$8*100</f>
        <v>254.369131484803</v>
      </c>
      <c r="J1208" s="14" t="n">
        <f aca="false">G1208/Summary!$E$8*100</f>
        <v>207.811930106458</v>
      </c>
      <c r="K1208" s="15" t="n">
        <f aca="false">Summary!$D$9</f>
        <v>16.9374488591431</v>
      </c>
      <c r="L1208" s="16" t="str">
        <f aca="false">IF(OR(D1208="",E1208=""),"edge hidden",IF(AND(H1208&gt;=D1208-0.02,H1208&lt;=E1208+0.02),"yes","no"))</f>
        <v>yes</v>
      </c>
    </row>
    <row r="1209" customFormat="false" ht="15" hidden="false" customHeight="false" outlineLevel="0" collapsed="false">
      <c r="A1209" s="9" t="n">
        <v>45552</v>
      </c>
      <c r="B1209" s="10" t="n">
        <v>25418.55</v>
      </c>
      <c r="C1209" s="11" t="n">
        <v>20.8628</v>
      </c>
      <c r="D1209" s="11" t="n">
        <v>20.7073</v>
      </c>
      <c r="E1209" s="11" t="n">
        <v>21.0183</v>
      </c>
      <c r="F1209" s="12" t="n">
        <f aca="false">IF(C1209="","",B1209/C1209)</f>
        <v>1218.36714151504</v>
      </c>
      <c r="G1209" s="12" t="n">
        <f aca="false">MEDIAN(F1199:F1219)</f>
        <v>1222.8423811589</v>
      </c>
      <c r="H1209" s="13" t="n">
        <f aca="false">B1209/G1209</f>
        <v>20.786448353148</v>
      </c>
      <c r="I1209" s="14" t="n">
        <f aca="false">B1209/Summary!$C$8*100</f>
        <v>254.717860328086</v>
      </c>
      <c r="J1209" s="14" t="n">
        <f aca="false">G1209/Summary!$E$8*100</f>
        <v>207.829184148502</v>
      </c>
      <c r="K1209" s="15" t="n">
        <f aca="false">Summary!$D$9</f>
        <v>16.9374488591431</v>
      </c>
      <c r="L1209" s="16" t="str">
        <f aca="false">IF(OR(D1209="",E1209=""),"edge hidden",IF(AND(H1209&gt;=D1209-0.02,H1209&lt;=E1209+0.02),"yes","no"))</f>
        <v>yes</v>
      </c>
    </row>
    <row r="1210" customFormat="false" ht="15" hidden="false" customHeight="false" outlineLevel="0" collapsed="false">
      <c r="A1210" s="9" t="n">
        <v>45553</v>
      </c>
      <c r="B1210" s="10" t="n">
        <v>25377.55</v>
      </c>
      <c r="C1210" s="11" t="n">
        <v>20.8785</v>
      </c>
      <c r="D1210" s="11" t="n">
        <v>20.7151</v>
      </c>
      <c r="E1210" s="11" t="n">
        <v>21.0419</v>
      </c>
      <c r="F1210" s="12" t="n">
        <f aca="false">IF(C1210="","",B1210/C1210)</f>
        <v>1215.48722369902</v>
      </c>
      <c r="G1210" s="12" t="n">
        <f aca="false">MEDIAN(F1200:F1220)</f>
        <v>1220.96189627103</v>
      </c>
      <c r="H1210" s="13" t="n">
        <f aca="false">B1210/G1210</f>
        <v>20.784882867767</v>
      </c>
      <c r="I1210" s="14" t="n">
        <f aca="false">B1210/Summary!$C$8*100</f>
        <v>254.307001633414</v>
      </c>
      <c r="J1210" s="14" t="n">
        <f aca="false">G1210/Summary!$E$8*100</f>
        <v>207.509584790423</v>
      </c>
      <c r="K1210" s="15" t="n">
        <f aca="false">Summary!$D$9</f>
        <v>16.9374488591431</v>
      </c>
      <c r="L1210" s="16" t="str">
        <f aca="false">IF(OR(D1210="",E1210=""),"edge hidden",IF(AND(H1210&gt;=D1210-0.02,H1210&lt;=E1210+0.02),"yes","no"))</f>
        <v>yes</v>
      </c>
    </row>
    <row r="1211" customFormat="false" ht="15" hidden="false" customHeight="false" outlineLevel="0" collapsed="false">
      <c r="A1211" s="9" t="n">
        <v>45554</v>
      </c>
      <c r="B1211" s="10" t="n">
        <v>25415.8</v>
      </c>
      <c r="C1211" s="11" t="n">
        <v>20.8903</v>
      </c>
      <c r="D1211" s="11" t="n">
        <v>20.7151</v>
      </c>
      <c r="E1211" s="11" t="n">
        <v>21.0655</v>
      </c>
      <c r="F1211" s="12" t="n">
        <f aca="false">IF(C1211="","",B1211/C1211)</f>
        <v>1216.63164243692</v>
      </c>
      <c r="G1211" s="12" t="n">
        <f aca="false">MEDIAN(F1201:F1221)</f>
        <v>1219.06770416697</v>
      </c>
      <c r="H1211" s="13" t="n">
        <f aca="false">B1211/G1211</f>
        <v>20.8485549351564</v>
      </c>
      <c r="I1211" s="14" t="n">
        <f aca="false">B1211/Summary!$C$8*100</f>
        <v>254.690302732711</v>
      </c>
      <c r="J1211" s="14" t="n">
        <f aca="false">G1211/Summary!$E$8*100</f>
        <v>207.187655811127</v>
      </c>
      <c r="K1211" s="15" t="n">
        <f aca="false">Summary!$D$9</f>
        <v>16.9374488591431</v>
      </c>
      <c r="L1211" s="16" t="str">
        <f aca="false">IF(OR(D1211="",E1211=""),"edge hidden",IF(AND(H1211&gt;=D1211-0.02,H1211&lt;=E1211+0.02),"yes","no"))</f>
        <v>yes</v>
      </c>
    </row>
    <row r="1212" customFormat="false" ht="15" hidden="false" customHeight="false" outlineLevel="0" collapsed="false">
      <c r="A1212" s="9" t="n">
        <v>45555</v>
      </c>
      <c r="B1212" s="10" t="n">
        <v>25790.95</v>
      </c>
      <c r="C1212" s="11" t="n">
        <v>20.9179</v>
      </c>
      <c r="D1212" s="11" t="n">
        <v>20.723</v>
      </c>
      <c r="E1212" s="11" t="n">
        <v>21.1128</v>
      </c>
      <c r="F1212" s="12" t="n">
        <f aca="false">IF(C1212="","",B1212/C1212)</f>
        <v>1232.96076566003</v>
      </c>
      <c r="G1212" s="12" t="n">
        <f aca="false">MEDIAN(F1202:F1222)</f>
        <v>1218.77295664825</v>
      </c>
      <c r="H1212" s="13" t="n">
        <f aca="false">B1212/G1212</f>
        <v>21.1614065272074</v>
      </c>
      <c r="I1212" s="14" t="n">
        <f aca="false">B1212/Summary!$C$8*100</f>
        <v>258.449659788959</v>
      </c>
      <c r="J1212" s="14" t="n">
        <f aca="false">G1212/Summary!$E$8*100</f>
        <v>207.137561753798</v>
      </c>
      <c r="K1212" s="15" t="n">
        <f aca="false">Summary!$D$9</f>
        <v>16.9374488591431</v>
      </c>
      <c r="L1212" s="16" t="str">
        <f aca="false">IF(OR(D1212="",E1212=""),"edge hidden",IF(AND(H1212&gt;=D1212-0.02,H1212&lt;=E1212+0.02),"yes","no"))</f>
        <v>no</v>
      </c>
    </row>
    <row r="1213" customFormat="false" ht="15" hidden="false" customHeight="false" outlineLevel="0" collapsed="false">
      <c r="A1213" s="9" t="n">
        <v>45558</v>
      </c>
      <c r="B1213" s="10" t="n">
        <v>25939.05</v>
      </c>
      <c r="C1213" s="11" t="n">
        <v>21.1895</v>
      </c>
      <c r="D1213" s="11" t="n">
        <v>21.0143</v>
      </c>
      <c r="E1213" s="11" t="n">
        <v>21.3647</v>
      </c>
      <c r="F1213" s="12" t="n">
        <f aca="false">IF(C1213="","",B1213/C1213)</f>
        <v>1224.14639326081</v>
      </c>
      <c r="G1213" s="12" t="n">
        <f aca="false">MEDIAN(F1203:F1223)</f>
        <v>1218.77295664825</v>
      </c>
      <c r="H1213" s="13" t="n">
        <f aca="false">B1213/G1213</f>
        <v>21.2829221870291</v>
      </c>
      <c r="I1213" s="14" t="n">
        <f aca="false">B1213/Summary!$C$8*100</f>
        <v>259.933761561664</v>
      </c>
      <c r="J1213" s="14" t="n">
        <f aca="false">G1213/Summary!$E$8*100</f>
        <v>207.137561753798</v>
      </c>
      <c r="K1213" s="15" t="n">
        <f aca="false">Summary!$D$9</f>
        <v>16.9374488591431</v>
      </c>
      <c r="L1213" s="16" t="str">
        <f aca="false">IF(OR(D1213="",E1213=""),"edge hidden",IF(AND(H1213&gt;=D1213-0.02,H1213&lt;=E1213+0.02),"yes","no"))</f>
        <v>yes</v>
      </c>
    </row>
    <row r="1214" customFormat="false" ht="15" hidden="false" customHeight="false" outlineLevel="0" collapsed="false">
      <c r="A1214" s="9" t="n">
        <v>45559</v>
      </c>
      <c r="B1214" s="10" t="n">
        <v>25940.4</v>
      </c>
      <c r="C1214" s="11" t="n">
        <v>21.2132</v>
      </c>
      <c r="D1214" s="11" t="n">
        <v>21.0458</v>
      </c>
      <c r="E1214" s="11" t="n">
        <v>21.3805</v>
      </c>
      <c r="F1214" s="12" t="n">
        <f aca="false">IF(C1214="","",B1214/C1214)</f>
        <v>1222.8423811589</v>
      </c>
      <c r="G1214" s="12" t="n">
        <f aca="false">MEDIAN(F1204:F1224)</f>
        <v>1218.77295664825</v>
      </c>
      <c r="H1214" s="13" t="n">
        <f aca="false">B1214/G1214</f>
        <v>21.2840298584725</v>
      </c>
      <c r="I1214" s="14" t="n">
        <f aca="false">B1214/Summary!$C$8*100</f>
        <v>259.947289835757</v>
      </c>
      <c r="J1214" s="14" t="n">
        <f aca="false">G1214/Summary!$E$8*100</f>
        <v>207.137561753798</v>
      </c>
      <c r="K1214" s="15" t="n">
        <f aca="false">Summary!$D$9</f>
        <v>16.9374488591431</v>
      </c>
      <c r="L1214" s="16" t="str">
        <f aca="false">IF(OR(D1214="",E1214=""),"edge hidden",IF(AND(H1214&gt;=D1214-0.02,H1214&lt;=E1214+0.02),"yes","no"))</f>
        <v>yes</v>
      </c>
    </row>
    <row r="1215" customFormat="false" ht="15" hidden="false" customHeight="false" outlineLevel="0" collapsed="false">
      <c r="A1215" s="9" t="n">
        <v>45560</v>
      </c>
      <c r="B1215" s="10" t="n">
        <v>26004.15</v>
      </c>
      <c r="C1215" s="11" t="n">
        <v>21.2407</v>
      </c>
      <c r="D1215" s="11" t="n">
        <v>21.101</v>
      </c>
      <c r="E1215" s="11" t="n">
        <v>21.3805</v>
      </c>
      <c r="F1215" s="12" t="n">
        <f aca="false">IF(C1215="","",B1215/C1215)</f>
        <v>1224.26049988936</v>
      </c>
      <c r="G1215" s="12" t="n">
        <f aca="false">MEDIAN(F1205:F1225)</f>
        <v>1218.77295664825</v>
      </c>
      <c r="H1215" s="13" t="n">
        <f aca="false">B1215/G1215</f>
        <v>21.3363365655193</v>
      </c>
      <c r="I1215" s="14" t="n">
        <f aca="false">B1215/Summary!$C$8*100</f>
        <v>260.586125001253</v>
      </c>
      <c r="J1215" s="14" t="n">
        <f aca="false">G1215/Summary!$E$8*100</f>
        <v>207.137561753798</v>
      </c>
      <c r="K1215" s="15" t="n">
        <f aca="false">Summary!$D$9</f>
        <v>16.9374488591431</v>
      </c>
      <c r="L1215" s="16" t="str">
        <f aca="false">IF(OR(D1215="",E1215=""),"edge hidden",IF(AND(H1215&gt;=D1215-0.02,H1215&lt;=E1215+0.02),"yes","no"))</f>
        <v>yes</v>
      </c>
    </row>
    <row r="1216" customFormat="false" ht="15" hidden="false" customHeight="false" outlineLevel="0" collapsed="false">
      <c r="A1216" s="9" t="n">
        <v>45561</v>
      </c>
      <c r="B1216" s="10" t="n">
        <v>26216.05</v>
      </c>
      <c r="C1216" s="11" t="n">
        <v>21.288</v>
      </c>
      <c r="D1216" s="11" t="n">
        <v>21.1797</v>
      </c>
      <c r="E1216" s="11" t="n">
        <v>21.3962</v>
      </c>
      <c r="F1216" s="12" t="n">
        <f aca="false">IF(C1216="","",B1216/C1216)</f>
        <v>1231.49426907178</v>
      </c>
      <c r="G1216" s="12" t="n">
        <f aca="false">MEDIAN(F1206:F1226)</f>
        <v>1218.77295664825</v>
      </c>
      <c r="H1216" s="13" t="n">
        <f aca="false">B1216/G1216</f>
        <v>21.5101999572561</v>
      </c>
      <c r="I1216" s="14" t="n">
        <f aca="false">B1216/Summary!$C$8*100</f>
        <v>262.709562986642</v>
      </c>
      <c r="J1216" s="14" t="n">
        <f aca="false">G1216/Summary!$E$8*100</f>
        <v>207.137561753798</v>
      </c>
      <c r="K1216" s="15" t="n">
        <f aca="false">Summary!$D$9</f>
        <v>16.9374488591431</v>
      </c>
      <c r="L1216" s="16" t="str">
        <f aca="false">IF(OR(D1216="",E1216=""),"edge hidden",IF(AND(H1216&gt;=D1216-0.02,H1216&lt;=E1216+0.02),"yes","no"))</f>
        <v>no</v>
      </c>
    </row>
    <row r="1217" customFormat="false" ht="15" hidden="false" customHeight="false" outlineLevel="0" collapsed="false">
      <c r="A1217" s="9" t="n">
        <v>45562</v>
      </c>
      <c r="B1217" s="10" t="n">
        <v>26178.95</v>
      </c>
      <c r="C1217" s="11" t="n">
        <v>21.2919</v>
      </c>
      <c r="D1217" s="11" t="n">
        <v>21.1797</v>
      </c>
      <c r="E1217" s="11" t="n">
        <v>21.4041</v>
      </c>
      <c r="F1217" s="12" t="n">
        <f aca="false">IF(C1217="","",B1217/C1217)</f>
        <v>1229.5262517671</v>
      </c>
      <c r="G1217" s="12" t="n">
        <f aca="false">MEDIAN(F1207:F1227)</f>
        <v>1218.36714151504</v>
      </c>
      <c r="H1217" s="13" t="n">
        <f aca="false">B1217/G1217</f>
        <v>21.4869140080768</v>
      </c>
      <c r="I1217" s="14" t="n">
        <f aca="false">B1217/Summary!$C$8*100</f>
        <v>262.337785972683</v>
      </c>
      <c r="J1217" s="14" t="n">
        <f aca="false">G1217/Summary!$E$8*100</f>
        <v>207.068591108563</v>
      </c>
      <c r="K1217" s="15" t="n">
        <f aca="false">Summary!$D$9</f>
        <v>16.9374488591431</v>
      </c>
      <c r="L1217" s="16" t="str">
        <f aca="false">IF(OR(D1217="",E1217=""),"edge hidden",IF(AND(H1217&gt;=D1217-0.02,H1217&lt;=E1217+0.02),"yes","no"))</f>
        <v>no</v>
      </c>
    </row>
    <row r="1218" customFormat="false" ht="15" hidden="false" customHeight="false" outlineLevel="0" collapsed="false">
      <c r="A1218" s="9" t="n">
        <v>45565</v>
      </c>
      <c r="B1218" s="10" t="n">
        <v>25810.85</v>
      </c>
      <c r="C1218" s="11" t="n">
        <v>21.099</v>
      </c>
      <c r="D1218" s="11" t="n">
        <v>20.7939</v>
      </c>
      <c r="E1218" s="11" t="n">
        <v>21.4041</v>
      </c>
      <c r="F1218" s="12" t="n">
        <f aca="false">IF(C1218="","",B1218/C1218)</f>
        <v>1223.32101047443</v>
      </c>
      <c r="G1218" s="12" t="n">
        <f aca="false">MEDIAN(F1208:F1228)</f>
        <v>1216.63164243692</v>
      </c>
      <c r="H1218" s="13" t="n">
        <f aca="false">B1218/G1218</f>
        <v>21.2150079775179</v>
      </c>
      <c r="I1218" s="14" t="n">
        <f aca="false">B1218/Summary!$C$8*100</f>
        <v>258.649076570031</v>
      </c>
      <c r="J1218" s="14" t="n">
        <f aca="false">G1218/Summary!$E$8*100</f>
        <v>206.773632933205</v>
      </c>
      <c r="K1218" s="15" t="n">
        <f aca="false">Summary!$D$9</f>
        <v>16.9374488591431</v>
      </c>
      <c r="L1218" s="16" t="str">
        <f aca="false">IF(OR(D1218="",E1218=""),"edge hidden",IF(AND(H1218&gt;=D1218-0.02,H1218&lt;=E1218+0.02),"yes","no"))</f>
        <v>yes</v>
      </c>
    </row>
    <row r="1219" customFormat="false" ht="15" hidden="false" customHeight="false" outlineLevel="0" collapsed="false">
      <c r="A1219" s="9" t="n">
        <v>45566</v>
      </c>
      <c r="B1219" s="10" t="n">
        <v>25796.9</v>
      </c>
      <c r="C1219" s="11" t="n">
        <v>21.0872</v>
      </c>
      <c r="D1219" s="11" t="n">
        <v>20.7702</v>
      </c>
      <c r="E1219" s="11" t="n">
        <v>21.4041</v>
      </c>
      <c r="F1219" s="12" t="n">
        <f aca="false">IF(C1219="","",B1219/C1219)</f>
        <v>1223.3440191206</v>
      </c>
      <c r="G1219" s="12" t="n">
        <f aca="false">MEDIAN(F1209:F1229)</f>
        <v>1215.48722369902</v>
      </c>
      <c r="H1219" s="13" t="n">
        <f aca="false">B1219/G1219</f>
        <v>21.2235056831727</v>
      </c>
      <c r="I1219" s="14" t="n">
        <f aca="false">B1219/Summary!$C$8*100</f>
        <v>258.509284404405</v>
      </c>
      <c r="J1219" s="14" t="n">
        <f aca="false">G1219/Summary!$E$8*100</f>
        <v>206.579132303945</v>
      </c>
      <c r="K1219" s="15" t="n">
        <f aca="false">Summary!$D$9</f>
        <v>16.9374488591431</v>
      </c>
      <c r="L1219" s="16" t="str">
        <f aca="false">IF(OR(D1219="",E1219=""),"edge hidden",IF(AND(H1219&gt;=D1219-0.02,H1219&lt;=E1219+0.02),"yes","no"))</f>
        <v>yes</v>
      </c>
    </row>
    <row r="1220" customFormat="false" ht="15" hidden="false" customHeight="false" outlineLevel="0" collapsed="false">
      <c r="A1220" s="9" t="n">
        <v>45568</v>
      </c>
      <c r="B1220" s="10" t="n">
        <v>25250.1</v>
      </c>
      <c r="C1220" s="11" t="n">
        <v>20.9888</v>
      </c>
      <c r="D1220" s="11" t="n">
        <v>20.5891</v>
      </c>
      <c r="E1220" s="11" t="n">
        <v>21.3884</v>
      </c>
      <c r="F1220" s="12" t="n">
        <f aca="false">IF(C1220="","",B1220/C1220)</f>
        <v>1203.02732886111</v>
      </c>
      <c r="G1220" s="12" t="n">
        <f aca="false">MEDIAN(F1210:F1230)</f>
        <v>1211.74239304729</v>
      </c>
      <c r="H1220" s="13" t="n">
        <f aca="false">B1220/G1220</f>
        <v>20.8378448628022</v>
      </c>
      <c r="I1220" s="14" t="n">
        <f aca="false">B1220/Summary!$C$8*100</f>
        <v>253.029832349611</v>
      </c>
      <c r="J1220" s="14" t="n">
        <f aca="false">G1220/Summary!$E$8*100</f>
        <v>205.942676525902</v>
      </c>
      <c r="K1220" s="15" t="n">
        <f aca="false">Summary!$D$9</f>
        <v>16.9374488591431</v>
      </c>
      <c r="L1220" s="16" t="str">
        <f aca="false">IF(OR(D1220="",E1220=""),"edge hidden",IF(AND(H1220&gt;=D1220-0.02,H1220&lt;=E1220+0.02),"yes","no"))</f>
        <v>yes</v>
      </c>
    </row>
    <row r="1221" customFormat="false" ht="15" hidden="false" customHeight="false" outlineLevel="0" collapsed="false">
      <c r="A1221" s="9" t="n">
        <v>45569</v>
      </c>
      <c r="B1221" s="10" t="n">
        <v>25014.6</v>
      </c>
      <c r="C1221" s="11" t="n">
        <v>20.9691</v>
      </c>
      <c r="D1221" s="11" t="n">
        <v>20.5655</v>
      </c>
      <c r="E1221" s="11" t="n">
        <v>21.3726</v>
      </c>
      <c r="F1221" s="12" t="n">
        <f aca="false">IF(C1221="","",B1221/C1221)</f>
        <v>1192.92673505301</v>
      </c>
      <c r="G1221" s="12" t="n">
        <f aca="false">MEDIAN(F1211:F1231)</f>
        <v>1209.76794413613</v>
      </c>
      <c r="H1221" s="13" t="n">
        <f aca="false">B1221/G1221</f>
        <v>20.6771886470031</v>
      </c>
      <c r="I1221" s="14" t="n">
        <f aca="false">B1221/Summary!$C$8*100</f>
        <v>250.669900091191</v>
      </c>
      <c r="J1221" s="14" t="n">
        <f aca="false">G1221/Summary!$E$8*100</f>
        <v>205.607107434848</v>
      </c>
      <c r="K1221" s="15" t="n">
        <f aca="false">Summary!$D$9</f>
        <v>16.9374488591431</v>
      </c>
      <c r="L1221" s="16" t="str">
        <f aca="false">IF(OR(D1221="",E1221=""),"edge hidden",IF(AND(H1221&gt;=D1221-0.02,H1221&lt;=E1221+0.02),"yes","no"))</f>
        <v>yes</v>
      </c>
    </row>
    <row r="1222" customFormat="false" ht="15" hidden="false" customHeight="false" outlineLevel="0" collapsed="false">
      <c r="A1222" s="9" t="n">
        <v>45572</v>
      </c>
      <c r="B1222" s="10" t="n">
        <v>24795.75</v>
      </c>
      <c r="C1222" s="11" t="n">
        <v>20.6423</v>
      </c>
      <c r="D1222" s="11" t="n">
        <v>20.5498</v>
      </c>
      <c r="E1222" s="11" t="n">
        <v>20.7348</v>
      </c>
      <c r="F1222" s="12" t="n">
        <f aca="false">IF(C1222="","",B1222/C1222)</f>
        <v>1201.21062090949</v>
      </c>
      <c r="G1222" s="12" t="n">
        <f aca="false">MEDIAN(F1212:F1232)</f>
        <v>1209.45841876763</v>
      </c>
      <c r="H1222" s="13" t="n">
        <f aca="false">B1222/G1222</f>
        <v>20.5015316072342</v>
      </c>
      <c r="I1222" s="14" t="n">
        <f aca="false">B1222/Summary!$C$8*100</f>
        <v>248.476816546582</v>
      </c>
      <c r="J1222" s="14" t="n">
        <f aca="false">G1222/Summary!$E$8*100</f>
        <v>205.554501795887</v>
      </c>
      <c r="K1222" s="15" t="n">
        <f aca="false">Summary!$D$9</f>
        <v>16.9374488591431</v>
      </c>
      <c r="L1222" s="16" t="str">
        <f aca="false">IF(OR(D1222="",E1222=""),"edge hidden",IF(AND(H1222&gt;=D1222-0.02,H1222&lt;=E1222+0.02),"yes","no"))</f>
        <v>no</v>
      </c>
    </row>
    <row r="1223" customFormat="false" ht="15" hidden="false" customHeight="false" outlineLevel="0" collapsed="false">
      <c r="A1223" s="9" t="n">
        <v>45573</v>
      </c>
      <c r="B1223" s="10" t="n">
        <v>25013.15</v>
      </c>
      <c r="C1223" s="11" t="n">
        <v>20.6423</v>
      </c>
      <c r="D1223" s="11" t="n">
        <v>20.5498</v>
      </c>
      <c r="E1223" s="11" t="n">
        <v>20.7348</v>
      </c>
      <c r="F1223" s="12" t="n">
        <f aca="false">IF(C1223="","",B1223/C1223)</f>
        <v>1211.74239304729</v>
      </c>
      <c r="G1223" s="12" t="n">
        <f aca="false">MEDIAN(F1213:F1233)</f>
        <v>1208.49528174189</v>
      </c>
      <c r="H1223" s="13" t="n">
        <f aca="false">B1223/G1223</f>
        <v>20.697763886961</v>
      </c>
      <c r="I1223" s="14" t="n">
        <f aca="false">B1223/Summary!$C$8*100</f>
        <v>250.655369722721</v>
      </c>
      <c r="J1223" s="14" t="n">
        <f aca="false">G1223/Summary!$E$8*100</f>
        <v>205.390811049338</v>
      </c>
      <c r="K1223" s="15" t="n">
        <f aca="false">Summary!$D$9</f>
        <v>16.9374488591431</v>
      </c>
      <c r="L1223" s="16" t="str">
        <f aca="false">IF(OR(D1223="",E1223=""),"edge hidden",IF(AND(H1223&gt;=D1223-0.02,H1223&lt;=E1223+0.02),"yes","no"))</f>
        <v>yes</v>
      </c>
    </row>
    <row r="1224" customFormat="false" ht="15" hidden="false" customHeight="false" outlineLevel="0" collapsed="false">
      <c r="A1224" s="9" t="n">
        <v>45574</v>
      </c>
      <c r="B1224" s="10" t="n">
        <v>24981.95</v>
      </c>
      <c r="C1224" s="11" t="n">
        <v>20.6502</v>
      </c>
      <c r="D1224" s="11" t="n">
        <v>20.5655</v>
      </c>
      <c r="E1224" s="11" t="n">
        <v>20.7348</v>
      </c>
      <c r="F1224" s="12" t="n">
        <f aca="false">IF(C1224="","",B1224/C1224)</f>
        <v>1209.76794413613</v>
      </c>
      <c r="G1224" s="12" t="n">
        <f aca="false">MEDIAN(F1214:F1234)</f>
        <v>1208.33902205925</v>
      </c>
      <c r="H1224" s="13" t="n">
        <f aca="false">B1224/G1224</f>
        <v>20.6746199071066</v>
      </c>
      <c r="I1224" s="14" t="n">
        <f aca="false">B1224/Summary!$C$8*100</f>
        <v>250.342716277019</v>
      </c>
      <c r="J1224" s="14" t="n">
        <f aca="false">G1224/Summary!$E$8*100</f>
        <v>205.364253806265</v>
      </c>
      <c r="K1224" s="15" t="n">
        <f aca="false">Summary!$D$9</f>
        <v>16.9374488591431</v>
      </c>
      <c r="L1224" s="16" t="str">
        <f aca="false">IF(OR(D1224="",E1224=""),"edge hidden",IF(AND(H1224&gt;=D1224-0.02,H1224&lt;=E1224+0.02),"yes","no"))</f>
        <v>yes</v>
      </c>
    </row>
    <row r="1225" customFormat="false" ht="15" hidden="false" customHeight="false" outlineLevel="0" collapsed="false">
      <c r="A1225" s="9" t="n">
        <v>45575</v>
      </c>
      <c r="B1225" s="10" t="n">
        <v>24998.45</v>
      </c>
      <c r="C1225" s="11" t="n">
        <v>20.6856</v>
      </c>
      <c r="D1225" s="11" t="n">
        <v>20.6285</v>
      </c>
      <c r="E1225" s="11" t="n">
        <v>20.7427</v>
      </c>
      <c r="F1225" s="12" t="n">
        <f aca="false">IF(C1225="","",B1225/C1225)</f>
        <v>1208.49528174189</v>
      </c>
      <c r="G1225" s="12" t="n">
        <f aca="false">MEDIAN(F1215:F1235)</f>
        <v>1206.06029976608</v>
      </c>
      <c r="H1225" s="13" t="n">
        <f aca="false">B1225/G1225</f>
        <v>20.7273633041802</v>
      </c>
      <c r="I1225" s="14" t="n">
        <f aca="false">B1225/Summary!$C$8*100</f>
        <v>250.508061849265</v>
      </c>
      <c r="J1225" s="14" t="n">
        <f aca="false">G1225/Summary!$E$8*100</f>
        <v>204.976971681938</v>
      </c>
      <c r="K1225" s="15" t="n">
        <f aca="false">Summary!$D$9</f>
        <v>16.9374488591431</v>
      </c>
      <c r="L1225" s="16" t="str">
        <f aca="false">IF(OR(D1225="",E1225=""),"edge hidden",IF(AND(H1225&gt;=D1225-0.02,H1225&lt;=E1225+0.02),"yes","no"))</f>
        <v>yes</v>
      </c>
    </row>
    <row r="1226" customFormat="false" ht="15" hidden="false" customHeight="false" outlineLevel="0" collapsed="false">
      <c r="A1226" s="9" t="n">
        <v>45576</v>
      </c>
      <c r="B1226" s="10" t="n">
        <v>24964.25</v>
      </c>
      <c r="C1226" s="11" t="n">
        <v>20.7368</v>
      </c>
      <c r="D1226" s="11" t="n">
        <v>20.6364</v>
      </c>
      <c r="E1226" s="11" t="n">
        <v>20.8372</v>
      </c>
      <c r="F1226" s="12" t="n">
        <f aca="false">IF(C1226="","",B1226/C1226)</f>
        <v>1203.86221596389</v>
      </c>
      <c r="G1226" s="12" t="n">
        <f aca="false">MEDIAN(F1216:F1236)</f>
        <v>1203.86221596389</v>
      </c>
      <c r="H1226" s="13" t="n">
        <f aca="false">B1226/G1226</f>
        <v>20.7368</v>
      </c>
      <c r="I1226" s="14" t="n">
        <f aca="false">B1226/Summary!$C$8*100</f>
        <v>250.165345572246</v>
      </c>
      <c r="J1226" s="14" t="n">
        <f aca="false">G1226/Summary!$E$8*100</f>
        <v>204.60339453877</v>
      </c>
      <c r="K1226" s="15" t="n">
        <f aca="false">Summary!$D$9</f>
        <v>16.9374488591431</v>
      </c>
      <c r="L1226" s="16" t="str">
        <f aca="false">IF(OR(D1226="",E1226=""),"edge hidden",IF(AND(H1226&gt;=D1226-0.02,H1226&lt;=E1226+0.02),"yes","no"))</f>
        <v>yes</v>
      </c>
    </row>
    <row r="1227" customFormat="false" ht="15" hidden="false" customHeight="false" outlineLevel="0" collapsed="false">
      <c r="A1227" s="9" t="n">
        <v>45579</v>
      </c>
      <c r="B1227" s="10" t="n">
        <v>25127.95</v>
      </c>
      <c r="C1227" s="11" t="n">
        <v>20.7762</v>
      </c>
      <c r="D1227" s="11" t="n">
        <v>20.6521</v>
      </c>
      <c r="E1227" s="11" t="n">
        <v>20.9002</v>
      </c>
      <c r="F1227" s="12" t="n">
        <f aca="false">IF(C1227="","",B1227/C1227)</f>
        <v>1209.45841876763</v>
      </c>
      <c r="G1227" s="12" t="n">
        <f aca="false">MEDIAN(F1217:F1237)</f>
        <v>1203.02732886111</v>
      </c>
      <c r="H1227" s="13" t="n">
        <f aca="false">B1227/G1227</f>
        <v>20.8872644844971</v>
      </c>
      <c r="I1227" s="14" t="n">
        <f aca="false">B1227/Summary!$C$8*100</f>
        <v>251.805774067802</v>
      </c>
      <c r="J1227" s="14" t="n">
        <f aca="false">G1227/Summary!$E$8*100</f>
        <v>204.461500613517</v>
      </c>
      <c r="K1227" s="15" t="n">
        <f aca="false">Summary!$D$9</f>
        <v>16.9374488591431</v>
      </c>
      <c r="L1227" s="16" t="str">
        <f aca="false">IF(OR(D1227="",E1227=""),"edge hidden",IF(AND(H1227&gt;=D1227-0.02,H1227&lt;=E1227+0.02),"yes","no"))</f>
        <v>yes</v>
      </c>
    </row>
    <row r="1228" customFormat="false" ht="15" hidden="false" customHeight="false" outlineLevel="0" collapsed="false">
      <c r="A1228" s="9" t="n">
        <v>45580</v>
      </c>
      <c r="B1228" s="10" t="n">
        <v>25057.35</v>
      </c>
      <c r="C1228" s="11" t="n">
        <v>20.7762</v>
      </c>
      <c r="D1228" s="11" t="n">
        <v>20.6521</v>
      </c>
      <c r="E1228" s="11" t="n">
        <v>20.9002</v>
      </c>
      <c r="F1228" s="12" t="n">
        <f aca="false">IF(C1228="","",B1228/C1228)</f>
        <v>1206.06029976608</v>
      </c>
      <c r="G1228" s="12" t="n">
        <f aca="false">MEDIAN(F1218:F1238)</f>
        <v>1202.47948100457</v>
      </c>
      <c r="H1228" s="13" t="n">
        <f aca="false">B1228/G1228</f>
        <v>20.8380686704664</v>
      </c>
      <c r="I1228" s="14" t="n">
        <f aca="false">B1228/Summary!$C$8*100</f>
        <v>251.098295437464</v>
      </c>
      <c r="J1228" s="14" t="n">
        <f aca="false">G1228/Summary!$E$8*100</f>
        <v>204.368390679796</v>
      </c>
      <c r="K1228" s="15" t="n">
        <f aca="false">Summary!$D$9</f>
        <v>16.9374488591431</v>
      </c>
      <c r="L1228" s="16" t="str">
        <f aca="false">IF(OR(D1228="",E1228=""),"edge hidden",IF(AND(H1228&gt;=D1228-0.02,H1228&lt;=E1228+0.02),"yes","no"))</f>
        <v>yes</v>
      </c>
    </row>
    <row r="1229" customFormat="false" ht="15" hidden="false" customHeight="false" outlineLevel="0" collapsed="false">
      <c r="A1229" s="9" t="n">
        <v>45581</v>
      </c>
      <c r="B1229" s="10" t="n">
        <v>24971.3</v>
      </c>
      <c r="C1229" s="11" t="n">
        <v>20.7801</v>
      </c>
      <c r="D1229" s="11" t="n">
        <v>20.66</v>
      </c>
      <c r="E1229" s="11" t="n">
        <v>20.9002</v>
      </c>
      <c r="F1229" s="12" t="n">
        <f aca="false">IF(C1229="","",B1229/C1229)</f>
        <v>1201.69296586638</v>
      </c>
      <c r="G1229" s="12" t="n">
        <f aca="false">MEDIAN(F1219:F1239)</f>
        <v>1201.69296586638</v>
      </c>
      <c r="H1229" s="13" t="n">
        <f aca="false">B1229/G1229</f>
        <v>20.7801</v>
      </c>
      <c r="I1229" s="14" t="n">
        <f aca="false">B1229/Summary!$C$8*100</f>
        <v>250.235993225842</v>
      </c>
      <c r="J1229" s="14" t="n">
        <f aca="false">G1229/Summary!$E$8*100</f>
        <v>204.23471785163</v>
      </c>
      <c r="K1229" s="15" t="n">
        <f aca="false">Summary!$D$9</f>
        <v>16.9374488591431</v>
      </c>
      <c r="L1229" s="16" t="str">
        <f aca="false">IF(OR(D1229="",E1229=""),"edge hidden",IF(AND(H1229&gt;=D1229-0.02,H1229&lt;=E1229+0.02),"yes","no"))</f>
        <v>yes</v>
      </c>
    </row>
    <row r="1230" customFormat="false" ht="15" hidden="false" customHeight="false" outlineLevel="0" collapsed="false">
      <c r="A1230" s="9" t="n">
        <v>45582</v>
      </c>
      <c r="B1230" s="10" t="n">
        <v>24749.85</v>
      </c>
      <c r="C1230" s="11" t="n">
        <v>20.7762</v>
      </c>
      <c r="D1230" s="11" t="n">
        <v>20.6521</v>
      </c>
      <c r="E1230" s="11" t="n">
        <v>20.9002</v>
      </c>
      <c r="F1230" s="12" t="n">
        <f aca="false">IF(C1230="","",B1230/C1230)</f>
        <v>1191.25971063043</v>
      </c>
      <c r="G1230" s="12" t="n">
        <f aca="false">MEDIAN(F1220:F1240)</f>
        <v>1201.28809299403</v>
      </c>
      <c r="H1230" s="13" t="n">
        <f aca="false">B1230/G1230</f>
        <v>20.6027597745639</v>
      </c>
      <c r="I1230" s="14" t="n">
        <f aca="false">B1230/Summary!$C$8*100</f>
        <v>248.016855227425</v>
      </c>
      <c r="J1230" s="14" t="n">
        <f aca="false">G1230/Summary!$E$8*100</f>
        <v>204.165907349115</v>
      </c>
      <c r="K1230" s="15" t="n">
        <f aca="false">Summary!$D$9</f>
        <v>16.9374488591431</v>
      </c>
      <c r="L1230" s="16" t="str">
        <f aca="false">IF(OR(D1230="",E1230=""),"edge hidden",IF(AND(H1230&gt;=D1230-0.02,H1230&lt;=E1230+0.02),"yes","no"))</f>
        <v>no</v>
      </c>
    </row>
    <row r="1231" customFormat="false" ht="15" hidden="false" customHeight="false" outlineLevel="0" collapsed="false">
      <c r="A1231" s="9" t="n">
        <v>45583</v>
      </c>
      <c r="B1231" s="10" t="n">
        <v>24854.05</v>
      </c>
      <c r="C1231" s="11" t="n">
        <v>20.6895</v>
      </c>
      <c r="D1231" s="11" t="n">
        <v>20.5104</v>
      </c>
      <c r="E1231" s="11" t="n">
        <v>20.8687</v>
      </c>
      <c r="F1231" s="12" t="n">
        <f aca="false">IF(C1231="","",B1231/C1231)</f>
        <v>1201.28809299403</v>
      </c>
      <c r="G1231" s="12" t="n">
        <f aca="false">MEDIAN(F1221:F1241)</f>
        <v>1201.21062090949</v>
      </c>
      <c r="H1231" s="13" t="n">
        <f aca="false">B1231/G1231</f>
        <v>20.690834369398</v>
      </c>
      <c r="I1231" s="14" t="n">
        <f aca="false">B1231/Summary!$C$8*100</f>
        <v>249.061037568518</v>
      </c>
      <c r="J1231" s="14" t="n">
        <f aca="false">G1231/Summary!$E$8*100</f>
        <v>204.152740517173</v>
      </c>
      <c r="K1231" s="15" t="n">
        <f aca="false">Summary!$D$9</f>
        <v>16.9374488591431</v>
      </c>
      <c r="L1231" s="16" t="str">
        <f aca="false">IF(OR(D1231="",E1231=""),"edge hidden",IF(AND(H1231&gt;=D1231-0.02,H1231&lt;=E1231+0.02),"yes","no"))</f>
        <v>yes</v>
      </c>
    </row>
    <row r="1232" customFormat="false" ht="15" hidden="false" customHeight="false" outlineLevel="0" collapsed="false">
      <c r="A1232" s="9" t="n">
        <v>45586</v>
      </c>
      <c r="B1232" s="10" t="n">
        <v>24781.1</v>
      </c>
      <c r="C1232" s="11" t="n">
        <v>20.5084</v>
      </c>
      <c r="D1232" s="11" t="n">
        <v>20.2112</v>
      </c>
      <c r="E1232" s="11" t="n">
        <v>20.8057</v>
      </c>
      <c r="F1232" s="12" t="n">
        <f aca="false">IF(C1232="","",B1232/C1232)</f>
        <v>1208.33902205925</v>
      </c>
      <c r="G1232" s="12" t="n">
        <f aca="false">MEDIAN(F1222:F1242)</f>
        <v>1201.21062090949</v>
      </c>
      <c r="H1232" s="13" t="n">
        <f aca="false">B1232/G1232</f>
        <v>20.6301039706401</v>
      </c>
      <c r="I1232" s="14" t="n">
        <f aca="false">B1232/Summary!$C$8*100</f>
        <v>248.330009720315</v>
      </c>
      <c r="J1232" s="14" t="n">
        <f aca="false">G1232/Summary!$E$8*100</f>
        <v>204.152740517173</v>
      </c>
      <c r="K1232" s="15" t="n">
        <f aca="false">Summary!$D$9</f>
        <v>16.9374488591431</v>
      </c>
      <c r="L1232" s="16" t="str">
        <f aca="false">IF(OR(D1232="",E1232=""),"edge hidden",IF(AND(H1232&gt;=D1232-0.02,H1232&lt;=E1232+0.02),"yes","no"))</f>
        <v>yes</v>
      </c>
    </row>
    <row r="1233" customFormat="false" ht="15" hidden="false" customHeight="false" outlineLevel="0" collapsed="false">
      <c r="A1233" s="9" t="n">
        <v>45587</v>
      </c>
      <c r="B1233" s="10" t="n">
        <v>24472.1</v>
      </c>
      <c r="C1233" s="11" t="n">
        <v>20.4927</v>
      </c>
      <c r="D1233" s="11" t="n">
        <v>20.1954</v>
      </c>
      <c r="E1233" s="11" t="n">
        <v>20.7899</v>
      </c>
      <c r="F1233" s="12" t="n">
        <f aca="false">IF(C1233="","",B1233/C1233)</f>
        <v>1194.18622241091</v>
      </c>
      <c r="G1233" s="12" t="n">
        <f aca="false">MEDIAN(F1223:F1243)</f>
        <v>1199.36785381188</v>
      </c>
      <c r="H1233" s="13" t="n">
        <f aca="false">B1233/G1233</f>
        <v>20.4041653461212</v>
      </c>
      <c r="I1233" s="14" t="n">
        <f aca="false">B1233/Summary!$C$8*100</f>
        <v>245.233538094618</v>
      </c>
      <c r="J1233" s="14" t="n">
        <f aca="false">G1233/Summary!$E$8*100</f>
        <v>203.839551517206</v>
      </c>
      <c r="K1233" s="15" t="n">
        <f aca="false">Summary!$D$9</f>
        <v>16.9374488591431</v>
      </c>
      <c r="L1233" s="16" t="str">
        <f aca="false">IF(OR(D1233="",E1233=""),"edge hidden",IF(AND(H1233&gt;=D1233-0.02,H1233&lt;=E1233+0.02),"yes","no"))</f>
        <v>yes</v>
      </c>
    </row>
    <row r="1234" customFormat="false" ht="15" hidden="false" customHeight="false" outlineLevel="0" collapsed="false">
      <c r="A1234" s="9" t="n">
        <v>45588</v>
      </c>
      <c r="B1234" s="10" t="n">
        <v>24435.5</v>
      </c>
      <c r="C1234" s="11" t="n">
        <v>20.4573</v>
      </c>
      <c r="D1234" s="11" t="n">
        <v>20.1718</v>
      </c>
      <c r="E1234" s="11" t="n">
        <v>20.7427</v>
      </c>
      <c r="F1234" s="12" t="n">
        <f aca="false">IF(C1234="","",B1234/C1234)</f>
        <v>1194.46359001432</v>
      </c>
      <c r="G1234" s="12" t="n">
        <f aca="false">MEDIAN(F1224:F1244)</f>
        <v>1199.36785381188</v>
      </c>
      <c r="H1234" s="13" t="n">
        <f aca="false">B1234/G1234</f>
        <v>20.3736492706038</v>
      </c>
      <c r="I1234" s="14" t="n">
        <f aca="false">B1234/Summary!$C$8*100</f>
        <v>244.866771552545</v>
      </c>
      <c r="J1234" s="14" t="n">
        <f aca="false">G1234/Summary!$E$8*100</f>
        <v>203.839551517206</v>
      </c>
      <c r="K1234" s="15" t="n">
        <f aca="false">Summary!$D$9</f>
        <v>16.9374488591431</v>
      </c>
      <c r="L1234" s="16" t="str">
        <f aca="false">IF(OR(D1234="",E1234=""),"edge hidden",IF(AND(H1234&gt;=D1234-0.02,H1234&lt;=E1234+0.02),"yes","no"))</f>
        <v>yes</v>
      </c>
    </row>
    <row r="1235" customFormat="false" ht="15" hidden="false" customHeight="false" outlineLevel="0" collapsed="false">
      <c r="A1235" s="9" t="n">
        <v>45589</v>
      </c>
      <c r="B1235" s="10" t="n">
        <v>24399.4</v>
      </c>
      <c r="C1235" s="11" t="n">
        <v>20.347</v>
      </c>
      <c r="D1235" s="11" t="n">
        <v>20.1639</v>
      </c>
      <c r="E1235" s="11" t="n">
        <v>20.5301</v>
      </c>
      <c r="F1235" s="12" t="n">
        <f aca="false">IF(C1235="","",B1235/C1235)</f>
        <v>1199.1644959945</v>
      </c>
      <c r="G1235" s="12" t="n">
        <f aca="false">MEDIAN(F1225:F1245)</f>
        <v>1199.36785381188</v>
      </c>
      <c r="H1235" s="13" t="n">
        <f aca="false">B1235/G1235</f>
        <v>20.343550081364</v>
      </c>
      <c r="I1235" s="14" t="n">
        <f aca="false">B1235/Summary!$C$8*100</f>
        <v>244.505015482358</v>
      </c>
      <c r="J1235" s="14" t="n">
        <f aca="false">G1235/Summary!$E$8*100</f>
        <v>203.839551517206</v>
      </c>
      <c r="K1235" s="15" t="n">
        <f aca="false">Summary!$D$9</f>
        <v>16.9374488591431</v>
      </c>
      <c r="L1235" s="16" t="str">
        <f aca="false">IF(OR(D1235="",E1235=""),"edge hidden",IF(AND(H1235&gt;=D1235-0.02,H1235&lt;=E1235+0.02),"yes","no"))</f>
        <v>yes</v>
      </c>
    </row>
    <row r="1236" customFormat="false" ht="15" hidden="false" customHeight="false" outlineLevel="0" collapsed="false">
      <c r="A1236" s="9" t="n">
        <v>45590</v>
      </c>
      <c r="B1236" s="10" t="n">
        <v>24180.8</v>
      </c>
      <c r="C1236" s="11" t="n">
        <v>20.3391</v>
      </c>
      <c r="D1236" s="11" t="n">
        <v>20.1561</v>
      </c>
      <c r="E1236" s="11" t="n">
        <v>20.5222</v>
      </c>
      <c r="F1236" s="12" t="n">
        <f aca="false">IF(C1236="","",B1236/C1236)</f>
        <v>1188.88249725897</v>
      </c>
      <c r="G1236" s="12" t="n">
        <f aca="false">MEDIAN(F1226:F1246)</f>
        <v>1199.36785381188</v>
      </c>
      <c r="H1236" s="13" t="n">
        <f aca="false">B1236/G1236</f>
        <v>20.1612874008151</v>
      </c>
      <c r="I1236" s="14" t="n">
        <f aca="false">B1236/Summary!$C$8*100</f>
        <v>242.314437173693</v>
      </c>
      <c r="J1236" s="14" t="n">
        <f aca="false">G1236/Summary!$E$8*100</f>
        <v>203.839551517206</v>
      </c>
      <c r="K1236" s="15" t="n">
        <f aca="false">Summary!$D$9</f>
        <v>16.9374488591431</v>
      </c>
      <c r="L1236" s="16" t="str">
        <f aca="false">IF(OR(D1236="",E1236=""),"edge hidden",IF(AND(H1236&gt;=D1236-0.02,H1236&lt;=E1236+0.02),"yes","no"))</f>
        <v>yes</v>
      </c>
    </row>
    <row r="1237" customFormat="false" ht="15" hidden="false" customHeight="false" outlineLevel="0" collapsed="false">
      <c r="A1237" s="9" t="n">
        <v>45593</v>
      </c>
      <c r="B1237" s="10" t="n">
        <v>24339.15</v>
      </c>
      <c r="C1237" s="11" t="n">
        <v>20.347</v>
      </c>
      <c r="D1237" s="11" t="n">
        <v>20.1718</v>
      </c>
      <c r="E1237" s="11" t="n">
        <v>20.5222</v>
      </c>
      <c r="F1237" s="12" t="n">
        <f aca="false">IF(C1237="","",B1237/C1237)</f>
        <v>1196.2033715044</v>
      </c>
      <c r="G1237" s="12" t="n">
        <f aca="false">MEDIAN(F1227:F1247)</f>
        <v>1199.36785381188</v>
      </c>
      <c r="H1237" s="13" t="n">
        <f aca="false">B1237/G1237</f>
        <v>20.2933152849181</v>
      </c>
      <c r="I1237" s="14" t="n">
        <f aca="false">B1237/Summary!$C$8*100</f>
        <v>243.901253620066</v>
      </c>
      <c r="J1237" s="14" t="n">
        <f aca="false">G1237/Summary!$E$8*100</f>
        <v>203.839551517206</v>
      </c>
      <c r="K1237" s="15" t="n">
        <f aca="false">Summary!$D$9</f>
        <v>16.9374488591431</v>
      </c>
      <c r="L1237" s="16" t="str">
        <f aca="false">IF(OR(D1237="",E1237=""),"edge hidden",IF(AND(H1237&gt;=D1237-0.02,H1237&lt;=E1237+0.02),"yes","no"))</f>
        <v>yes</v>
      </c>
    </row>
    <row r="1238" customFormat="false" ht="15" hidden="false" customHeight="false" outlineLevel="0" collapsed="false">
      <c r="A1238" s="9" t="n">
        <v>45594</v>
      </c>
      <c r="B1238" s="10" t="n">
        <v>24466.85</v>
      </c>
      <c r="C1238" s="11" t="n">
        <v>20.347</v>
      </c>
      <c r="D1238" s="11" t="n">
        <v>20.1718</v>
      </c>
      <c r="E1238" s="11" t="n">
        <v>20.5222</v>
      </c>
      <c r="F1238" s="12" t="n">
        <f aca="false">IF(C1238="","",B1238/C1238)</f>
        <v>1202.47948100457</v>
      </c>
      <c r="G1238" s="12" t="n">
        <f aca="false">MEDIAN(F1228:F1248)</f>
        <v>1199.36785381188</v>
      </c>
      <c r="H1238" s="13" t="n">
        <f aca="false">B1238/G1238</f>
        <v>20.3997880402068</v>
      </c>
      <c r="I1238" s="14" t="n">
        <f aca="false">B1238/Summary!$C$8*100</f>
        <v>245.180928139812</v>
      </c>
      <c r="J1238" s="14" t="n">
        <f aca="false">G1238/Summary!$E$8*100</f>
        <v>203.839551517206</v>
      </c>
      <c r="K1238" s="15" t="n">
        <f aca="false">Summary!$D$9</f>
        <v>16.9374488591431</v>
      </c>
      <c r="L1238" s="16" t="str">
        <f aca="false">IF(OR(D1238="",E1238=""),"edge hidden",IF(AND(H1238&gt;=D1238-0.02,H1238&lt;=E1238+0.02),"yes","no"))</f>
        <v>yes</v>
      </c>
    </row>
    <row r="1239" customFormat="false" ht="15" hidden="false" customHeight="false" outlineLevel="0" collapsed="false">
      <c r="A1239" s="9" t="n">
        <v>45595</v>
      </c>
      <c r="B1239" s="10" t="n">
        <v>24340.85</v>
      </c>
      <c r="C1239" s="11" t="n">
        <v>20.3431</v>
      </c>
      <c r="D1239" s="11" t="n">
        <v>20.1718</v>
      </c>
      <c r="E1239" s="11" t="n">
        <v>20.5143</v>
      </c>
      <c r="F1239" s="12" t="n">
        <f aca="false">IF(C1239="","",B1239/C1239)</f>
        <v>1196.51626349966</v>
      </c>
      <c r="G1239" s="12" t="n">
        <f aca="false">MEDIAN(F1229:F1249)</f>
        <v>1199.1644959945</v>
      </c>
      <c r="H1239" s="13" t="n">
        <f aca="false">B1239/G1239</f>
        <v>20.2981743383034</v>
      </c>
      <c r="I1239" s="14" t="n">
        <f aca="false">B1239/Summary!$C$8*100</f>
        <v>243.918289224479</v>
      </c>
      <c r="J1239" s="14" t="n">
        <f aca="false">G1239/Summary!$E$8*100</f>
        <v>203.804989671846</v>
      </c>
      <c r="K1239" s="15" t="n">
        <f aca="false">Summary!$D$9</f>
        <v>16.9374488591431</v>
      </c>
      <c r="L1239" s="16" t="str">
        <f aca="false">IF(OR(D1239="",E1239=""),"edge hidden",IF(AND(H1239&gt;=D1239-0.02,H1239&lt;=E1239+0.02),"yes","no"))</f>
        <v>yes</v>
      </c>
    </row>
    <row r="1240" customFormat="false" ht="15" hidden="false" customHeight="false" outlineLevel="0" collapsed="false">
      <c r="A1240" s="9" t="n">
        <v>45596</v>
      </c>
      <c r="B1240" s="10" t="n">
        <v>24205.35</v>
      </c>
      <c r="C1240" s="11" t="n">
        <v>20.3234</v>
      </c>
      <c r="D1240" s="11" t="n">
        <v>20.1482</v>
      </c>
      <c r="E1240" s="11" t="n">
        <v>20.4986</v>
      </c>
      <c r="F1240" s="12" t="n">
        <f aca="false">IF(C1240="","",B1240/C1240)</f>
        <v>1191.00888630839</v>
      </c>
      <c r="G1240" s="12" t="n">
        <f aca="false">MEDIAN(F1230:F1250)</f>
        <v>1199.1644959945</v>
      </c>
      <c r="H1240" s="13" t="n">
        <f aca="false">B1240/G1240</f>
        <v>20.1851789982541</v>
      </c>
      <c r="I1240" s="14" t="n">
        <f aca="false">B1240/Summary!$C$8*100</f>
        <v>242.560451343308</v>
      </c>
      <c r="J1240" s="14" t="n">
        <f aca="false">G1240/Summary!$E$8*100</f>
        <v>203.804989671846</v>
      </c>
      <c r="K1240" s="15" t="n">
        <f aca="false">Summary!$D$9</f>
        <v>16.9374488591431</v>
      </c>
      <c r="L1240" s="16" t="str">
        <f aca="false">IF(OR(D1240="",E1240=""),"edge hidden",IF(AND(H1240&gt;=D1240-0.02,H1240&lt;=E1240+0.02),"yes","no"))</f>
        <v>yes</v>
      </c>
    </row>
    <row r="1241" customFormat="false" ht="15" hidden="false" customHeight="false" outlineLevel="0" collapsed="false">
      <c r="A1241" s="9" t="n">
        <v>45597</v>
      </c>
      <c r="B1241" s="10" t="n">
        <v>24304.35</v>
      </c>
      <c r="C1241" s="11" t="n">
        <v>20.2643</v>
      </c>
      <c r="D1241" s="11" t="n">
        <v>20.1167</v>
      </c>
      <c r="E1241" s="11" t="n">
        <v>20.412</v>
      </c>
      <c r="F1241" s="12" t="n">
        <f aca="false">IF(C1241="","",B1241/C1241)</f>
        <v>1199.36785381188</v>
      </c>
      <c r="G1241" s="12" t="n">
        <f aca="false">MEDIAN(F1231:F1251)</f>
        <v>1199.36785381188</v>
      </c>
      <c r="H1241" s="13" t="n">
        <f aca="false">B1241/G1241</f>
        <v>20.2643</v>
      </c>
      <c r="I1241" s="14" t="n">
        <f aca="false">B1241/Summary!$C$8*100</f>
        <v>243.552524776783</v>
      </c>
      <c r="J1241" s="14" t="n">
        <f aca="false">G1241/Summary!$E$8*100</f>
        <v>203.839551517206</v>
      </c>
      <c r="K1241" s="15" t="n">
        <f aca="false">Summary!$D$9</f>
        <v>16.9374488591431</v>
      </c>
      <c r="L1241" s="16" t="str">
        <f aca="false">IF(OR(D1241="",E1241=""),"edge hidden",IF(AND(H1241&gt;=D1241-0.02,H1241&lt;=E1241+0.02),"yes","no"))</f>
        <v>yes</v>
      </c>
    </row>
    <row r="1242" customFormat="false" ht="15" hidden="false" customHeight="false" outlineLevel="0" collapsed="false">
      <c r="A1242" s="9" t="n">
        <v>45600</v>
      </c>
      <c r="B1242" s="10" t="n">
        <v>23995.35</v>
      </c>
      <c r="C1242" s="11" t="n">
        <v>20.2053</v>
      </c>
      <c r="D1242" s="11" t="n">
        <v>20.0065</v>
      </c>
      <c r="E1242" s="11" t="n">
        <v>20.4041</v>
      </c>
      <c r="F1242" s="12" t="n">
        <f aca="false">IF(C1242="","",B1242/C1242)</f>
        <v>1187.5770218705</v>
      </c>
      <c r="G1242" s="12" t="n">
        <f aca="false">MEDIAN(F1232:F1252)</f>
        <v>1199.36785381188</v>
      </c>
      <c r="H1242" s="13" t="n">
        <f aca="false">B1242/G1242</f>
        <v>20.0066642804683</v>
      </c>
      <c r="I1242" s="14" t="n">
        <f aca="false">B1242/Summary!$C$8*100</f>
        <v>240.456053151086</v>
      </c>
      <c r="J1242" s="14" t="n">
        <f aca="false">G1242/Summary!$E$8*100</f>
        <v>203.839551517206</v>
      </c>
      <c r="K1242" s="15" t="n">
        <f aca="false">Summary!$D$9</f>
        <v>16.9374488591431</v>
      </c>
      <c r="L1242" s="16" t="str">
        <f aca="false">IF(OR(D1242="",E1242=""),"edge hidden",IF(AND(H1242&gt;=D1242-0.02,H1242&lt;=E1242+0.02),"yes","no"))</f>
        <v>yes</v>
      </c>
    </row>
    <row r="1243" customFormat="false" ht="15" hidden="false" customHeight="false" outlineLevel="0" collapsed="false">
      <c r="A1243" s="9" t="n">
        <v>45601</v>
      </c>
      <c r="B1243" s="10" t="n">
        <v>24213.3</v>
      </c>
      <c r="C1243" s="11" t="n">
        <v>20.1974</v>
      </c>
      <c r="D1243" s="11" t="n">
        <v>19.9907</v>
      </c>
      <c r="E1243" s="11" t="n">
        <v>20.4041</v>
      </c>
      <c r="F1243" s="12" t="n">
        <f aca="false">IF(C1243="","",B1243/C1243)</f>
        <v>1198.83252299801</v>
      </c>
      <c r="G1243" s="12" t="n">
        <f aca="false">MEDIAN(F1233:F1253)</f>
        <v>1199.1644959945</v>
      </c>
      <c r="H1243" s="13" t="n">
        <f aca="false">B1243/G1243</f>
        <v>20.1918086141462</v>
      </c>
      <c r="I1243" s="14" t="n">
        <f aca="false">B1243/Summary!$C$8*100</f>
        <v>242.640117846299</v>
      </c>
      <c r="J1243" s="14" t="n">
        <f aca="false">G1243/Summary!$E$8*100</f>
        <v>203.804989671846</v>
      </c>
      <c r="K1243" s="15" t="n">
        <f aca="false">Summary!$D$9</f>
        <v>16.9374488591431</v>
      </c>
      <c r="L1243" s="16" t="str">
        <f aca="false">IF(OR(D1243="",E1243=""),"edge hidden",IF(AND(H1243&gt;=D1243-0.02,H1243&lt;=E1243+0.02),"yes","no"))</f>
        <v>yes</v>
      </c>
    </row>
    <row r="1244" customFormat="false" ht="15" hidden="false" customHeight="false" outlineLevel="0" collapsed="false">
      <c r="A1244" s="9" t="n">
        <v>45602</v>
      </c>
      <c r="B1244" s="10" t="n">
        <v>24484.05</v>
      </c>
      <c r="C1244" s="11" t="n">
        <v>20.1935</v>
      </c>
      <c r="D1244" s="11" t="n">
        <v>19.9828</v>
      </c>
      <c r="E1244" s="11" t="n">
        <v>20.4041</v>
      </c>
      <c r="F1244" s="12" t="n">
        <f aca="false">IF(C1244="","",B1244/C1244)</f>
        <v>1212.47183499641</v>
      </c>
      <c r="G1244" s="12" t="n">
        <f aca="false">MEDIAN(F1234:F1254)</f>
        <v>1199.36785381188</v>
      </c>
      <c r="H1244" s="13" t="n">
        <f aca="false">B1244/G1244</f>
        <v>20.4141289281548</v>
      </c>
      <c r="I1244" s="14" t="n">
        <f aca="false">B1244/Summary!$C$8*100</f>
        <v>245.353288372699</v>
      </c>
      <c r="J1244" s="14" t="n">
        <f aca="false">G1244/Summary!$E$8*100</f>
        <v>203.839551517206</v>
      </c>
      <c r="K1244" s="15" t="n">
        <f aca="false">Summary!$D$9</f>
        <v>16.9374488591431</v>
      </c>
      <c r="L1244" s="16" t="str">
        <f aca="false">IF(OR(D1244="",E1244=""),"edge hidden",IF(AND(H1244&gt;=D1244-0.02,H1244&lt;=E1244+0.02),"yes","no"))</f>
        <v>yes</v>
      </c>
    </row>
    <row r="1245" customFormat="false" ht="15" hidden="false" customHeight="false" outlineLevel="0" collapsed="false">
      <c r="A1245" s="9" t="n">
        <v>45603</v>
      </c>
      <c r="B1245" s="10" t="n">
        <v>24199.35</v>
      </c>
      <c r="C1245" s="11" t="n">
        <v>20.1738</v>
      </c>
      <c r="D1245" s="11" t="n">
        <v>19.9514</v>
      </c>
      <c r="E1245" s="11" t="n">
        <v>20.3962</v>
      </c>
      <c r="F1245" s="12" t="n">
        <f aca="false">IF(C1245="","",B1245/C1245)</f>
        <v>1199.54346726943</v>
      </c>
      <c r="G1245" s="12" t="n">
        <f aca="false">MEDIAN(F1235:F1255)</f>
        <v>1199.54346726943</v>
      </c>
      <c r="H1245" s="13" t="n">
        <f aca="false">B1245/G1245</f>
        <v>20.1738</v>
      </c>
      <c r="I1245" s="14" t="n">
        <f aca="false">B1245/Summary!$C$8*100</f>
        <v>242.500325680673</v>
      </c>
      <c r="J1245" s="14" t="n">
        <f aca="false">G1245/Summary!$E$8*100</f>
        <v>203.869398047037</v>
      </c>
      <c r="K1245" s="15" t="n">
        <f aca="false">Summary!$D$9</f>
        <v>16.9374488591431</v>
      </c>
      <c r="L1245" s="16" t="str">
        <f aca="false">IF(OR(D1245="",E1245=""),"edge hidden",IF(AND(H1245&gt;=D1245-0.02,H1245&lt;=E1245+0.02),"yes","no"))</f>
        <v>yes</v>
      </c>
    </row>
    <row r="1246" customFormat="false" ht="15" hidden="false" customHeight="false" outlineLevel="0" collapsed="false">
      <c r="A1246" s="9" t="n">
        <v>45604</v>
      </c>
      <c r="B1246" s="10" t="n">
        <v>24148.2</v>
      </c>
      <c r="C1246" s="11" t="n">
        <v>20.1187</v>
      </c>
      <c r="D1246" s="11" t="n">
        <v>19.8569</v>
      </c>
      <c r="E1246" s="11" t="n">
        <v>20.3805</v>
      </c>
      <c r="F1246" s="12" t="n">
        <f aca="false">IF(C1246="","",B1246/C1246)</f>
        <v>1200.28630080472</v>
      </c>
      <c r="G1246" s="12" t="n">
        <f aca="false">MEDIAN(F1236:F1256)</f>
        <v>1200.28630080472</v>
      </c>
      <c r="H1246" s="13" t="n">
        <f aca="false">B1246/G1246</f>
        <v>20.1187</v>
      </c>
      <c r="I1246" s="14" t="n">
        <f aca="false">B1246/Summary!$C$8*100</f>
        <v>241.98775440671</v>
      </c>
      <c r="J1246" s="14" t="n">
        <f aca="false">G1246/Summary!$E$8*100</f>
        <v>203.995646932403</v>
      </c>
      <c r="K1246" s="15" t="n">
        <f aca="false">Summary!$D$9</f>
        <v>16.9374488591431</v>
      </c>
      <c r="L1246" s="16" t="str">
        <f aca="false">IF(OR(D1246="",E1246=""),"edge hidden",IF(AND(H1246&gt;=D1246-0.02,H1246&lt;=E1246+0.02),"yes","no"))</f>
        <v>yes</v>
      </c>
    </row>
    <row r="1247" customFormat="false" ht="15" hidden="false" customHeight="false" outlineLevel="0" collapsed="false">
      <c r="A1247" s="9" t="n">
        <v>45607</v>
      </c>
      <c r="B1247" s="10" t="n">
        <v>24141.3</v>
      </c>
      <c r="C1247" s="11" t="n">
        <v>19.7092</v>
      </c>
      <c r="D1247" s="11" t="n">
        <v>19.4553</v>
      </c>
      <c r="E1247" s="11" t="n">
        <v>19.9632</v>
      </c>
      <c r="F1247" s="12" t="n">
        <f aca="false">IF(C1247="","",B1247/C1247)</f>
        <v>1224.87467781544</v>
      </c>
      <c r="G1247" s="12" t="n">
        <f aca="false">MEDIAN(F1237:F1257)</f>
        <v>1201.91733105882</v>
      </c>
      <c r="H1247" s="13" t="n">
        <f aca="false">B1247/G1247</f>
        <v>20.0856576206725</v>
      </c>
      <c r="I1247" s="14" t="n">
        <f aca="false">B1247/Summary!$C$8*100</f>
        <v>241.91860989468</v>
      </c>
      <c r="J1247" s="14" t="n">
        <f aca="false">G1247/Summary!$E$8*100</f>
        <v>204.272850022722</v>
      </c>
      <c r="K1247" s="15" t="n">
        <f aca="false">Summary!$D$9</f>
        <v>16.9374488591431</v>
      </c>
      <c r="L1247" s="16" t="str">
        <f aca="false">IF(OR(D1247="",E1247=""),"edge hidden",IF(AND(H1247&gt;=D1247-0.02,H1247&lt;=E1247+0.02),"yes","no"))</f>
        <v>no</v>
      </c>
    </row>
    <row r="1248" customFormat="false" ht="15" hidden="false" customHeight="false" outlineLevel="0" collapsed="false">
      <c r="A1248" s="9" t="n">
        <v>45608</v>
      </c>
      <c r="B1248" s="10" t="n">
        <v>23883.45</v>
      </c>
      <c r="C1248" s="11" t="n">
        <v>19.6856</v>
      </c>
      <c r="D1248" s="11" t="n">
        <v>19.4317</v>
      </c>
      <c r="E1248" s="11" t="n">
        <v>19.9395</v>
      </c>
      <c r="F1248" s="12" t="n">
        <f aca="false">IF(C1248="","",B1248/C1248)</f>
        <v>1213.24470679075</v>
      </c>
      <c r="G1248" s="12" t="n">
        <f aca="false">MEDIAN(F1238:F1258)</f>
        <v>1202.24108589121</v>
      </c>
      <c r="H1248" s="13" t="n">
        <f aca="false">B1248/G1248</f>
        <v>19.8657742446853</v>
      </c>
      <c r="I1248" s="14" t="n">
        <f aca="false">B1248/Summary!$C$8*100</f>
        <v>239.334709542945</v>
      </c>
      <c r="J1248" s="14" t="n">
        <f aca="false">G1248/Summary!$E$8*100</f>
        <v>204.327874041937</v>
      </c>
      <c r="K1248" s="15" t="n">
        <f aca="false">Summary!$D$9</f>
        <v>16.9374488591431</v>
      </c>
      <c r="L1248" s="16" t="str">
        <f aca="false">IF(OR(D1248="",E1248=""),"edge hidden",IF(AND(H1248&gt;=D1248-0.02,H1248&lt;=E1248+0.02),"yes","no"))</f>
        <v>yes</v>
      </c>
    </row>
    <row r="1249" customFormat="false" ht="15" hidden="false" customHeight="false" outlineLevel="0" collapsed="false">
      <c r="A1249" s="9" t="n">
        <v>45609</v>
      </c>
      <c r="B1249" s="10" t="n">
        <v>23559.05</v>
      </c>
      <c r="C1249" s="11" t="n">
        <v>19.6738</v>
      </c>
      <c r="D1249" s="11" t="n">
        <v>19.4238</v>
      </c>
      <c r="E1249" s="11" t="n">
        <v>19.9238</v>
      </c>
      <c r="F1249" s="12" t="n">
        <f aca="false">IF(C1249="","",B1249/C1249)</f>
        <v>1197.48345515355</v>
      </c>
      <c r="G1249" s="12" t="n">
        <f aca="false">MEDIAN(F1239:F1259)</f>
        <v>1202.24108589121</v>
      </c>
      <c r="H1249" s="13" t="n">
        <f aca="false">B1249/G1249</f>
        <v>19.595944837084</v>
      </c>
      <c r="I1249" s="14" t="n">
        <f aca="false">B1249/Summary!$C$8*100</f>
        <v>236.083915383151</v>
      </c>
      <c r="J1249" s="14" t="n">
        <f aca="false">G1249/Summary!$E$8*100</f>
        <v>204.327874041937</v>
      </c>
      <c r="K1249" s="15" t="n">
        <f aca="false">Summary!$D$9</f>
        <v>16.9374488591431</v>
      </c>
      <c r="L1249" s="16" t="str">
        <f aca="false">IF(OR(D1249="",E1249=""),"edge hidden",IF(AND(H1249&gt;=D1249-0.02,H1249&lt;=E1249+0.02),"yes","no"))</f>
        <v>yes</v>
      </c>
    </row>
    <row r="1250" customFormat="false" ht="15" hidden="false" customHeight="false" outlineLevel="0" collapsed="false">
      <c r="A1250" s="9" t="n">
        <v>45610</v>
      </c>
      <c r="B1250" s="10" t="n">
        <v>23532.7</v>
      </c>
      <c r="C1250" s="11" t="n">
        <v>19.5793</v>
      </c>
      <c r="D1250" s="11" t="n">
        <v>19.3923</v>
      </c>
      <c r="E1250" s="11" t="n">
        <v>19.7663</v>
      </c>
      <c r="F1250" s="12" t="n">
        <f aca="false">IF(C1250="","",B1250/C1250)</f>
        <v>1201.91733105882</v>
      </c>
      <c r="G1250" s="12" t="n">
        <f aca="false">MEDIAN(F1240:F1260)</f>
        <v>1203.57810400647</v>
      </c>
      <c r="H1250" s="13" t="n">
        <f aca="false">B1250/G1250</f>
        <v>19.5522832474805</v>
      </c>
      <c r="I1250" s="14" t="n">
        <f aca="false">B1250/Summary!$C$8*100</f>
        <v>235.819863514746</v>
      </c>
      <c r="J1250" s="14" t="n">
        <f aca="false">G1250/Summary!$E$8*100</f>
        <v>204.555108057022</v>
      </c>
      <c r="K1250" s="15" t="n">
        <f aca="false">Summary!$D$9</f>
        <v>16.9374488591431</v>
      </c>
      <c r="L1250" s="16" t="str">
        <f aca="false">IF(OR(D1250="",E1250=""),"edge hidden",IF(AND(H1250&gt;=D1250-0.02,H1250&lt;=E1250+0.02),"yes","no"))</f>
        <v>yes</v>
      </c>
    </row>
    <row r="1251" customFormat="false" ht="15" hidden="false" customHeight="false" outlineLevel="0" collapsed="false">
      <c r="A1251" s="9" t="n">
        <v>45614</v>
      </c>
      <c r="B1251" s="10" t="n">
        <v>23453.8</v>
      </c>
      <c r="C1251" s="11" t="n">
        <v>19.5084</v>
      </c>
      <c r="D1251" s="11" t="n">
        <v>19.3057</v>
      </c>
      <c r="E1251" s="11" t="n">
        <v>19.7112</v>
      </c>
      <c r="F1251" s="12" t="n">
        <f aca="false">IF(C1251="","",B1251/C1251)</f>
        <v>1202.24108589121</v>
      </c>
      <c r="G1251" s="12" t="n">
        <f aca="false">MEDIAN(F1241:F1261)</f>
        <v>1203.96671164186</v>
      </c>
      <c r="H1251" s="13" t="n">
        <f aca="false">B1251/G1251</f>
        <v>19.4804389300895</v>
      </c>
      <c r="I1251" s="14" t="n">
        <f aca="false">B1251/Summary!$C$8*100</f>
        <v>235.029211051097</v>
      </c>
      <c r="J1251" s="14" t="n">
        <f aca="false">G1251/Summary!$E$8*100</f>
        <v>204.621154187793</v>
      </c>
      <c r="K1251" s="15" t="n">
        <f aca="false">Summary!$D$9</f>
        <v>16.9374488591431</v>
      </c>
      <c r="L1251" s="16" t="str">
        <f aca="false">IF(OR(D1251="",E1251=""),"edge hidden",IF(AND(H1251&gt;=D1251-0.02,H1251&lt;=E1251+0.02),"yes","no"))</f>
        <v>yes</v>
      </c>
    </row>
    <row r="1252" customFormat="false" ht="15" hidden="false" customHeight="false" outlineLevel="0" collapsed="false">
      <c r="A1252" s="9" t="n">
        <v>45615</v>
      </c>
      <c r="B1252" s="10" t="n">
        <v>23518.5</v>
      </c>
      <c r="C1252" s="11" t="n">
        <v>19.5084</v>
      </c>
      <c r="D1252" s="11" t="n">
        <v>19.2978</v>
      </c>
      <c r="E1252" s="11" t="n">
        <v>19.7191</v>
      </c>
      <c r="F1252" s="12" t="n">
        <f aca="false">IF(C1252="","",B1252/C1252)</f>
        <v>1205.55760595436</v>
      </c>
      <c r="G1252" s="12" t="n">
        <f aca="false">MEDIAN(F1242:F1262)</f>
        <v>1205.55760595436</v>
      </c>
      <c r="H1252" s="13" t="n">
        <f aca="false">B1252/G1252</f>
        <v>19.5084</v>
      </c>
      <c r="I1252" s="14" t="n">
        <f aca="false">B1252/Summary!$C$8*100</f>
        <v>235.677566113177</v>
      </c>
      <c r="J1252" s="14" t="n">
        <f aca="false">G1252/Summary!$E$8*100</f>
        <v>204.891535941097</v>
      </c>
      <c r="K1252" s="15" t="n">
        <f aca="false">Summary!$D$9</f>
        <v>16.9374488591431</v>
      </c>
      <c r="L1252" s="16" t="str">
        <f aca="false">IF(OR(D1252="",E1252=""),"edge hidden",IF(AND(H1252&gt;=D1252-0.02,H1252&lt;=E1252+0.02),"yes","no"))</f>
        <v>yes</v>
      </c>
    </row>
    <row r="1253" customFormat="false" ht="15" hidden="false" customHeight="false" outlineLevel="0" collapsed="false">
      <c r="A1253" s="9" t="n">
        <v>45617</v>
      </c>
      <c r="B1253" s="10" t="n">
        <v>23349.9</v>
      </c>
      <c r="C1253" s="11" t="n">
        <v>19.5951</v>
      </c>
      <c r="D1253" s="11" t="n">
        <v>19.2978</v>
      </c>
      <c r="E1253" s="11" t="n">
        <v>19.8923</v>
      </c>
      <c r="F1253" s="12" t="n">
        <f aca="false">IF(C1253="","",B1253/C1253)</f>
        <v>1191.61933340478</v>
      </c>
      <c r="G1253" s="12" t="n">
        <f aca="false">MEDIAN(F1243:F1263)</f>
        <v>1208.35267623441</v>
      </c>
      <c r="H1253" s="13" t="n">
        <f aca="false">B1253/G1253</f>
        <v>19.3237458394724</v>
      </c>
      <c r="I1253" s="14" t="n">
        <f aca="false">B1253/Summary!$C$8*100</f>
        <v>233.988034993136</v>
      </c>
      <c r="J1253" s="14" t="n">
        <f aca="false">G1253/Summary!$E$8*100</f>
        <v>205.36657441285</v>
      </c>
      <c r="K1253" s="15" t="n">
        <f aca="false">Summary!$D$9</f>
        <v>16.9374488591431</v>
      </c>
      <c r="L1253" s="16" t="str">
        <f aca="false">IF(OR(D1253="",E1253=""),"edge hidden",IF(AND(H1253&gt;=D1253-0.02,H1253&lt;=E1253+0.02),"yes","no"))</f>
        <v>yes</v>
      </c>
    </row>
    <row r="1254" customFormat="false" ht="15" hidden="false" customHeight="false" outlineLevel="0" collapsed="false">
      <c r="A1254" s="9" t="n">
        <v>45618</v>
      </c>
      <c r="B1254" s="10" t="n">
        <v>23907.25</v>
      </c>
      <c r="C1254" s="11" t="n">
        <v>19.6305</v>
      </c>
      <c r="D1254" s="11" t="n">
        <v>19.2978</v>
      </c>
      <c r="E1254" s="11" t="n">
        <v>19.9632</v>
      </c>
      <c r="F1254" s="12" t="n">
        <f aca="false">IF(C1254="","",B1254/C1254)</f>
        <v>1217.86250986985</v>
      </c>
      <c r="G1254" s="12" t="n">
        <f aca="false">MEDIAN(F1244:F1264)</f>
        <v>1208.66411888746</v>
      </c>
      <c r="H1254" s="13" t="n">
        <f aca="false">B1254/G1254</f>
        <v>19.7798955279701</v>
      </c>
      <c r="I1254" s="14" t="n">
        <f aca="false">B1254/Summary!$C$8*100</f>
        <v>239.57320800473</v>
      </c>
      <c r="J1254" s="14" t="n">
        <f aca="false">G1254/Summary!$E$8*100</f>
        <v>205.419505905486</v>
      </c>
      <c r="K1254" s="15" t="n">
        <f aca="false">Summary!$D$9</f>
        <v>16.9374488591431</v>
      </c>
      <c r="L1254" s="16" t="str">
        <f aca="false">IF(OR(D1254="",E1254=""),"edge hidden",IF(AND(H1254&gt;=D1254-0.02,H1254&lt;=E1254+0.02),"yes","no"))</f>
        <v>yes</v>
      </c>
    </row>
    <row r="1255" customFormat="false" ht="15" hidden="false" customHeight="false" outlineLevel="0" collapsed="false">
      <c r="A1255" s="9" t="n">
        <v>45621</v>
      </c>
      <c r="B1255" s="10" t="n">
        <v>24221.9</v>
      </c>
      <c r="C1255" s="11" t="n">
        <v>19.8431</v>
      </c>
      <c r="D1255" s="11" t="n">
        <v>19.6915</v>
      </c>
      <c r="E1255" s="11" t="n">
        <v>19.9947</v>
      </c>
      <c r="F1255" s="12" t="n">
        <f aca="false">IF(C1255="","",B1255/C1255)</f>
        <v>1220.67116529171</v>
      </c>
      <c r="G1255" s="12" t="n">
        <f aca="false">MEDIAN(F1245:F1265)</f>
        <v>1208.35267623441</v>
      </c>
      <c r="H1255" s="13" t="n">
        <f aca="false">B1255/G1255</f>
        <v>20.0453894598742</v>
      </c>
      <c r="I1255" s="14" t="n">
        <f aca="false">B1255/Summary!$C$8*100</f>
        <v>242.726297962742</v>
      </c>
      <c r="J1255" s="14" t="n">
        <f aca="false">G1255/Summary!$E$8*100</f>
        <v>205.36657441285</v>
      </c>
      <c r="K1255" s="15" t="n">
        <f aca="false">Summary!$D$9</f>
        <v>16.9374488591431</v>
      </c>
      <c r="L1255" s="16" t="str">
        <f aca="false">IF(OR(D1255="",E1255=""),"edge hidden",IF(AND(H1255&gt;=D1255-0.02,H1255&lt;=E1255+0.02),"yes","no"))</f>
        <v>no</v>
      </c>
    </row>
    <row r="1256" customFormat="false" ht="15" hidden="false" customHeight="false" outlineLevel="0" collapsed="false">
      <c r="A1256" s="9" t="n">
        <v>45622</v>
      </c>
      <c r="B1256" s="10" t="n">
        <v>24194.5</v>
      </c>
      <c r="C1256" s="11" t="n">
        <v>19.8549</v>
      </c>
      <c r="D1256" s="11" t="n">
        <v>19.7073</v>
      </c>
      <c r="E1256" s="11" t="n">
        <v>20.0025</v>
      </c>
      <c r="F1256" s="12" t="n">
        <f aca="false">IF(C1256="","",B1256/C1256)</f>
        <v>1218.56569411077</v>
      </c>
      <c r="G1256" s="12" t="n">
        <f aca="false">MEDIAN(F1246:F1266)</f>
        <v>1208.35267623441</v>
      </c>
      <c r="H1256" s="13" t="n">
        <f aca="false">B1256/G1256</f>
        <v>20.0227139607928</v>
      </c>
      <c r="I1256" s="14" t="n">
        <f aca="false">B1256/Summary!$C$8*100</f>
        <v>242.451724103376</v>
      </c>
      <c r="J1256" s="14" t="n">
        <f aca="false">G1256/Summary!$E$8*100</f>
        <v>205.36657441285</v>
      </c>
      <c r="K1256" s="15" t="n">
        <f aca="false">Summary!$D$9</f>
        <v>16.9374488591431</v>
      </c>
      <c r="L1256" s="16" t="str">
        <f aca="false">IF(OR(D1256="",E1256=""),"edge hidden",IF(AND(H1256&gt;=D1256-0.02,H1256&lt;=E1256+0.02),"yes","no"))</f>
        <v>no</v>
      </c>
    </row>
    <row r="1257" customFormat="false" ht="15" hidden="false" customHeight="false" outlineLevel="0" collapsed="false">
      <c r="A1257" s="9" t="n">
        <v>45623</v>
      </c>
      <c r="B1257" s="10" t="n">
        <v>24274.9</v>
      </c>
      <c r="C1257" s="11" t="n">
        <v>19.8588</v>
      </c>
      <c r="D1257" s="11" t="n">
        <v>19.7073</v>
      </c>
      <c r="E1257" s="11" t="n">
        <v>20.0104</v>
      </c>
      <c r="F1257" s="12" t="n">
        <f aca="false">IF(C1257="","",B1257/C1257)</f>
        <v>1222.37496726892</v>
      </c>
      <c r="G1257" s="12" t="n">
        <f aca="false">MEDIAN(F1247:F1267)</f>
        <v>1208.35267623441</v>
      </c>
      <c r="H1257" s="13" t="n">
        <f aca="false">B1257/G1257</f>
        <v>20.0892508267106</v>
      </c>
      <c r="I1257" s="14" t="n">
        <f aca="false">B1257/Summary!$C$8*100</f>
        <v>243.257407982684</v>
      </c>
      <c r="J1257" s="14" t="n">
        <f aca="false">G1257/Summary!$E$8*100</f>
        <v>205.36657441285</v>
      </c>
      <c r="K1257" s="15" t="n">
        <f aca="false">Summary!$D$9</f>
        <v>16.9374488591431</v>
      </c>
      <c r="L1257" s="16" t="str">
        <f aca="false">IF(OR(D1257="",E1257=""),"edge hidden",IF(AND(H1257&gt;=D1257-0.02,H1257&lt;=E1257+0.02),"yes","no"))</f>
        <v>no</v>
      </c>
    </row>
    <row r="1258" customFormat="false" ht="15" hidden="false" customHeight="false" outlineLevel="0" collapsed="false">
      <c r="A1258" s="9" t="n">
        <v>45624</v>
      </c>
      <c r="B1258" s="10" t="n">
        <v>23914.15</v>
      </c>
      <c r="C1258" s="11" t="n">
        <v>19.8628</v>
      </c>
      <c r="D1258" s="11" t="n">
        <v>19.7073</v>
      </c>
      <c r="E1258" s="11" t="n">
        <v>20.0183</v>
      </c>
      <c r="F1258" s="12" t="n">
        <f aca="false">IF(C1258="","",B1258/C1258)</f>
        <v>1203.96671164186</v>
      </c>
      <c r="G1258" s="12" t="n">
        <f aca="false">MEDIAN(F1248:F1268)</f>
        <v>1208.03796413409</v>
      </c>
      <c r="H1258" s="13" t="n">
        <f aca="false">B1258/G1258</f>
        <v>19.7958596583853</v>
      </c>
      <c r="I1258" s="14" t="n">
        <f aca="false">B1258/Summary!$C$8*100</f>
        <v>239.64235251676</v>
      </c>
      <c r="J1258" s="14" t="n">
        <f aca="false">G1258/Summary!$E$8*100</f>
        <v>205.313087258611</v>
      </c>
      <c r="K1258" s="15" t="n">
        <f aca="false">Summary!$D$9</f>
        <v>16.9374488591431</v>
      </c>
      <c r="L1258" s="16" t="str">
        <f aca="false">IF(OR(D1258="",E1258=""),"edge hidden",IF(AND(H1258&gt;=D1258-0.02,H1258&lt;=E1258+0.02),"yes","no"))</f>
        <v>yes</v>
      </c>
    </row>
    <row r="1259" customFormat="false" ht="15" hidden="false" customHeight="false" outlineLevel="0" collapsed="false">
      <c r="A1259" s="9" t="n">
        <v>45625</v>
      </c>
      <c r="B1259" s="10" t="n">
        <v>24131.1</v>
      </c>
      <c r="C1259" s="11" t="n">
        <v>19.9651</v>
      </c>
      <c r="D1259" s="11" t="n">
        <v>19.723</v>
      </c>
      <c r="E1259" s="11" t="n">
        <v>20.2073</v>
      </c>
      <c r="F1259" s="12" t="n">
        <f aca="false">IF(C1259="","",B1259/C1259)</f>
        <v>1208.66411888746</v>
      </c>
      <c r="G1259" s="12" t="n">
        <f aca="false">MEDIAN(F1249:F1269)</f>
        <v>1208.03796413409</v>
      </c>
      <c r="H1259" s="13" t="n">
        <f aca="false">B1259/G1259</f>
        <v>19.9754483852641</v>
      </c>
      <c r="I1259" s="14" t="n">
        <f aca="false">B1259/Summary!$C$8*100</f>
        <v>241.816396268201</v>
      </c>
      <c r="J1259" s="14" t="n">
        <f aca="false">G1259/Summary!$E$8*100</f>
        <v>205.313087258611</v>
      </c>
      <c r="K1259" s="15" t="n">
        <f aca="false">Summary!$D$9</f>
        <v>16.9374488591431</v>
      </c>
      <c r="L1259" s="16" t="str">
        <f aca="false">IF(OR(D1259="",E1259=""),"edge hidden",IF(AND(H1259&gt;=D1259-0.02,H1259&lt;=E1259+0.02),"yes","no"))</f>
        <v>yes</v>
      </c>
    </row>
    <row r="1260" customFormat="false" ht="15" hidden="false" customHeight="false" outlineLevel="0" collapsed="false">
      <c r="A1260" s="9" t="n">
        <v>45628</v>
      </c>
      <c r="B1260" s="10" t="n">
        <v>24276.05</v>
      </c>
      <c r="C1260" s="11" t="n">
        <v>20.1699</v>
      </c>
      <c r="D1260" s="11" t="n">
        <v>19.8726</v>
      </c>
      <c r="E1260" s="11" t="n">
        <v>20.4671</v>
      </c>
      <c r="F1260" s="12" t="n">
        <f aca="false">IF(C1260="","",B1260/C1260)</f>
        <v>1203.57810400647</v>
      </c>
      <c r="G1260" s="12" t="n">
        <f aca="false">MEDIAN(F1250:F1270)</f>
        <v>1208.35267623441</v>
      </c>
      <c r="H1260" s="13" t="n">
        <f aca="false">B1260/G1260</f>
        <v>20.0902025356136</v>
      </c>
      <c r="I1260" s="14" t="n">
        <f aca="false">B1260/Summary!$C$8*100</f>
        <v>243.268932068022</v>
      </c>
      <c r="J1260" s="14" t="n">
        <f aca="false">G1260/Summary!$E$8*100</f>
        <v>205.36657441285</v>
      </c>
      <c r="K1260" s="15" t="n">
        <f aca="false">Summary!$D$9</f>
        <v>16.9374488591431</v>
      </c>
      <c r="L1260" s="16" t="str">
        <f aca="false">IF(OR(D1260="",E1260=""),"edge hidden",IF(AND(H1260&gt;=D1260-0.02,H1260&lt;=E1260+0.02),"yes","no"))</f>
        <v>yes</v>
      </c>
    </row>
    <row r="1261" customFormat="false" ht="15" hidden="false" customHeight="false" outlineLevel="0" collapsed="false">
      <c r="A1261" s="9" t="n">
        <v>45629</v>
      </c>
      <c r="B1261" s="10" t="n">
        <v>24457.15</v>
      </c>
      <c r="C1261" s="11" t="n">
        <v>20.1777</v>
      </c>
      <c r="D1261" s="11" t="n">
        <v>19.8884</v>
      </c>
      <c r="E1261" s="11" t="n">
        <v>20.4671</v>
      </c>
      <c r="F1261" s="12" t="n">
        <f aca="false">IF(C1261="","",B1261/C1261)</f>
        <v>1212.08809725588</v>
      </c>
      <c r="G1261" s="12" t="n">
        <f aca="false">MEDIAN(F1251:F1271)</f>
        <v>1208.66411888746</v>
      </c>
      <c r="H1261" s="13" t="n">
        <f aca="false">B1261/G1261</f>
        <v>20.2348606348239</v>
      </c>
      <c r="I1261" s="14" t="n">
        <f aca="false">B1261/Summary!$C$8*100</f>
        <v>245.083724985219</v>
      </c>
      <c r="J1261" s="14" t="n">
        <f aca="false">G1261/Summary!$E$8*100</f>
        <v>205.419505905486</v>
      </c>
      <c r="K1261" s="15" t="n">
        <f aca="false">Summary!$D$9</f>
        <v>16.9374488591431</v>
      </c>
      <c r="L1261" s="16" t="str">
        <f aca="false">IF(OR(D1261="",E1261=""),"edge hidden",IF(AND(H1261&gt;=D1261-0.02,H1261&lt;=E1261+0.02),"yes","no"))</f>
        <v>yes</v>
      </c>
    </row>
    <row r="1262" customFormat="false" ht="15" hidden="false" customHeight="false" outlineLevel="0" collapsed="false">
      <c r="A1262" s="9" t="n">
        <v>45630</v>
      </c>
      <c r="B1262" s="10" t="n">
        <v>24467.45</v>
      </c>
      <c r="C1262" s="11" t="n">
        <v>20.2486</v>
      </c>
      <c r="D1262" s="11" t="n">
        <v>20.0222</v>
      </c>
      <c r="E1262" s="11" t="n">
        <v>20.475</v>
      </c>
      <c r="F1262" s="12" t="n">
        <f aca="false">IF(C1262="","",B1262/C1262)</f>
        <v>1208.35267623441</v>
      </c>
      <c r="G1262" s="12" t="n">
        <f aca="false">MEDIAN(F1252:F1272)</f>
        <v>1210.97234830827</v>
      </c>
      <c r="H1262" s="13" t="n">
        <f aca="false">B1262/G1262</f>
        <v>20.204796611732</v>
      </c>
      <c r="I1262" s="14" t="n">
        <f aca="false">B1262/Summary!$C$8*100</f>
        <v>245.186940706076</v>
      </c>
      <c r="J1262" s="14" t="n">
        <f aca="false">G1262/Summary!$E$8*100</f>
        <v>205.811802937994</v>
      </c>
      <c r="K1262" s="15" t="n">
        <f aca="false">Summary!$D$9</f>
        <v>16.9374488591431</v>
      </c>
      <c r="L1262" s="16" t="str">
        <f aca="false">IF(OR(D1262="",E1262=""),"edge hidden",IF(AND(H1262&gt;=D1262-0.02,H1262&lt;=E1262+0.02),"yes","no"))</f>
        <v>yes</v>
      </c>
    </row>
    <row r="1263" customFormat="false" ht="15" hidden="false" customHeight="false" outlineLevel="0" collapsed="false">
      <c r="A1263" s="9" t="n">
        <v>45631</v>
      </c>
      <c r="B1263" s="10" t="n">
        <v>24708.4</v>
      </c>
      <c r="C1263" s="11" t="n">
        <v>20.3706</v>
      </c>
      <c r="D1263" s="11" t="n">
        <v>20.2742</v>
      </c>
      <c r="E1263" s="11" t="n">
        <v>20.4671</v>
      </c>
      <c r="F1263" s="12" t="n">
        <f aca="false">IF(C1263="","",B1263/C1263)</f>
        <v>1212.94414499327</v>
      </c>
      <c r="G1263" s="12" t="n">
        <f aca="false">MEDIAN(F1253:F1273)</f>
        <v>1210.97234830827</v>
      </c>
      <c r="H1263" s="13" t="n">
        <f aca="false">B1263/G1263</f>
        <v>20.4037689502306</v>
      </c>
      <c r="I1263" s="14" t="n">
        <f aca="false">B1263/Summary!$C$8*100</f>
        <v>247.601487108056</v>
      </c>
      <c r="J1263" s="14" t="n">
        <f aca="false">G1263/Summary!$E$8*100</f>
        <v>205.811802937994</v>
      </c>
      <c r="K1263" s="15" t="n">
        <f aca="false">Summary!$D$9</f>
        <v>16.9374488591431</v>
      </c>
      <c r="L1263" s="16" t="str">
        <f aca="false">IF(OR(D1263="",E1263=""),"edge hidden",IF(AND(H1263&gt;=D1263-0.02,H1263&lt;=E1263+0.02),"yes","no"))</f>
        <v>yes</v>
      </c>
    </row>
    <row r="1264" customFormat="false" ht="15" hidden="false" customHeight="false" outlineLevel="0" collapsed="false">
      <c r="A1264" s="9" t="n">
        <v>45632</v>
      </c>
      <c r="B1264" s="10" t="n">
        <v>24677.8</v>
      </c>
      <c r="C1264" s="11" t="n">
        <v>20.3785</v>
      </c>
      <c r="D1264" s="11" t="n">
        <v>20.2899</v>
      </c>
      <c r="E1264" s="11" t="n">
        <v>20.4671</v>
      </c>
      <c r="F1264" s="12" t="n">
        <f aca="false">IF(C1264="","",B1264/C1264)</f>
        <v>1210.97234830827</v>
      </c>
      <c r="G1264" s="12" t="n">
        <f aca="false">MEDIAN(F1254:F1274)</f>
        <v>1210.97234830827</v>
      </c>
      <c r="H1264" s="13" t="n">
        <f aca="false">B1264/G1264</f>
        <v>20.3785</v>
      </c>
      <c r="I1264" s="14" t="n">
        <f aca="false">B1264/Summary!$C$8*100</f>
        <v>247.294846228618</v>
      </c>
      <c r="J1264" s="14" t="n">
        <f aca="false">G1264/Summary!$E$8*100</f>
        <v>205.811802937994</v>
      </c>
      <c r="K1264" s="15" t="n">
        <f aca="false">Summary!$D$9</f>
        <v>16.9374488591431</v>
      </c>
      <c r="L1264" s="16" t="str">
        <f aca="false">IF(OR(D1264="",E1264=""),"edge hidden",IF(AND(H1264&gt;=D1264-0.02,H1264&lt;=E1264+0.02),"yes","no"))</f>
        <v>yes</v>
      </c>
    </row>
    <row r="1265" customFormat="false" ht="15" hidden="false" customHeight="false" outlineLevel="0" collapsed="false">
      <c r="A1265" s="9" t="n">
        <v>45635</v>
      </c>
      <c r="B1265" s="10" t="n">
        <v>24619</v>
      </c>
      <c r="C1265" s="11" t="n">
        <v>20.3903</v>
      </c>
      <c r="D1265" s="11" t="n">
        <v>20.3214</v>
      </c>
      <c r="E1265" s="11" t="n">
        <v>20.4592</v>
      </c>
      <c r="F1265" s="12" t="n">
        <f aca="false">IF(C1265="","",B1265/C1265)</f>
        <v>1207.38782656459</v>
      </c>
      <c r="G1265" s="12" t="n">
        <f aca="false">MEDIAN(F1255:F1275)</f>
        <v>1210.97234830827</v>
      </c>
      <c r="H1265" s="13" t="n">
        <f aca="false">B1265/G1265</f>
        <v>20.3299439779883</v>
      </c>
      <c r="I1265" s="14" t="n">
        <f aca="false">B1265/Summary!$C$8*100</f>
        <v>246.705614734796</v>
      </c>
      <c r="J1265" s="14" t="n">
        <f aca="false">G1265/Summary!$E$8*100</f>
        <v>205.811802937994</v>
      </c>
      <c r="K1265" s="15" t="n">
        <f aca="false">Summary!$D$9</f>
        <v>16.9374488591431</v>
      </c>
      <c r="L1265" s="16" t="str">
        <f aca="false">IF(OR(D1265="",E1265=""),"edge hidden",IF(AND(H1265&gt;=D1265-0.02,H1265&lt;=E1265+0.02),"yes","no"))</f>
        <v>yes</v>
      </c>
    </row>
    <row r="1266" customFormat="false" ht="15" hidden="false" customHeight="false" outlineLevel="0" collapsed="false">
      <c r="A1266" s="9" t="n">
        <v>45636</v>
      </c>
      <c r="B1266" s="10" t="n">
        <v>24610.05</v>
      </c>
      <c r="C1266" s="11" t="n">
        <v>20.3903</v>
      </c>
      <c r="D1266" s="11" t="n">
        <v>20.3136</v>
      </c>
      <c r="E1266" s="11" t="n">
        <v>20.4671</v>
      </c>
      <c r="F1266" s="12" t="n">
        <f aca="false">IF(C1266="","",B1266/C1266)</f>
        <v>1206.94889236549</v>
      </c>
      <c r="G1266" s="12" t="n">
        <f aca="false">MEDIAN(F1256:F1276)</f>
        <v>1210.97234830827</v>
      </c>
      <c r="H1266" s="13" t="n">
        <f aca="false">B1266/G1266</f>
        <v>20.3225532229372</v>
      </c>
      <c r="I1266" s="14" t="n">
        <f aca="false">B1266/Summary!$C$8*100</f>
        <v>246.615927288032</v>
      </c>
      <c r="J1266" s="14" t="n">
        <f aca="false">G1266/Summary!$E$8*100</f>
        <v>205.811802937994</v>
      </c>
      <c r="K1266" s="15" t="n">
        <f aca="false">Summary!$D$9</f>
        <v>16.9374488591431</v>
      </c>
      <c r="L1266" s="16" t="str">
        <f aca="false">IF(OR(D1266="",E1266=""),"edge hidden",IF(AND(H1266&gt;=D1266-0.02,H1266&lt;=E1266+0.02),"yes","no"))</f>
        <v>yes</v>
      </c>
    </row>
    <row r="1267" customFormat="false" ht="15" hidden="false" customHeight="false" outlineLevel="0" collapsed="false">
      <c r="A1267" s="9" t="n">
        <v>45637</v>
      </c>
      <c r="B1267" s="10" t="n">
        <v>24641.8</v>
      </c>
      <c r="C1267" s="11" t="n">
        <v>20.3982</v>
      </c>
      <c r="D1267" s="11" t="n">
        <v>20.3136</v>
      </c>
      <c r="E1267" s="11" t="n">
        <v>20.4828</v>
      </c>
      <c r="F1267" s="12" t="n">
        <f aca="false">IF(C1267="","",B1267/C1267)</f>
        <v>1208.03796413409</v>
      </c>
      <c r="G1267" s="12" t="n">
        <f aca="false">MEDIAN(F1257:F1277)</f>
        <v>1210.97234830827</v>
      </c>
      <c r="H1267" s="13" t="n">
        <f aca="false">B1267/G1267</f>
        <v>20.3487718232581</v>
      </c>
      <c r="I1267" s="14" t="n">
        <f aca="false">B1267/Summary!$C$8*100</f>
        <v>246.934092252808</v>
      </c>
      <c r="J1267" s="14" t="n">
        <f aca="false">G1267/Summary!$E$8*100</f>
        <v>205.811802937994</v>
      </c>
      <c r="K1267" s="15" t="n">
        <f aca="false">Summary!$D$9</f>
        <v>16.9374488591431</v>
      </c>
      <c r="L1267" s="16" t="str">
        <f aca="false">IF(OR(D1267="",E1267=""),"edge hidden",IF(AND(H1267&gt;=D1267-0.02,H1267&lt;=E1267+0.02),"yes","no"))</f>
        <v>yes</v>
      </c>
    </row>
    <row r="1268" customFormat="false" ht="15" hidden="false" customHeight="false" outlineLevel="0" collapsed="false">
      <c r="A1268" s="9" t="n">
        <v>45638</v>
      </c>
      <c r="B1268" s="10" t="n">
        <v>24548.7</v>
      </c>
      <c r="C1268" s="11" t="n">
        <v>20.3903</v>
      </c>
      <c r="D1268" s="11" t="n">
        <v>20.2899</v>
      </c>
      <c r="E1268" s="11" t="n">
        <v>20.4907</v>
      </c>
      <c r="F1268" s="12" t="n">
        <f aca="false">IF(C1268="","",B1268/C1268)</f>
        <v>1203.94010877721</v>
      </c>
      <c r="G1268" s="12" t="n">
        <f aca="false">MEDIAN(F1258:F1278)</f>
        <v>1210.97234830827</v>
      </c>
      <c r="H1268" s="13" t="n">
        <f aca="false">B1268/G1268</f>
        <v>20.271891455073</v>
      </c>
      <c r="I1268" s="14" t="n">
        <f aca="false">B1268/Summary!$C$8*100</f>
        <v>246.00114238759</v>
      </c>
      <c r="J1268" s="14" t="n">
        <f aca="false">G1268/Summary!$E$8*100</f>
        <v>205.811802937994</v>
      </c>
      <c r="K1268" s="15" t="n">
        <f aca="false">Summary!$D$9</f>
        <v>16.9374488591431</v>
      </c>
      <c r="L1268" s="16" t="str">
        <f aca="false">IF(OR(D1268="",E1268=""),"edge hidden",IF(AND(H1268&gt;=D1268-0.02,H1268&lt;=E1268+0.02),"yes","no"))</f>
        <v>yes</v>
      </c>
    </row>
    <row r="1269" customFormat="false" ht="15" hidden="false" customHeight="false" outlineLevel="0" collapsed="false">
      <c r="A1269" s="9" t="n">
        <v>45639</v>
      </c>
      <c r="B1269" s="10" t="n">
        <v>24768.3</v>
      </c>
      <c r="C1269" s="11" t="n">
        <v>20.347</v>
      </c>
      <c r="D1269" s="11" t="n">
        <v>20.2033</v>
      </c>
      <c r="E1269" s="11" t="n">
        <v>20.4907</v>
      </c>
      <c r="F1269" s="12" t="n">
        <f aca="false">IF(C1269="","",B1269/C1269)</f>
        <v>1217.29493291394</v>
      </c>
      <c r="G1269" s="12" t="n">
        <f aca="false">MEDIAN(F1259:F1279)</f>
        <v>1212.08809725588</v>
      </c>
      <c r="H1269" s="13" t="n">
        <f aca="false">B1269/G1269</f>
        <v>20.4344057631408</v>
      </c>
      <c r="I1269" s="14" t="n">
        <f aca="false">B1269/Summary!$C$8*100</f>
        <v>248.201741640028</v>
      </c>
      <c r="J1269" s="14" t="n">
        <f aca="false">G1269/Summary!$E$8*100</f>
        <v>206.001430969431</v>
      </c>
      <c r="K1269" s="15" t="n">
        <f aca="false">Summary!$D$9</f>
        <v>16.9374488591431</v>
      </c>
      <c r="L1269" s="16" t="str">
        <f aca="false">IF(OR(D1269="",E1269=""),"edge hidden",IF(AND(H1269&gt;=D1269-0.02,H1269&lt;=E1269+0.02),"yes","no"))</f>
        <v>yes</v>
      </c>
    </row>
    <row r="1270" customFormat="false" ht="15" hidden="false" customHeight="false" outlineLevel="0" collapsed="false">
      <c r="A1270" s="9" t="n">
        <v>45642</v>
      </c>
      <c r="B1270" s="10" t="n">
        <v>24668.25</v>
      </c>
      <c r="C1270" s="11" t="n">
        <v>20.0321</v>
      </c>
      <c r="D1270" s="11" t="n">
        <v>19.5813</v>
      </c>
      <c r="E1270" s="11" t="n">
        <v>20.4828</v>
      </c>
      <c r="F1270" s="12" t="n">
        <f aca="false">IF(C1270="","",B1270/C1270)</f>
        <v>1231.43604514754</v>
      </c>
      <c r="G1270" s="12" t="n">
        <f aca="false">MEDIAN(F1260:F1280)</f>
        <v>1212.94414499327</v>
      </c>
      <c r="H1270" s="13" t="n">
        <f aca="false">B1270/G1270</f>
        <v>20.3374987231063</v>
      </c>
      <c r="I1270" s="14" t="n">
        <f aca="false">B1270/Summary!$C$8*100</f>
        <v>247.199146215591</v>
      </c>
      <c r="J1270" s="14" t="n">
        <f aca="false">G1270/Summary!$E$8*100</f>
        <v>206.146921267769</v>
      </c>
      <c r="K1270" s="15" t="n">
        <f aca="false">Summary!$D$9</f>
        <v>16.9374488591431</v>
      </c>
      <c r="L1270" s="16" t="str">
        <f aca="false">IF(OR(D1270="",E1270=""),"edge hidden",IF(AND(H1270&gt;=D1270-0.02,H1270&lt;=E1270+0.02),"yes","no"))</f>
        <v>yes</v>
      </c>
    </row>
    <row r="1271" customFormat="false" ht="15" hidden="false" customHeight="false" outlineLevel="0" collapsed="false">
      <c r="A1271" s="9" t="n">
        <v>45643</v>
      </c>
      <c r="B1271" s="10" t="n">
        <v>24336</v>
      </c>
      <c r="C1271" s="11" t="n">
        <v>19.9927</v>
      </c>
      <c r="D1271" s="11" t="n">
        <v>19.5104</v>
      </c>
      <c r="E1271" s="11" t="n">
        <v>20.475</v>
      </c>
      <c r="F1271" s="12" t="n">
        <f aca="false">IF(C1271="","",B1271/C1271)</f>
        <v>1217.24429416737</v>
      </c>
      <c r="G1271" s="12" t="n">
        <f aca="false">MEDIAN(F1261:F1281)</f>
        <v>1213.2506875744</v>
      </c>
      <c r="H1271" s="13" t="n">
        <f aca="false">B1271/G1271</f>
        <v>20.058509135201</v>
      </c>
      <c r="I1271" s="14" t="n">
        <f aca="false">B1271/Summary!$C$8*100</f>
        <v>243.869687647183</v>
      </c>
      <c r="J1271" s="14" t="n">
        <f aca="false">G1271/Summary!$E$8*100</f>
        <v>206.199019964644</v>
      </c>
      <c r="K1271" s="15" t="n">
        <f aca="false">Summary!$D$9</f>
        <v>16.9374488591431</v>
      </c>
      <c r="L1271" s="16" t="str">
        <f aca="false">IF(OR(D1271="",E1271=""),"edge hidden",IF(AND(H1271&gt;=D1271-0.02,H1271&lt;=E1271+0.02),"yes","no"))</f>
        <v>yes</v>
      </c>
    </row>
    <row r="1272" customFormat="false" ht="15" hidden="false" customHeight="false" outlineLevel="0" collapsed="false">
      <c r="A1272" s="9" t="n">
        <v>45644</v>
      </c>
      <c r="B1272" s="10" t="n">
        <v>24198.85</v>
      </c>
      <c r="C1272" s="11" t="n">
        <v>19.9376</v>
      </c>
      <c r="D1272" s="11" t="n">
        <v>19.4868</v>
      </c>
      <c r="E1272" s="11" t="n">
        <v>20.3884</v>
      </c>
      <c r="F1272" s="12" t="n">
        <f aca="false">IF(C1272="","",B1272/C1272)</f>
        <v>1213.72933552684</v>
      </c>
      <c r="G1272" s="12" t="n">
        <f aca="false">MEDIAN(F1262:F1282)</f>
        <v>1213.25581872665</v>
      </c>
      <c r="H1272" s="13" t="n">
        <f aca="false">B1272/G1272</f>
        <v>19.9453813668064</v>
      </c>
      <c r="I1272" s="14" t="n">
        <f aca="false">B1272/Summary!$C$8*100</f>
        <v>242.495315208786</v>
      </c>
      <c r="J1272" s="14" t="n">
        <f aca="false">G1272/Summary!$E$8*100</f>
        <v>206.199892033852</v>
      </c>
      <c r="K1272" s="15" t="n">
        <f aca="false">Summary!$D$9</f>
        <v>16.9374488591431</v>
      </c>
      <c r="L1272" s="16" t="str">
        <f aca="false">IF(OR(D1272="",E1272=""),"edge hidden",IF(AND(H1272&gt;=D1272-0.02,H1272&lt;=E1272+0.02),"yes","no"))</f>
        <v>yes</v>
      </c>
    </row>
    <row r="1273" customFormat="false" ht="15" hidden="false" customHeight="false" outlineLevel="0" collapsed="false">
      <c r="A1273" s="9" t="n">
        <v>45645</v>
      </c>
      <c r="B1273" s="10" t="n">
        <v>23951.7</v>
      </c>
      <c r="C1273" s="11" t="n">
        <v>19.8273</v>
      </c>
      <c r="D1273" s="11" t="n">
        <v>19.4868</v>
      </c>
      <c r="E1273" s="11" t="n">
        <v>20.1679</v>
      </c>
      <c r="F1273" s="12" t="n">
        <f aca="false">IF(C1273="","",B1273/C1273)</f>
        <v>1208.01622006022</v>
      </c>
      <c r="G1273" s="12" t="n">
        <f aca="false">MEDIAN(F1263:F1283)</f>
        <v>1213.58500795327</v>
      </c>
      <c r="H1273" s="13" t="n">
        <f aca="false">B1273/G1273</f>
        <v>19.7363182991152</v>
      </c>
      <c r="I1273" s="14" t="n">
        <f aca="false">B1273/Summary!$C$8*100</f>
        <v>240.018638955417</v>
      </c>
      <c r="J1273" s="14" t="n">
        <f aca="false">G1273/Summary!$E$8*100</f>
        <v>206.255839660016</v>
      </c>
      <c r="K1273" s="15" t="n">
        <f aca="false">Summary!$D$9</f>
        <v>16.9374488591431</v>
      </c>
      <c r="L1273" s="16" t="str">
        <f aca="false">IF(OR(D1273="",E1273=""),"edge hidden",IF(AND(H1273&gt;=D1273-0.02,H1273&lt;=E1273+0.02),"yes","no"))</f>
        <v>yes</v>
      </c>
    </row>
    <row r="1274" customFormat="false" ht="15" hidden="false" customHeight="false" outlineLevel="0" collapsed="false">
      <c r="A1274" s="9" t="n">
        <v>45646</v>
      </c>
      <c r="B1274" s="10" t="n">
        <v>23587.5</v>
      </c>
      <c r="C1274" s="11" t="n">
        <v>19.7604</v>
      </c>
      <c r="D1274" s="11" t="n">
        <v>19.4789</v>
      </c>
      <c r="E1274" s="11" t="n">
        <v>20.0419</v>
      </c>
      <c r="F1274" s="12" t="n">
        <f aca="false">IF(C1274="","",B1274/C1274)</f>
        <v>1193.67522924637</v>
      </c>
      <c r="G1274" s="12" t="n">
        <f aca="false">MEDIAN(F1264:F1284)</f>
        <v>1213.72933552684</v>
      </c>
      <c r="H1274" s="13" t="n">
        <f aca="false">B1274/G1274</f>
        <v>19.4339045037264</v>
      </c>
      <c r="I1274" s="14" t="n">
        <f aca="false">B1274/Summary!$C$8*100</f>
        <v>236.369011233478</v>
      </c>
      <c r="J1274" s="14" t="n">
        <f aca="false">G1274/Summary!$E$8*100</f>
        <v>206.280368971665</v>
      </c>
      <c r="K1274" s="15" t="n">
        <f aca="false">Summary!$D$9</f>
        <v>16.9374488591431</v>
      </c>
      <c r="L1274" s="16" t="str">
        <f aca="false">IF(OR(D1274="",E1274=""),"edge hidden",IF(AND(H1274&gt;=D1274-0.02,H1274&lt;=E1274+0.02),"yes","no"))</f>
        <v>no</v>
      </c>
    </row>
    <row r="1275" customFormat="false" ht="15" hidden="false" customHeight="false" outlineLevel="0" collapsed="false">
      <c r="A1275" s="9" t="n">
        <v>45649</v>
      </c>
      <c r="B1275" s="10" t="n">
        <v>23753.45</v>
      </c>
      <c r="C1275" s="11" t="n">
        <v>19.5439</v>
      </c>
      <c r="D1275" s="11" t="n">
        <v>19.4789</v>
      </c>
      <c r="E1275" s="11" t="n">
        <v>19.6088</v>
      </c>
      <c r="F1275" s="12" t="n">
        <f aca="false">IF(C1275="","",B1275/C1275)</f>
        <v>1215.38945655678</v>
      </c>
      <c r="G1275" s="12" t="n">
        <f aca="false">MEDIAN(F1265:F1285)</f>
        <v>1215.22316426097</v>
      </c>
      <c r="H1275" s="13" t="n">
        <f aca="false">B1275/G1275</f>
        <v>19.5465744058997</v>
      </c>
      <c r="I1275" s="14" t="n">
        <f aca="false">B1275/Summary!$C$8*100</f>
        <v>238.031986852522</v>
      </c>
      <c r="J1275" s="14" t="n">
        <f aca="false">G1275/Summary!$E$8*100</f>
        <v>206.534253864645</v>
      </c>
      <c r="K1275" s="15" t="n">
        <f aca="false">Summary!$D$9</f>
        <v>16.9374488591431</v>
      </c>
      <c r="L1275" s="16" t="str">
        <f aca="false">IF(OR(D1275="",E1275=""),"edge hidden",IF(AND(H1275&gt;=D1275-0.02,H1275&lt;=E1275+0.02),"yes","no"))</f>
        <v>yes</v>
      </c>
    </row>
    <row r="1276" customFormat="false" ht="15" hidden="false" customHeight="false" outlineLevel="0" collapsed="false">
      <c r="A1276" s="9" t="n">
        <v>45650</v>
      </c>
      <c r="B1276" s="10" t="n">
        <v>23727.65</v>
      </c>
      <c r="C1276" s="11" t="n">
        <v>19.5517</v>
      </c>
      <c r="D1276" s="11" t="n">
        <v>19.4868</v>
      </c>
      <c r="E1276" s="11" t="n">
        <v>19.6167</v>
      </c>
      <c r="F1276" s="12" t="n">
        <f aca="false">IF(C1276="","",B1276/C1276)</f>
        <v>1213.58500795327</v>
      </c>
      <c r="G1276" s="12" t="n">
        <f aca="false">MEDIAN(F1266:F1286)</f>
        <v>1215.38945655678</v>
      </c>
      <c r="H1276" s="13" t="n">
        <f aca="false">B1276/G1276</f>
        <v>19.5226722364541</v>
      </c>
      <c r="I1276" s="14" t="n">
        <f aca="false">B1276/Summary!$C$8*100</f>
        <v>237.773446503192</v>
      </c>
      <c r="J1276" s="14" t="n">
        <f aca="false">G1276/Summary!$E$8*100</f>
        <v>206.562516208754</v>
      </c>
      <c r="K1276" s="15" t="n">
        <f aca="false">Summary!$D$9</f>
        <v>16.9374488591431</v>
      </c>
      <c r="L1276" s="16" t="str">
        <f aca="false">IF(OR(D1276="",E1276=""),"edge hidden",IF(AND(H1276&gt;=D1276-0.02,H1276&lt;=E1276+0.02),"yes","no"))</f>
        <v>yes</v>
      </c>
    </row>
    <row r="1277" customFormat="false" ht="15" hidden="false" customHeight="false" outlineLevel="0" collapsed="false">
      <c r="A1277" s="9" t="n">
        <v>45652</v>
      </c>
      <c r="B1277" s="10" t="n">
        <v>23750.2</v>
      </c>
      <c r="C1277" s="11" t="n">
        <v>19.5439</v>
      </c>
      <c r="D1277" s="11" t="n">
        <v>19.471</v>
      </c>
      <c r="E1277" s="11" t="n">
        <v>19.6167</v>
      </c>
      <c r="F1277" s="12" t="n">
        <f aca="false">IF(C1277="","",B1277/C1277)</f>
        <v>1215.22316426097</v>
      </c>
      <c r="G1277" s="12" t="n">
        <f aca="false">MEDIAN(F1267:F1287)</f>
        <v>1217.24429416737</v>
      </c>
      <c r="H1277" s="13" t="n">
        <f aca="false">B1277/G1277</f>
        <v>19.5114490277778</v>
      </c>
      <c r="I1277" s="14" t="n">
        <f aca="false">B1277/Summary!$C$8*100</f>
        <v>237.999418785261</v>
      </c>
      <c r="J1277" s="14" t="n">
        <f aca="false">G1277/Summary!$E$8*100</f>
        <v>206.877756662697</v>
      </c>
      <c r="K1277" s="15" t="n">
        <f aca="false">Summary!$D$9</f>
        <v>16.9374488591431</v>
      </c>
      <c r="L1277" s="16" t="str">
        <f aca="false">IF(OR(D1277="",E1277=""),"edge hidden",IF(AND(H1277&gt;=D1277-0.02,H1277&lt;=E1277+0.02),"yes","no"))</f>
        <v>yes</v>
      </c>
    </row>
    <row r="1278" customFormat="false" ht="15" hidden="false" customHeight="false" outlineLevel="0" collapsed="false">
      <c r="A1278" s="9" t="n">
        <v>45653</v>
      </c>
      <c r="B1278" s="10" t="n">
        <v>23813.4</v>
      </c>
      <c r="C1278" s="11" t="n">
        <v>19.4612</v>
      </c>
      <c r="D1278" s="11" t="n">
        <v>19.2978</v>
      </c>
      <c r="E1278" s="11" t="n">
        <v>19.6246</v>
      </c>
      <c r="F1278" s="12" t="n">
        <f aca="false">IF(C1278="","",B1278/C1278)</f>
        <v>1223.63471933899</v>
      </c>
      <c r="G1278" s="12" t="n">
        <f aca="false">MEDIAN(F1268:F1288)</f>
        <v>1217.29493291394</v>
      </c>
      <c r="H1278" s="13" t="n">
        <f aca="false">B1278/G1278</f>
        <v>19.5625557587723</v>
      </c>
      <c r="I1278" s="14" t="n">
        <f aca="false">B1278/Summary!$C$8*100</f>
        <v>238.632742431682</v>
      </c>
      <c r="J1278" s="14" t="n">
        <f aca="false">G1278/Summary!$E$8*100</f>
        <v>206.886363012582</v>
      </c>
      <c r="K1278" s="15" t="n">
        <f aca="false">Summary!$D$9</f>
        <v>16.9374488591431</v>
      </c>
      <c r="L1278" s="16" t="str">
        <f aca="false">IF(OR(D1278="",E1278=""),"edge hidden",IF(AND(H1278&gt;=D1278-0.02,H1278&lt;=E1278+0.02),"yes","no"))</f>
        <v>yes</v>
      </c>
    </row>
    <row r="1279" customFormat="false" ht="15" hidden="false" customHeight="false" outlineLevel="0" collapsed="false">
      <c r="A1279" s="9" t="n">
        <v>45656</v>
      </c>
      <c r="B1279" s="10" t="n">
        <v>23644.9</v>
      </c>
      <c r="C1279" s="11" t="n">
        <v>19.4888</v>
      </c>
      <c r="D1279" s="11" t="n">
        <v>19.2742</v>
      </c>
      <c r="E1279" s="11" t="n">
        <v>19.7033</v>
      </c>
      <c r="F1279" s="12" t="n">
        <f aca="false">IF(C1279="","",B1279/C1279)</f>
        <v>1213.25581872665</v>
      </c>
      <c r="G1279" s="12" t="n">
        <f aca="false">MEDIAN(F1269:F1289)</f>
        <v>1218.28434793317</v>
      </c>
      <c r="H1279" s="13" t="n">
        <f aca="false">B1279/G1279</f>
        <v>19.4083590092196</v>
      </c>
      <c r="I1279" s="14" t="n">
        <f aca="false">B1279/Summary!$C$8*100</f>
        <v>236.944213406019</v>
      </c>
      <c r="J1279" s="14" t="n">
        <f aca="false">G1279/Summary!$E$8*100</f>
        <v>207.054519857159</v>
      </c>
      <c r="K1279" s="15" t="n">
        <f aca="false">Summary!$D$9</f>
        <v>16.9374488591431</v>
      </c>
      <c r="L1279" s="16" t="str">
        <f aca="false">IF(OR(D1279="",E1279=""),"edge hidden",IF(AND(H1279&gt;=D1279-0.02,H1279&lt;=E1279+0.02),"yes","no"))</f>
        <v>yes</v>
      </c>
    </row>
    <row r="1280" customFormat="false" ht="15" hidden="false" customHeight="false" outlineLevel="0" collapsed="false">
      <c r="A1280" s="9" t="n">
        <v>45657</v>
      </c>
      <c r="B1280" s="10" t="n">
        <v>23644.8</v>
      </c>
      <c r="C1280" s="11" t="n">
        <v>19.4888</v>
      </c>
      <c r="D1280" s="11" t="n">
        <v>19.2742</v>
      </c>
      <c r="E1280" s="11" t="n">
        <v>19.7033</v>
      </c>
      <c r="F1280" s="12" t="n">
        <f aca="false">IF(C1280="","",B1280/C1280)</f>
        <v>1213.2506875744</v>
      </c>
      <c r="G1280" s="12" t="n">
        <f aca="false">MEDIAN(F1270:F1290)</f>
        <v>1219.05362875972</v>
      </c>
      <c r="H1280" s="13" t="n">
        <f aca="false">B1280/G1280</f>
        <v>19.3960293806406</v>
      </c>
      <c r="I1280" s="14" t="n">
        <f aca="false">B1280/Summary!$C$8*100</f>
        <v>236.943211311641</v>
      </c>
      <c r="J1280" s="14" t="n">
        <f aca="false">G1280/Summary!$E$8*100</f>
        <v>207.185263613693</v>
      </c>
      <c r="K1280" s="15" t="n">
        <f aca="false">Summary!$D$9</f>
        <v>16.9374488591431</v>
      </c>
      <c r="L1280" s="16" t="str">
        <f aca="false">IF(OR(D1280="",E1280=""),"edge hidden",IF(AND(H1280&gt;=D1280-0.02,H1280&lt;=E1280+0.02),"yes","no"))</f>
        <v>yes</v>
      </c>
    </row>
    <row r="1281" customFormat="false" ht="15" hidden="false" customHeight="false" outlineLevel="0" collapsed="false">
      <c r="A1281" s="9" t="n">
        <v>45658</v>
      </c>
      <c r="B1281" s="10" t="n">
        <v>23742.9</v>
      </c>
      <c r="C1281" s="11" t="n">
        <v>19.4888</v>
      </c>
      <c r="D1281" s="11" t="n">
        <v>19.2663</v>
      </c>
      <c r="E1281" s="11" t="n">
        <v>19.7112</v>
      </c>
      <c r="F1281" s="12" t="n">
        <f aca="false">IF(C1281="","",B1281/C1281)</f>
        <v>1218.28434793317</v>
      </c>
      <c r="G1281" s="12" t="n">
        <f aca="false">MEDIAN(F1271:F1291)</f>
        <v>1219.05362875972</v>
      </c>
      <c r="H1281" s="13" t="n">
        <f aca="false">B1281/G1281</f>
        <v>19.4765016401751</v>
      </c>
      <c r="I1281" s="14" t="n">
        <f aca="false">B1281/Summary!$C$8*100</f>
        <v>237.926265895722</v>
      </c>
      <c r="J1281" s="14" t="n">
        <f aca="false">G1281/Summary!$E$8*100</f>
        <v>207.185263613693</v>
      </c>
      <c r="K1281" s="15" t="n">
        <f aca="false">Summary!$D$9</f>
        <v>16.9374488591431</v>
      </c>
      <c r="L1281" s="16" t="str">
        <f aca="false">IF(OR(D1281="",E1281=""),"edge hidden",IF(AND(H1281&gt;=D1281-0.02,H1281&lt;=E1281+0.02),"yes","no"))</f>
        <v>yes</v>
      </c>
    </row>
    <row r="1282" customFormat="false" ht="15" hidden="false" customHeight="false" outlineLevel="0" collapsed="false">
      <c r="A1282" s="9" t="n">
        <v>45659</v>
      </c>
      <c r="B1282" s="10" t="n">
        <v>24188.65</v>
      </c>
      <c r="C1282" s="11" t="n">
        <v>19.4809</v>
      </c>
      <c r="D1282" s="11" t="n">
        <v>19.2506</v>
      </c>
      <c r="E1282" s="11" t="n">
        <v>19.7112</v>
      </c>
      <c r="F1282" s="12" t="n">
        <f aca="false">IF(C1282="","",B1282/C1282)</f>
        <v>1241.65977957897</v>
      </c>
      <c r="G1282" s="12" t="n">
        <f aca="false">MEDIAN(F1272:F1292)</f>
        <v>1220.15871949739</v>
      </c>
      <c r="H1282" s="13" t="n">
        <f aca="false">B1282/G1282</f>
        <v>19.8241832095122</v>
      </c>
      <c r="I1282" s="14" t="n">
        <f aca="false">B1282/Summary!$C$8*100</f>
        <v>242.393101582307</v>
      </c>
      <c r="J1282" s="14" t="n">
        <f aca="false">G1282/Summary!$E$8*100</f>
        <v>207.37308022028</v>
      </c>
      <c r="K1282" s="15" t="n">
        <f aca="false">Summary!$D$9</f>
        <v>16.9374488591431</v>
      </c>
      <c r="L1282" s="16" t="str">
        <f aca="false">IF(OR(D1282="",E1282=""),"edge hidden",IF(AND(H1282&gt;=D1282-0.02,H1282&lt;=E1282+0.02),"yes","no"))</f>
        <v>no</v>
      </c>
    </row>
    <row r="1283" customFormat="false" ht="15" hidden="false" customHeight="false" outlineLevel="0" collapsed="false">
      <c r="A1283" s="9" t="n">
        <v>45660</v>
      </c>
      <c r="B1283" s="10" t="n">
        <v>24004.75</v>
      </c>
      <c r="C1283" s="11" t="n">
        <v>19.4651</v>
      </c>
      <c r="D1283" s="11" t="n">
        <v>19.2269</v>
      </c>
      <c r="E1283" s="11" t="n">
        <v>19.7033</v>
      </c>
      <c r="F1283" s="12" t="n">
        <f aca="false">IF(C1283="","",B1283/C1283)</f>
        <v>1233.21996804537</v>
      </c>
      <c r="G1283" s="12" t="n">
        <f aca="false">MEDIAN(F1273:F1293)</f>
        <v>1223.63471933899</v>
      </c>
      <c r="H1283" s="13" t="n">
        <f aca="false">B1283/G1283</f>
        <v>19.6175783676417</v>
      </c>
      <c r="I1283" s="14" t="n">
        <f aca="false">B1283/Summary!$C$8*100</f>
        <v>240.550250022547</v>
      </c>
      <c r="J1283" s="14" t="n">
        <f aca="false">G1283/Summary!$E$8*100</f>
        <v>207.963846636551</v>
      </c>
      <c r="K1283" s="15" t="n">
        <f aca="false">Summary!$D$9</f>
        <v>16.9374488591431</v>
      </c>
      <c r="L1283" s="16" t="str">
        <f aca="false">IF(OR(D1283="",E1283=""),"edge hidden",IF(AND(H1283&gt;=D1283-0.02,H1283&lt;=E1283+0.02),"yes","no"))</f>
        <v>yes</v>
      </c>
    </row>
    <row r="1284" customFormat="false" ht="15" hidden="false" customHeight="false" outlineLevel="0" collapsed="false">
      <c r="A1284" s="9" t="n">
        <v>45663</v>
      </c>
      <c r="B1284" s="10" t="n">
        <v>23616.05</v>
      </c>
      <c r="C1284" s="11" t="n">
        <v>19.3549</v>
      </c>
      <c r="D1284" s="11" t="n">
        <v>19.1167</v>
      </c>
      <c r="E1284" s="11" t="n">
        <v>19.5931</v>
      </c>
      <c r="F1284" s="12" t="n">
        <f aca="false">IF(C1284="","",B1284/C1284)</f>
        <v>1220.15871949739</v>
      </c>
      <c r="G1284" s="12" t="n">
        <f aca="false">MEDIAN(F1274:F1294)</f>
        <v>1225.08576533336</v>
      </c>
      <c r="H1284" s="13" t="n">
        <f aca="false">B1284/G1284</f>
        <v>19.2770585278768</v>
      </c>
      <c r="I1284" s="14" t="n">
        <f aca="false">B1284/Summary!$C$8*100</f>
        <v>236.655109178182</v>
      </c>
      <c r="J1284" s="14" t="n">
        <f aca="false">G1284/Summary!$E$8*100</f>
        <v>208.210460353754</v>
      </c>
      <c r="K1284" s="15" t="n">
        <f aca="false">Summary!$D$9</f>
        <v>16.9374488591431</v>
      </c>
      <c r="L1284" s="16" t="str">
        <f aca="false">IF(OR(D1284="",E1284=""),"edge hidden",IF(AND(H1284&gt;=D1284-0.02,H1284&lt;=E1284+0.02),"yes","no"))</f>
        <v>yes</v>
      </c>
    </row>
    <row r="1285" customFormat="false" ht="15" hidden="false" customHeight="false" outlineLevel="0" collapsed="false">
      <c r="A1285" s="9" t="n">
        <v>45664</v>
      </c>
      <c r="B1285" s="10" t="n">
        <v>23707.9</v>
      </c>
      <c r="C1285" s="11" t="n">
        <v>19.3352</v>
      </c>
      <c r="D1285" s="11" t="n">
        <v>19.0931</v>
      </c>
      <c r="E1285" s="11" t="n">
        <v>19.5773</v>
      </c>
      <c r="F1285" s="12" t="n">
        <f aca="false">IF(C1285="","",B1285/C1285)</f>
        <v>1226.15230253631</v>
      </c>
      <c r="G1285" s="12" t="n">
        <f aca="false">MEDIAN(F1275:F1295)</f>
        <v>1225.08576533336</v>
      </c>
      <c r="H1285" s="13" t="n">
        <f aca="false">B1285/G1285</f>
        <v>19.3520328705711</v>
      </c>
      <c r="I1285" s="14" t="n">
        <f aca="false">B1285/Summary!$C$8*100</f>
        <v>237.575532863685</v>
      </c>
      <c r="J1285" s="14" t="n">
        <f aca="false">G1285/Summary!$E$8*100</f>
        <v>208.210460353754</v>
      </c>
      <c r="K1285" s="15" t="n">
        <f aca="false">Summary!$D$9</f>
        <v>16.9374488591431</v>
      </c>
      <c r="L1285" s="16" t="str">
        <f aca="false">IF(OR(D1285="",E1285=""),"edge hidden",IF(AND(H1285&gt;=D1285-0.02,H1285&lt;=E1285+0.02),"yes","no"))</f>
        <v>yes</v>
      </c>
    </row>
    <row r="1286" customFormat="false" ht="15" hidden="false" customHeight="false" outlineLevel="0" collapsed="false">
      <c r="A1286" s="9" t="n">
        <v>45665</v>
      </c>
      <c r="B1286" s="10" t="n">
        <v>23688.95</v>
      </c>
      <c r="C1286" s="11" t="n">
        <v>19.1974</v>
      </c>
      <c r="D1286" s="11" t="n">
        <v>19.0773</v>
      </c>
      <c r="E1286" s="11" t="n">
        <v>19.3175</v>
      </c>
      <c r="F1286" s="12" t="n">
        <f aca="false">IF(C1286="","",B1286/C1286)</f>
        <v>1233.96657880755</v>
      </c>
      <c r="G1286" s="12" t="n">
        <f aca="false">MEDIAN(F1276:F1296)</f>
        <v>1226.15230253631</v>
      </c>
      <c r="H1286" s="13" t="n">
        <f aca="false">B1286/G1286</f>
        <v>19.3197451499289</v>
      </c>
      <c r="I1286" s="14" t="n">
        <f aca="false">B1286/Summary!$C$8*100</f>
        <v>237.385635979197</v>
      </c>
      <c r="J1286" s="14" t="n">
        <f aca="false">G1286/Summary!$E$8*100</f>
        <v>208.391724562591</v>
      </c>
      <c r="K1286" s="15" t="n">
        <f aca="false">Summary!$D$9</f>
        <v>16.9374488591431</v>
      </c>
      <c r="L1286" s="16" t="str">
        <f aca="false">IF(OR(D1286="",E1286=""),"edge hidden",IF(AND(H1286&gt;=D1286-0.02,H1286&lt;=E1286+0.02),"yes","no"))</f>
        <v>yes</v>
      </c>
    </row>
    <row r="1287" customFormat="false" ht="15" hidden="false" customHeight="false" outlineLevel="0" collapsed="false">
      <c r="A1287" s="9" t="n">
        <v>45666</v>
      </c>
      <c r="B1287" s="10" t="n">
        <v>23526.5</v>
      </c>
      <c r="C1287" s="11" t="n">
        <v>19.0439</v>
      </c>
      <c r="D1287" s="11" t="n">
        <v>18.8332</v>
      </c>
      <c r="E1287" s="11" t="n">
        <v>19.2545</v>
      </c>
      <c r="F1287" s="12" t="n">
        <f aca="false">IF(C1287="","",B1287/C1287)</f>
        <v>1235.38245842501</v>
      </c>
      <c r="G1287" s="12" t="n">
        <f aca="false">MEDIAN(F1277:F1297)</f>
        <v>1226.54607092725</v>
      </c>
      <c r="H1287" s="13" t="n">
        <f aca="false">B1287/G1287</f>
        <v>19.1810976836887</v>
      </c>
      <c r="I1287" s="14" t="n">
        <f aca="false">B1287/Summary!$C$8*100</f>
        <v>235.757733663356</v>
      </c>
      <c r="J1287" s="14" t="n">
        <f aca="false">G1287/Summary!$E$8*100</f>
        <v>208.458647793821</v>
      </c>
      <c r="K1287" s="15" t="n">
        <f aca="false">Summary!$D$9</f>
        <v>16.9374488591431</v>
      </c>
      <c r="L1287" s="16" t="str">
        <f aca="false">IF(OR(D1287="",E1287=""),"edge hidden",IF(AND(H1287&gt;=D1287-0.02,H1287&lt;=E1287+0.02),"yes","no"))</f>
        <v>yes</v>
      </c>
    </row>
    <row r="1288" customFormat="false" ht="15" hidden="false" customHeight="false" outlineLevel="0" collapsed="false">
      <c r="A1288" s="9" t="n">
        <v>45667</v>
      </c>
      <c r="B1288" s="10" t="n">
        <v>23431.5</v>
      </c>
      <c r="C1288" s="11" t="n">
        <v>19.0281</v>
      </c>
      <c r="D1288" s="11" t="n">
        <v>18.8175</v>
      </c>
      <c r="E1288" s="11" t="n">
        <v>19.2388</v>
      </c>
      <c r="F1288" s="12" t="n">
        <f aca="false">IF(C1288="","",B1288/C1288)</f>
        <v>1231.41564318035</v>
      </c>
      <c r="G1288" s="12" t="n">
        <f aca="false">MEDIAN(F1278:F1298)</f>
        <v>1227.54614566635</v>
      </c>
      <c r="H1288" s="13" t="n">
        <f aca="false">B1288/G1288</f>
        <v>19.0880807884257</v>
      </c>
      <c r="I1288" s="14" t="n">
        <f aca="false">B1288/Summary!$C$8*100</f>
        <v>234.80574400497</v>
      </c>
      <c r="J1288" s="14" t="n">
        <f aca="false">G1288/Summary!$E$8*100</f>
        <v>208.62861631987</v>
      </c>
      <c r="K1288" s="15" t="n">
        <f aca="false">Summary!$D$9</f>
        <v>16.9374488591431</v>
      </c>
      <c r="L1288" s="16" t="str">
        <f aca="false">IF(OR(D1288="",E1288=""),"edge hidden",IF(AND(H1288&gt;=D1288-0.02,H1288&lt;=E1288+0.02),"yes","no"))</f>
        <v>yes</v>
      </c>
    </row>
    <row r="1289" customFormat="false" ht="15" hidden="false" customHeight="false" outlineLevel="0" collapsed="false">
      <c r="A1289" s="9" t="n">
        <v>45670</v>
      </c>
      <c r="B1289" s="10" t="n">
        <v>23085.95</v>
      </c>
      <c r="C1289" s="11" t="n">
        <v>18.9376</v>
      </c>
      <c r="D1289" s="11" t="n">
        <v>18.8096</v>
      </c>
      <c r="E1289" s="11" t="n">
        <v>19.0655</v>
      </c>
      <c r="F1289" s="12" t="n">
        <f aca="false">IF(C1289="","",B1289/C1289)</f>
        <v>1219.05362875972</v>
      </c>
      <c r="G1289" s="12" t="n">
        <f aca="false">MEDIAN(F1279:F1299)</f>
        <v>1227.54614566635</v>
      </c>
      <c r="H1289" s="13" t="n">
        <f aca="false">B1289/G1289</f>
        <v>18.8065842424752</v>
      </c>
      <c r="I1289" s="14" t="n">
        <f aca="false">B1289/Summary!$C$8*100</f>
        <v>231.343006884388</v>
      </c>
      <c r="J1289" s="14" t="n">
        <f aca="false">G1289/Summary!$E$8*100</f>
        <v>208.62861631987</v>
      </c>
      <c r="K1289" s="15" t="n">
        <f aca="false">Summary!$D$9</f>
        <v>16.9374488591431</v>
      </c>
      <c r="L1289" s="16" t="str">
        <f aca="false">IF(OR(D1289="",E1289=""),"edge hidden",IF(AND(H1289&gt;=D1289-0.02,H1289&lt;=E1289+0.02),"yes","no"))</f>
        <v>yes</v>
      </c>
    </row>
    <row r="1290" customFormat="false" ht="15" hidden="false" customHeight="false" outlineLevel="0" collapsed="false">
      <c r="A1290" s="9" t="n">
        <v>45671</v>
      </c>
      <c r="B1290" s="10" t="n">
        <v>23176.05</v>
      </c>
      <c r="C1290" s="11" t="n">
        <v>18.9179</v>
      </c>
      <c r="D1290" s="11" t="n">
        <v>18.8096</v>
      </c>
      <c r="E1290" s="11" t="n">
        <v>19.0262</v>
      </c>
      <c r="F1290" s="12" t="n">
        <f aca="false">IF(C1290="","",B1290/C1290)</f>
        <v>1225.08576533336</v>
      </c>
      <c r="G1290" s="12" t="n">
        <f aca="false">MEDIAN(F1280:F1300)</f>
        <v>1227.54614566635</v>
      </c>
      <c r="H1290" s="13" t="n">
        <f aca="false">B1290/G1290</f>
        <v>18.8799827051872</v>
      </c>
      <c r="I1290" s="14" t="n">
        <f aca="false">B1290/Summary!$C$8*100</f>
        <v>232.245893918289</v>
      </c>
      <c r="J1290" s="14" t="n">
        <f aca="false">G1290/Summary!$E$8*100</f>
        <v>208.62861631987</v>
      </c>
      <c r="K1290" s="15" t="n">
        <f aca="false">Summary!$D$9</f>
        <v>16.9374488591431</v>
      </c>
      <c r="L1290" s="16" t="str">
        <f aca="false">IF(OR(D1290="",E1290=""),"edge hidden",IF(AND(H1290&gt;=D1290-0.02,H1290&lt;=E1290+0.02),"yes","no"))</f>
        <v>yes</v>
      </c>
    </row>
    <row r="1291" customFormat="false" ht="15" hidden="false" customHeight="false" outlineLevel="0" collapsed="false">
      <c r="A1291" s="9" t="n">
        <v>45672</v>
      </c>
      <c r="B1291" s="10" t="n">
        <v>23213.2</v>
      </c>
      <c r="C1291" s="11" t="n">
        <v>18.91</v>
      </c>
      <c r="D1291" s="11" t="n">
        <v>18.8096</v>
      </c>
      <c r="E1291" s="11" t="n">
        <v>19.0104</v>
      </c>
      <c r="F1291" s="12" t="n">
        <f aca="false">IF(C1291="","",B1291/C1291)</f>
        <v>1227.56213643575</v>
      </c>
      <c r="G1291" s="12" t="n">
        <f aca="false">MEDIAN(F1281:F1301)</f>
        <v>1227.54614566635</v>
      </c>
      <c r="H1291" s="13" t="n">
        <f aca="false">B1291/G1291</f>
        <v>18.9102463332644</v>
      </c>
      <c r="I1291" s="14" t="n">
        <f aca="false">B1291/Summary!$C$8*100</f>
        <v>232.618171979437</v>
      </c>
      <c r="J1291" s="14" t="n">
        <f aca="false">G1291/Summary!$E$8*100</f>
        <v>208.62861631987</v>
      </c>
      <c r="K1291" s="15" t="n">
        <f aca="false">Summary!$D$9</f>
        <v>16.9374488591431</v>
      </c>
      <c r="L1291" s="16" t="str">
        <f aca="false">IF(OR(D1291="",E1291=""),"edge hidden",IF(AND(H1291&gt;=D1291-0.02,H1291&lt;=E1291+0.02),"yes","no"))</f>
        <v>yes</v>
      </c>
    </row>
    <row r="1292" customFormat="false" ht="15" hidden="false" customHeight="false" outlineLevel="0" collapsed="false">
      <c r="A1292" s="9" t="n">
        <v>45673</v>
      </c>
      <c r="B1292" s="10" t="n">
        <v>23311.8</v>
      </c>
      <c r="C1292" s="11" t="n">
        <v>18.9061</v>
      </c>
      <c r="D1292" s="11" t="n">
        <v>18.8017</v>
      </c>
      <c r="E1292" s="11" t="n">
        <v>19.0104</v>
      </c>
      <c r="F1292" s="12" t="n">
        <f aca="false">IF(C1292="","",B1292/C1292)</f>
        <v>1233.03060916847</v>
      </c>
      <c r="G1292" s="12" t="n">
        <f aca="false">MEDIAN(F1282:F1302)</f>
        <v>1227.54614566635</v>
      </c>
      <c r="H1292" s="13" t="n">
        <f aca="false">B1292/G1292</f>
        <v>18.9905691792511</v>
      </c>
      <c r="I1292" s="14" t="n">
        <f aca="false">B1292/Summary!$C$8*100</f>
        <v>233.606237035404</v>
      </c>
      <c r="J1292" s="14" t="n">
        <f aca="false">G1292/Summary!$E$8*100</f>
        <v>208.62861631987</v>
      </c>
      <c r="K1292" s="15" t="n">
        <f aca="false">Summary!$D$9</f>
        <v>16.9374488591431</v>
      </c>
      <c r="L1292" s="16" t="str">
        <f aca="false">IF(OR(D1292="",E1292=""),"edge hidden",IF(AND(H1292&gt;=D1292-0.02,H1292&lt;=E1292+0.02),"yes","no"))</f>
        <v>yes</v>
      </c>
    </row>
    <row r="1293" customFormat="false" ht="15" hidden="false" customHeight="false" outlineLevel="0" collapsed="false">
      <c r="A1293" s="9" t="n">
        <v>45674</v>
      </c>
      <c r="B1293" s="10" t="n">
        <v>23203.2</v>
      </c>
      <c r="C1293" s="11" t="n">
        <v>18.9021</v>
      </c>
      <c r="D1293" s="11" t="n">
        <v>18.7939</v>
      </c>
      <c r="E1293" s="11" t="n">
        <v>19.0104</v>
      </c>
      <c r="F1293" s="12" t="n">
        <f aca="false">IF(C1293="","",B1293/C1293)</f>
        <v>1227.54614566635</v>
      </c>
      <c r="G1293" s="12" t="n">
        <f aca="false">MEDIAN(F1283:F1303)</f>
        <v>1227.08007098862</v>
      </c>
      <c r="H1293" s="13" t="n">
        <f aca="false">B1293/G1293</f>
        <v>18.9092794745708</v>
      </c>
      <c r="I1293" s="14" t="n">
        <f aca="false">B1293/Summary!$C$8*100</f>
        <v>232.517962541712</v>
      </c>
      <c r="J1293" s="14" t="n">
        <f aca="false">G1293/Summary!$E$8*100</f>
        <v>208.549404214109</v>
      </c>
      <c r="K1293" s="15" t="n">
        <f aca="false">Summary!$D$9</f>
        <v>16.9374488591431</v>
      </c>
      <c r="L1293" s="16" t="str">
        <f aca="false">IF(OR(D1293="",E1293=""),"edge hidden",IF(AND(H1293&gt;=D1293-0.02,H1293&lt;=E1293+0.02),"yes","no"))</f>
        <v>yes</v>
      </c>
    </row>
    <row r="1294" customFormat="false" ht="15" hidden="false" customHeight="false" outlineLevel="0" collapsed="false">
      <c r="A1294" s="9" t="n">
        <v>45677</v>
      </c>
      <c r="B1294" s="10" t="n">
        <v>23344.75</v>
      </c>
      <c r="C1294" s="11" t="n">
        <v>18.8864</v>
      </c>
      <c r="D1294" s="11" t="n">
        <v>18.7545</v>
      </c>
      <c r="E1294" s="11" t="n">
        <v>19.0183</v>
      </c>
      <c r="F1294" s="12" t="n">
        <f aca="false">IF(C1294="","",B1294/C1294)</f>
        <v>1236.06139867841</v>
      </c>
      <c r="G1294" s="12" t="n">
        <f aca="false">MEDIAN(F1284:F1304)</f>
        <v>1226.54607092725</v>
      </c>
      <c r="H1294" s="13" t="n">
        <f aca="false">B1294/G1294</f>
        <v>19.0329173549525</v>
      </c>
      <c r="I1294" s="14" t="n">
        <f aca="false">B1294/Summary!$C$8*100</f>
        <v>233.936427132707</v>
      </c>
      <c r="J1294" s="14" t="n">
        <f aca="false">G1294/Summary!$E$8*100</f>
        <v>208.458647793821</v>
      </c>
      <c r="K1294" s="15" t="n">
        <f aca="false">Summary!$D$9</f>
        <v>16.9374488591431</v>
      </c>
      <c r="L1294" s="16" t="str">
        <f aca="false">IF(OR(D1294="",E1294=""),"edge hidden",IF(AND(H1294&gt;=D1294-0.02,H1294&lt;=E1294+0.02),"yes","no"))</f>
        <v>yes</v>
      </c>
    </row>
    <row r="1295" customFormat="false" ht="15" hidden="false" customHeight="false" outlineLevel="0" collapsed="false">
      <c r="A1295" s="9" t="n">
        <v>45678</v>
      </c>
      <c r="B1295" s="10" t="n">
        <v>23024.65</v>
      </c>
      <c r="C1295" s="11" t="n">
        <v>18.8825</v>
      </c>
      <c r="D1295" s="11" t="n">
        <v>18.7545</v>
      </c>
      <c r="E1295" s="11" t="n">
        <v>19.0104</v>
      </c>
      <c r="F1295" s="12" t="n">
        <f aca="false">IF(C1295="","",B1295/C1295)</f>
        <v>1219.36449093076</v>
      </c>
      <c r="G1295" s="12" t="n">
        <f aca="false">MEDIAN(F1285:F1305)</f>
        <v>1226.54607092725</v>
      </c>
      <c r="H1295" s="13" t="n">
        <f aca="false">B1295/G1295</f>
        <v>18.7719406109171</v>
      </c>
      <c r="I1295" s="14" t="n">
        <f aca="false">B1295/Summary!$C$8*100</f>
        <v>230.728723031135</v>
      </c>
      <c r="J1295" s="14" t="n">
        <f aca="false">G1295/Summary!$E$8*100</f>
        <v>208.458647793821</v>
      </c>
      <c r="K1295" s="15" t="n">
        <f aca="false">Summary!$D$9</f>
        <v>16.9374488591431</v>
      </c>
      <c r="L1295" s="16" t="str">
        <f aca="false">IF(OR(D1295="",E1295=""),"edge hidden",IF(AND(H1295&gt;=D1295-0.02,H1295&lt;=E1295+0.02),"yes","no"))</f>
        <v>yes</v>
      </c>
    </row>
    <row r="1296" customFormat="false" ht="15" hidden="false" customHeight="false" outlineLevel="0" collapsed="false">
      <c r="A1296" s="9" t="n">
        <v>45679</v>
      </c>
      <c r="B1296" s="10" t="n">
        <v>23155.35</v>
      </c>
      <c r="C1296" s="11" t="n">
        <v>18.8785</v>
      </c>
      <c r="D1296" s="11" t="n">
        <v>18.7545</v>
      </c>
      <c r="E1296" s="11" t="n">
        <v>19.0025</v>
      </c>
      <c r="F1296" s="12" t="n">
        <f aca="false">IF(C1296="","",B1296/C1296)</f>
        <v>1226.54607092725</v>
      </c>
      <c r="G1296" s="12" t="n">
        <f aca="false">MEDIAN(F1286:F1306)</f>
        <v>1227.08007098862</v>
      </c>
      <c r="H1296" s="13" t="n">
        <f aca="false">B1296/G1296</f>
        <v>18.8702844642766</v>
      </c>
      <c r="I1296" s="14" t="n">
        <f aca="false">B1296/Summary!$C$8*100</f>
        <v>232.038460382199</v>
      </c>
      <c r="J1296" s="14" t="n">
        <f aca="false">G1296/Summary!$E$8*100</f>
        <v>208.549404214109</v>
      </c>
      <c r="K1296" s="15" t="n">
        <f aca="false">Summary!$D$9</f>
        <v>16.9374488591431</v>
      </c>
      <c r="L1296" s="16" t="str">
        <f aca="false">IF(OR(D1296="",E1296=""),"edge hidden",IF(AND(H1296&gt;=D1296-0.02,H1296&lt;=E1296+0.02),"yes","no"))</f>
        <v>yes</v>
      </c>
    </row>
    <row r="1297" customFormat="false" ht="15" hidden="false" customHeight="false" outlineLevel="0" collapsed="false">
      <c r="A1297" s="9" t="n">
        <v>45680</v>
      </c>
      <c r="B1297" s="10" t="n">
        <v>23205.35</v>
      </c>
      <c r="C1297" s="11" t="n">
        <v>18.788</v>
      </c>
      <c r="D1297" s="11" t="n">
        <v>18.6443</v>
      </c>
      <c r="E1297" s="11" t="n">
        <v>18.9317</v>
      </c>
      <c r="F1297" s="12" t="n">
        <f aca="false">IF(C1297="","",B1297/C1297)</f>
        <v>1235.11549925484</v>
      </c>
      <c r="G1297" s="12" t="n">
        <f aca="false">MEDIAN(F1287:F1307)</f>
        <v>1227.08007098862</v>
      </c>
      <c r="H1297" s="13" t="n">
        <f aca="false">B1297/G1297</f>
        <v>18.9110316014701</v>
      </c>
      <c r="I1297" s="14" t="n">
        <f aca="false">B1297/Summary!$C$8*100</f>
        <v>232.539507570823</v>
      </c>
      <c r="J1297" s="14" t="n">
        <f aca="false">G1297/Summary!$E$8*100</f>
        <v>208.549404214109</v>
      </c>
      <c r="K1297" s="15" t="n">
        <f aca="false">Summary!$D$9</f>
        <v>16.9374488591431</v>
      </c>
      <c r="L1297" s="16" t="str">
        <f aca="false">IF(OR(D1297="",E1297=""),"edge hidden",IF(AND(H1297&gt;=D1297-0.02,H1297&lt;=E1297+0.02),"yes","no"))</f>
        <v>yes</v>
      </c>
    </row>
    <row r="1298" customFormat="false" ht="15" hidden="false" customHeight="false" outlineLevel="0" collapsed="false">
      <c r="A1298" s="9" t="n">
        <v>45681</v>
      </c>
      <c r="B1298" s="10" t="n">
        <v>23092.2</v>
      </c>
      <c r="C1298" s="11" t="n">
        <v>18.7722</v>
      </c>
      <c r="D1298" s="11" t="n">
        <v>18.6285</v>
      </c>
      <c r="E1298" s="11" t="n">
        <v>18.9159</v>
      </c>
      <c r="F1298" s="12" t="n">
        <f aca="false">IF(C1298="","",B1298/C1298)</f>
        <v>1230.12752900566</v>
      </c>
      <c r="G1298" s="12" t="n">
        <f aca="false">MEDIAN(F1288:F1308)</f>
        <v>1226.54607092725</v>
      </c>
      <c r="H1298" s="13" t="n">
        <f aca="false">B1298/G1298</f>
        <v>18.8270139600568</v>
      </c>
      <c r="I1298" s="14" t="n">
        <f aca="false">B1298/Summary!$C$8*100</f>
        <v>231.405637782966</v>
      </c>
      <c r="J1298" s="14" t="n">
        <f aca="false">G1298/Summary!$E$8*100</f>
        <v>208.458647793821</v>
      </c>
      <c r="K1298" s="15" t="n">
        <f aca="false">Summary!$D$9</f>
        <v>16.9374488591431</v>
      </c>
      <c r="L1298" s="16" t="str">
        <f aca="false">IF(OR(D1298="",E1298=""),"edge hidden",IF(AND(H1298&gt;=D1298-0.02,H1298&lt;=E1298+0.02),"yes","no"))</f>
        <v>yes</v>
      </c>
    </row>
    <row r="1299" customFormat="false" ht="15" hidden="false" customHeight="false" outlineLevel="0" collapsed="false">
      <c r="A1299" s="9" t="n">
        <v>45684</v>
      </c>
      <c r="B1299" s="10" t="n">
        <v>22829.15</v>
      </c>
      <c r="C1299" s="11" t="n">
        <v>18.8391</v>
      </c>
      <c r="D1299" s="11" t="n">
        <v>18.6128</v>
      </c>
      <c r="E1299" s="11" t="n">
        <v>19.0655</v>
      </c>
      <c r="F1299" s="12" t="n">
        <f aca="false">IF(C1299="","",B1299/C1299)</f>
        <v>1211.79621107165</v>
      </c>
      <c r="G1299" s="12" t="n">
        <f aca="false">MEDIAN(F1289:F1309)</f>
        <v>1225.90969728607</v>
      </c>
      <c r="H1299" s="13" t="n">
        <f aca="false">B1299/G1299</f>
        <v>18.6222117750919</v>
      </c>
      <c r="I1299" s="14" t="n">
        <f aca="false">B1299/Summary!$C$8*100</f>
        <v>228.769628523614</v>
      </c>
      <c r="J1299" s="14" t="n">
        <f aca="false">G1299/Summary!$E$8*100</f>
        <v>208.350492387452</v>
      </c>
      <c r="K1299" s="15" t="n">
        <f aca="false">Summary!$D$9</f>
        <v>16.9374488591431</v>
      </c>
      <c r="L1299" s="16" t="str">
        <f aca="false">IF(OR(D1299="",E1299=""),"edge hidden",IF(AND(H1299&gt;=D1299-0.02,H1299&lt;=E1299+0.02),"yes","no"))</f>
        <v>yes</v>
      </c>
    </row>
    <row r="1300" customFormat="false" ht="15" hidden="false" customHeight="false" outlineLevel="0" collapsed="false">
      <c r="A1300" s="9" t="n">
        <v>45685</v>
      </c>
      <c r="B1300" s="10" t="n">
        <v>22957.25</v>
      </c>
      <c r="C1300" s="11" t="n">
        <v>18.9258</v>
      </c>
      <c r="D1300" s="11" t="n">
        <v>18.6206</v>
      </c>
      <c r="E1300" s="11" t="n">
        <v>19.2309</v>
      </c>
      <c r="F1300" s="12" t="n">
        <f aca="false">IF(C1300="","",B1300/C1300)</f>
        <v>1213.01345253569</v>
      </c>
      <c r="G1300" s="12" t="n">
        <f aca="false">MEDIAN(F1290:F1310)</f>
        <v>1225.90969728607</v>
      </c>
      <c r="H1300" s="13" t="n">
        <f aca="false">B1300/G1300</f>
        <v>18.7267056054969</v>
      </c>
      <c r="I1300" s="14" t="n">
        <f aca="false">B1300/Summary!$C$8*100</f>
        <v>230.05331142087</v>
      </c>
      <c r="J1300" s="14" t="n">
        <f aca="false">G1300/Summary!$E$8*100</f>
        <v>208.350492387452</v>
      </c>
      <c r="K1300" s="15" t="n">
        <f aca="false">Summary!$D$9</f>
        <v>16.9374488591431</v>
      </c>
      <c r="L1300" s="16" t="str">
        <f aca="false">IF(OR(D1300="",E1300=""),"edge hidden",IF(AND(H1300&gt;=D1300-0.02,H1300&lt;=E1300+0.02),"yes","no"))</f>
        <v>yes</v>
      </c>
    </row>
    <row r="1301" customFormat="false" ht="15" hidden="false" customHeight="false" outlineLevel="0" collapsed="false">
      <c r="A1301" s="9" t="n">
        <v>45686</v>
      </c>
      <c r="B1301" s="10" t="n">
        <v>23163.1</v>
      </c>
      <c r="C1301" s="11" t="n">
        <v>18.9376</v>
      </c>
      <c r="D1301" s="11" t="n">
        <v>18.6364</v>
      </c>
      <c r="E1301" s="11" t="n">
        <v>19.2388</v>
      </c>
      <c r="F1301" s="12" t="n">
        <f aca="false">IF(C1301="","",B1301/C1301)</f>
        <v>1223.12753464008</v>
      </c>
      <c r="G1301" s="12" t="n">
        <f aca="false">MEDIAN(F1291:F1311)</f>
        <v>1225.90969728607</v>
      </c>
      <c r="H1301" s="13" t="n">
        <f aca="false">B1301/G1301</f>
        <v>18.8946217256285</v>
      </c>
      <c r="I1301" s="14" t="n">
        <f aca="false">B1301/Summary!$C$8*100</f>
        <v>232.116122696436</v>
      </c>
      <c r="J1301" s="14" t="n">
        <f aca="false">G1301/Summary!$E$8*100</f>
        <v>208.350492387452</v>
      </c>
      <c r="K1301" s="15" t="n">
        <f aca="false">Summary!$D$9</f>
        <v>16.9374488591431</v>
      </c>
      <c r="L1301" s="16" t="str">
        <f aca="false">IF(OR(D1301="",E1301=""),"edge hidden",IF(AND(H1301&gt;=D1301-0.02,H1301&lt;=E1301+0.02),"yes","no"))</f>
        <v>yes</v>
      </c>
    </row>
    <row r="1302" customFormat="false" ht="15" hidden="false" customHeight="false" outlineLevel="0" collapsed="false">
      <c r="A1302" s="9" t="n">
        <v>45687</v>
      </c>
      <c r="B1302" s="10" t="n">
        <v>23249.5</v>
      </c>
      <c r="C1302" s="11" t="n">
        <v>18.9651</v>
      </c>
      <c r="D1302" s="11" t="n">
        <v>18.6915</v>
      </c>
      <c r="E1302" s="11" t="n">
        <v>19.2388</v>
      </c>
      <c r="F1302" s="12" t="n">
        <f aca="false">IF(C1302="","",B1302/C1302)</f>
        <v>1225.90969728607</v>
      </c>
      <c r="G1302" s="12" t="n">
        <f aca="false">MEDIAN(F1292:F1312)</f>
        <v>1223.94660578767</v>
      </c>
      <c r="H1302" s="13" t="n">
        <f aca="false">B1302/G1302</f>
        <v>18.9955181787017</v>
      </c>
      <c r="I1302" s="14" t="n">
        <f aca="false">B1302/Summary!$C$8*100</f>
        <v>232.981932238378</v>
      </c>
      <c r="J1302" s="14" t="n">
        <f aca="false">G1302/Summary!$E$8*100</f>
        <v>208.016853554838</v>
      </c>
      <c r="K1302" s="15" t="n">
        <f aca="false">Summary!$D$9</f>
        <v>16.9374488591431</v>
      </c>
      <c r="L1302" s="16" t="str">
        <f aca="false">IF(OR(D1302="",E1302=""),"edge hidden",IF(AND(H1302&gt;=D1302-0.02,H1302&lt;=E1302+0.02),"yes","no"))</f>
        <v>yes</v>
      </c>
    </row>
    <row r="1303" customFormat="false" ht="15" hidden="false" customHeight="false" outlineLevel="0" collapsed="false">
      <c r="A1303" s="9" t="n">
        <v>45688</v>
      </c>
      <c r="B1303" s="10" t="n">
        <v>23508.4</v>
      </c>
      <c r="C1303" s="11" t="n">
        <v>19.158</v>
      </c>
      <c r="D1303" s="11" t="n">
        <v>18.8805</v>
      </c>
      <c r="E1303" s="11" t="n">
        <v>19.4356</v>
      </c>
      <c r="F1303" s="12" t="n">
        <f aca="false">IF(C1303="","",B1303/C1303)</f>
        <v>1227.08007098862</v>
      </c>
      <c r="G1303" s="12" t="n">
        <f aca="false">MEDIAN(F1293:F1313)</f>
        <v>1223.23769939572</v>
      </c>
      <c r="H1303" s="13" t="n">
        <f aca="false">B1303/G1303</f>
        <v>19.2181781281047</v>
      </c>
      <c r="I1303" s="14" t="n">
        <f aca="false">B1303/Summary!$C$8*100</f>
        <v>235.576354581074</v>
      </c>
      <c r="J1303" s="14" t="n">
        <f aca="false">G1303/Summary!$E$8*100</f>
        <v>207.896370785066</v>
      </c>
      <c r="K1303" s="15" t="n">
        <f aca="false">Summary!$D$9</f>
        <v>16.9374488591431</v>
      </c>
      <c r="L1303" s="16" t="str">
        <f aca="false">IF(OR(D1303="",E1303=""),"edge hidden",IF(AND(H1303&gt;=D1303-0.02,H1303&lt;=E1303+0.02),"yes","no"))</f>
        <v>yes</v>
      </c>
    </row>
    <row r="1304" customFormat="false" ht="15" hidden="false" customHeight="false" outlineLevel="0" collapsed="false">
      <c r="A1304" s="9" t="n">
        <v>45689</v>
      </c>
      <c r="B1304" s="10" t="n">
        <v>23482.15</v>
      </c>
      <c r="C1304" s="11" t="n">
        <v>19.1856</v>
      </c>
      <c r="D1304" s="11" t="n">
        <v>18.9199</v>
      </c>
      <c r="E1304" s="11" t="n">
        <v>19.4514</v>
      </c>
      <c r="F1304" s="12" t="n">
        <f aca="false">IF(C1304="","",B1304/C1304)</f>
        <v>1223.94660578767</v>
      </c>
      <c r="G1304" s="12" t="n">
        <f aca="false">MEDIAN(F1294:F1314)</f>
        <v>1223.12753464008</v>
      </c>
      <c r="H1304" s="13" t="n">
        <f aca="false">B1304/G1304</f>
        <v>19.1984476965518</v>
      </c>
      <c r="I1304" s="14" t="n">
        <f aca="false">B1304/Summary!$C$8*100</f>
        <v>235.313304807047</v>
      </c>
      <c r="J1304" s="14" t="n">
        <f aca="false">G1304/Summary!$E$8*100</f>
        <v>207.877647643278</v>
      </c>
      <c r="K1304" s="15" t="n">
        <f aca="false">Summary!$D$9</f>
        <v>16.9374488591431</v>
      </c>
      <c r="L1304" s="16" t="str">
        <f aca="false">IF(OR(D1304="",E1304=""),"edge hidden",IF(AND(H1304&gt;=D1304-0.02,H1304&lt;=E1304+0.02),"yes","no"))</f>
        <v>yes</v>
      </c>
    </row>
    <row r="1305" customFormat="false" ht="15" hidden="false" customHeight="false" outlineLevel="0" collapsed="false">
      <c r="A1305" s="9" t="n">
        <v>45691</v>
      </c>
      <c r="B1305" s="10" t="n">
        <v>23361.05</v>
      </c>
      <c r="C1305" s="11" t="n">
        <v>19.3037</v>
      </c>
      <c r="D1305" s="11" t="n">
        <v>19.1482</v>
      </c>
      <c r="E1305" s="11" t="n">
        <v>19.4592</v>
      </c>
      <c r="F1305" s="12" t="n">
        <f aca="false">IF(C1305="","",B1305/C1305)</f>
        <v>1210.18509404933</v>
      </c>
      <c r="G1305" s="12" t="n">
        <f aca="false">MEDIAN(F1295:F1315)</f>
        <v>1222.23000383893</v>
      </c>
      <c r="H1305" s="13" t="n">
        <f aca="false">B1305/G1305</f>
        <v>19.1134646724632</v>
      </c>
      <c r="I1305" s="14" t="n">
        <f aca="false">B1305/Summary!$C$8*100</f>
        <v>234.099768516199</v>
      </c>
      <c r="J1305" s="14" t="n">
        <f aca="false">G1305/Summary!$E$8*100</f>
        <v>207.72510705667</v>
      </c>
      <c r="K1305" s="15" t="n">
        <f aca="false">Summary!$D$9</f>
        <v>16.9374488591431</v>
      </c>
      <c r="L1305" s="16" t="str">
        <f aca="false">IF(OR(D1305="",E1305=""),"edge hidden",IF(AND(H1305&gt;=D1305-0.02,H1305&lt;=E1305+0.02),"yes","no"))</f>
        <v>no</v>
      </c>
    </row>
    <row r="1306" customFormat="false" ht="15" hidden="false" customHeight="false" outlineLevel="0" collapsed="false">
      <c r="A1306" s="9" t="n">
        <v>45692</v>
      </c>
      <c r="B1306" s="10" t="n">
        <v>23739.25</v>
      </c>
      <c r="C1306" s="11" t="n">
        <v>19.3037</v>
      </c>
      <c r="D1306" s="11" t="n">
        <v>19.1482</v>
      </c>
      <c r="E1306" s="11" t="n">
        <v>19.4592</v>
      </c>
      <c r="F1306" s="12" t="n">
        <f aca="false">IF(C1306="","",B1306/C1306)</f>
        <v>1229.77719297337</v>
      </c>
      <c r="G1306" s="12" t="n">
        <f aca="false">MEDIAN(F1296:F1316)</f>
        <v>1222.23000383893</v>
      </c>
      <c r="H1306" s="13" t="n">
        <f aca="false">B1306/G1306</f>
        <v>19.4228990659997</v>
      </c>
      <c r="I1306" s="14" t="n">
        <f aca="false">B1306/Summary!$C$8*100</f>
        <v>237.889689450953</v>
      </c>
      <c r="J1306" s="14" t="n">
        <f aca="false">G1306/Summary!$E$8*100</f>
        <v>207.72510705667</v>
      </c>
      <c r="K1306" s="15" t="n">
        <f aca="false">Summary!$D$9</f>
        <v>16.9374488591431</v>
      </c>
      <c r="L1306" s="16" t="str">
        <f aca="false">IF(OR(D1306="",E1306=""),"edge hidden",IF(AND(H1306&gt;=D1306-0.02,H1306&lt;=E1306+0.02),"yes","no"))</f>
        <v>yes</v>
      </c>
    </row>
    <row r="1307" customFormat="false" ht="15" hidden="false" customHeight="false" outlineLevel="0" collapsed="false">
      <c r="A1307" s="9" t="n">
        <v>45693</v>
      </c>
      <c r="B1307" s="10" t="n">
        <v>23696.3</v>
      </c>
      <c r="C1307" s="11" t="n">
        <v>19.3076</v>
      </c>
      <c r="D1307" s="11" t="n">
        <v>19.1561</v>
      </c>
      <c r="E1307" s="11" t="n">
        <v>19.4592</v>
      </c>
      <c r="F1307" s="12" t="n">
        <f aca="false">IF(C1307="","",B1307/C1307)</f>
        <v>1227.30427396466</v>
      </c>
      <c r="G1307" s="12" t="n">
        <f aca="false">MEDIAN(F1297:F1317)</f>
        <v>1220.95852784827</v>
      </c>
      <c r="H1307" s="13" t="n">
        <f aca="false">B1307/G1307</f>
        <v>19.4079483123482</v>
      </c>
      <c r="I1307" s="14" t="n">
        <f aca="false">B1307/Summary!$C$8*100</f>
        <v>237.459289915924</v>
      </c>
      <c r="J1307" s="14" t="n">
        <f aca="false">G1307/Summary!$E$8*100</f>
        <v>207.509012307359</v>
      </c>
      <c r="K1307" s="15" t="n">
        <f aca="false">Summary!$D$9</f>
        <v>16.9374488591431</v>
      </c>
      <c r="L1307" s="16" t="str">
        <f aca="false">IF(OR(D1307="",E1307=""),"edge hidden",IF(AND(H1307&gt;=D1307-0.02,H1307&lt;=E1307+0.02),"yes","no"))</f>
        <v>yes</v>
      </c>
    </row>
    <row r="1308" customFormat="false" ht="15" hidden="false" customHeight="false" outlineLevel="0" collapsed="false">
      <c r="A1308" s="9" t="n">
        <v>45694</v>
      </c>
      <c r="B1308" s="10" t="n">
        <v>23603.35</v>
      </c>
      <c r="C1308" s="11" t="n">
        <v>19.2958</v>
      </c>
      <c r="D1308" s="11" t="n">
        <v>19.1482</v>
      </c>
      <c r="E1308" s="11" t="n">
        <v>19.4435</v>
      </c>
      <c r="F1308" s="12" t="n">
        <f aca="false">IF(C1308="","",B1308/C1308)</f>
        <v>1223.23769939572</v>
      </c>
      <c r="G1308" s="12" t="n">
        <f aca="false">MEDIAN(F1298:F1318)</f>
        <v>1220.95852784827</v>
      </c>
      <c r="H1308" s="13" t="n">
        <f aca="false">B1308/G1308</f>
        <v>19.3318196004551</v>
      </c>
      <c r="I1308" s="14" t="n">
        <f aca="false">B1308/Summary!$C$8*100</f>
        <v>236.527843192272</v>
      </c>
      <c r="J1308" s="14" t="n">
        <f aca="false">G1308/Summary!$E$8*100</f>
        <v>207.509012307359</v>
      </c>
      <c r="K1308" s="15" t="n">
        <f aca="false">Summary!$D$9</f>
        <v>16.9374488591431</v>
      </c>
      <c r="L1308" s="16" t="str">
        <f aca="false">IF(OR(D1308="",E1308=""),"edge hidden",IF(AND(H1308&gt;=D1308-0.02,H1308&lt;=E1308+0.02),"yes","no"))</f>
        <v>yes</v>
      </c>
    </row>
    <row r="1309" customFormat="false" ht="15" hidden="false" customHeight="false" outlineLevel="0" collapsed="false">
      <c r="A1309" s="9" t="n">
        <v>45695</v>
      </c>
      <c r="B1309" s="10" t="n">
        <v>23559.95</v>
      </c>
      <c r="C1309" s="11" t="n">
        <v>19.2762</v>
      </c>
      <c r="D1309" s="11" t="n">
        <v>19.1403</v>
      </c>
      <c r="E1309" s="11" t="n">
        <v>19.412</v>
      </c>
      <c r="F1309" s="12" t="n">
        <f aca="false">IF(C1309="","",B1309/C1309)</f>
        <v>1222.23000383893</v>
      </c>
      <c r="G1309" s="12" t="n">
        <f aca="false">MEDIAN(F1299:F1319)</f>
        <v>1218.06631859056</v>
      </c>
      <c r="H1309" s="13" t="n">
        <f aca="false">B1309/G1309</f>
        <v>19.3420913462754</v>
      </c>
      <c r="I1309" s="14" t="n">
        <f aca="false">B1309/Summary!$C$8*100</f>
        <v>236.092934232546</v>
      </c>
      <c r="J1309" s="14" t="n">
        <f aca="false">G1309/Summary!$E$8*100</f>
        <v>207.017464500644</v>
      </c>
      <c r="K1309" s="15" t="n">
        <f aca="false">Summary!$D$9</f>
        <v>16.9374488591431</v>
      </c>
      <c r="L1309" s="16" t="str">
        <f aca="false">IF(OR(D1309="",E1309=""),"edge hidden",IF(AND(H1309&gt;=D1309-0.02,H1309&lt;=E1309+0.02),"yes","no"))</f>
        <v>yes</v>
      </c>
    </row>
    <row r="1310" customFormat="false" ht="15" hidden="false" customHeight="false" outlineLevel="0" collapsed="false">
      <c r="A1310" s="9" t="n">
        <v>45698</v>
      </c>
      <c r="B1310" s="10" t="n">
        <v>23381.6</v>
      </c>
      <c r="C1310" s="11" t="n">
        <v>19.1502</v>
      </c>
      <c r="D1310" s="11" t="n">
        <v>18.9514</v>
      </c>
      <c r="E1310" s="11" t="n">
        <v>19.349</v>
      </c>
      <c r="F1310" s="12" t="n">
        <f aca="false">IF(C1310="","",B1310/C1310)</f>
        <v>1220.95852784827</v>
      </c>
      <c r="G1310" s="12" t="n">
        <f aca="false">MEDIAN(F1300:F1320)</f>
        <v>1218.06631859056</v>
      </c>
      <c r="H1310" s="13" t="n">
        <f aca="false">B1310/G1310</f>
        <v>19.195670747267</v>
      </c>
      <c r="I1310" s="14" t="n">
        <f aca="false">B1310/Summary!$C$8*100</f>
        <v>234.305698910723</v>
      </c>
      <c r="J1310" s="14" t="n">
        <f aca="false">G1310/Summary!$E$8*100</f>
        <v>207.017464500644</v>
      </c>
      <c r="K1310" s="15" t="n">
        <f aca="false">Summary!$D$9</f>
        <v>16.9374488591431</v>
      </c>
      <c r="L1310" s="16" t="str">
        <f aca="false">IF(OR(D1310="",E1310=""),"edge hidden",IF(AND(H1310&gt;=D1310-0.02,H1310&lt;=E1310+0.02),"yes","no"))</f>
        <v>yes</v>
      </c>
    </row>
    <row r="1311" customFormat="false" ht="15" hidden="false" customHeight="false" outlineLevel="0" collapsed="false">
      <c r="A1311" s="9" t="n">
        <v>45699</v>
      </c>
      <c r="B1311" s="10" t="n">
        <v>23071.8</v>
      </c>
      <c r="C1311" s="11" t="n">
        <v>19.1029</v>
      </c>
      <c r="D1311" s="11" t="n">
        <v>18.8962</v>
      </c>
      <c r="E1311" s="11" t="n">
        <v>19.3096</v>
      </c>
      <c r="F1311" s="12" t="n">
        <f aca="false">IF(C1311="","",B1311/C1311)</f>
        <v>1207.76426615854</v>
      </c>
      <c r="G1311" s="12" t="n">
        <f aca="false">MEDIAN(F1301:F1321)</f>
        <v>1219.78869124903</v>
      </c>
      <c r="H1311" s="13" t="n">
        <f aca="false">B1311/G1311</f>
        <v>18.9145875556324</v>
      </c>
      <c r="I1311" s="14" t="n">
        <f aca="false">B1311/Summary!$C$8*100</f>
        <v>231.201210530008</v>
      </c>
      <c r="J1311" s="14" t="n">
        <f aca="false">G1311/Summary!$E$8*100</f>
        <v>207.310191764537</v>
      </c>
      <c r="K1311" s="15" t="n">
        <f aca="false">Summary!$D$9</f>
        <v>16.9374488591431</v>
      </c>
      <c r="L1311" s="16" t="str">
        <f aca="false">IF(OR(D1311="",E1311=""),"edge hidden",IF(AND(H1311&gt;=D1311-0.02,H1311&lt;=E1311+0.02),"yes","no"))</f>
        <v>yes</v>
      </c>
    </row>
    <row r="1312" customFormat="false" ht="15" hidden="false" customHeight="false" outlineLevel="0" collapsed="false">
      <c r="A1312" s="9" t="n">
        <v>45700</v>
      </c>
      <c r="B1312" s="10" t="n">
        <v>23045.25</v>
      </c>
      <c r="C1312" s="11" t="n">
        <v>19.0399</v>
      </c>
      <c r="D1312" s="11" t="n">
        <v>18.8884</v>
      </c>
      <c r="E1312" s="11" t="n">
        <v>19.1915</v>
      </c>
      <c r="F1312" s="12" t="n">
        <f aca="false">IF(C1312="","",B1312/C1312)</f>
        <v>1210.36612587251</v>
      </c>
      <c r="G1312" s="12" t="n">
        <f aca="false">MEDIAN(F1302:F1322)</f>
        <v>1219.78869124903</v>
      </c>
      <c r="H1312" s="13" t="n">
        <f aca="false">B1312/G1312</f>
        <v>18.8928214905832</v>
      </c>
      <c r="I1312" s="14" t="n">
        <f aca="false">B1312/Summary!$C$8*100</f>
        <v>230.935154472848</v>
      </c>
      <c r="J1312" s="14" t="n">
        <f aca="false">G1312/Summary!$E$8*100</f>
        <v>207.310191764537</v>
      </c>
      <c r="K1312" s="15" t="n">
        <f aca="false">Summary!$D$9</f>
        <v>16.9374488591431</v>
      </c>
      <c r="L1312" s="16" t="str">
        <f aca="false">IF(OR(D1312="",E1312=""),"edge hidden",IF(AND(H1312&gt;=D1312-0.02,H1312&lt;=E1312+0.02),"yes","no"))</f>
        <v>yes</v>
      </c>
    </row>
    <row r="1313" customFormat="false" ht="15" hidden="false" customHeight="false" outlineLevel="0" collapsed="false">
      <c r="A1313" s="9" t="n">
        <v>45701</v>
      </c>
      <c r="B1313" s="10" t="n">
        <v>23031.4</v>
      </c>
      <c r="C1313" s="11" t="n">
        <v>18.9888</v>
      </c>
      <c r="D1313" s="11" t="n">
        <v>18.8884</v>
      </c>
      <c r="E1313" s="11" t="n">
        <v>19.0891</v>
      </c>
      <c r="F1313" s="12" t="n">
        <f aca="false">IF(C1313="","",B1313/C1313)</f>
        <v>1212.89391641389</v>
      </c>
      <c r="G1313" s="12" t="n">
        <f aca="false">MEDIAN(F1303:F1323)</f>
        <v>1218.06631859056</v>
      </c>
      <c r="H1313" s="13" t="n">
        <f aca="false">B1313/G1313</f>
        <v>18.9081658760994</v>
      </c>
      <c r="I1313" s="14" t="n">
        <f aca="false">B1313/Summary!$C$8*100</f>
        <v>230.796364401599</v>
      </c>
      <c r="J1313" s="14" t="n">
        <f aca="false">G1313/Summary!$E$8*100</f>
        <v>207.017464500644</v>
      </c>
      <c r="K1313" s="15" t="n">
        <f aca="false">Summary!$D$9</f>
        <v>16.9374488591431</v>
      </c>
      <c r="L1313" s="16" t="str">
        <f aca="false">IF(OR(D1313="",E1313=""),"edge hidden",IF(AND(H1313&gt;=D1313-0.02,H1313&lt;=E1313+0.02),"yes","no"))</f>
        <v>yes</v>
      </c>
    </row>
    <row r="1314" customFormat="false" ht="15" hidden="false" customHeight="false" outlineLevel="0" collapsed="false">
      <c r="A1314" s="9" t="n">
        <v>45702</v>
      </c>
      <c r="B1314" s="10" t="n">
        <v>22929.25</v>
      </c>
      <c r="C1314" s="11" t="n">
        <v>18.9336</v>
      </c>
      <c r="D1314" s="11" t="n">
        <v>18.8726</v>
      </c>
      <c r="E1314" s="11" t="n">
        <v>18.9947</v>
      </c>
      <c r="F1314" s="12" t="n">
        <f aca="false">IF(C1314="","",B1314/C1314)</f>
        <v>1211.03487979043</v>
      </c>
      <c r="G1314" s="12" t="n">
        <f aca="false">MEDIAN(F1304:F1324)</f>
        <v>1216.89763409634</v>
      </c>
      <c r="H1314" s="13" t="n">
        <f aca="false">B1314/G1314</f>
        <v>18.8423819371027</v>
      </c>
      <c r="I1314" s="14" t="n">
        <f aca="false">B1314/Summary!$C$8*100</f>
        <v>229.77272499524</v>
      </c>
      <c r="J1314" s="14" t="n">
        <f aca="false">G1314/Summary!$E$8*100</f>
        <v>206.818839764781</v>
      </c>
      <c r="K1314" s="15" t="n">
        <f aca="false">Summary!$D$9</f>
        <v>16.9374488591431</v>
      </c>
      <c r="L1314" s="16" t="str">
        <f aca="false">IF(OR(D1314="",E1314=""),"edge hidden",IF(AND(H1314&gt;=D1314-0.02,H1314&lt;=E1314+0.02),"yes","no"))</f>
        <v>no</v>
      </c>
    </row>
    <row r="1315" customFormat="false" ht="15" hidden="false" customHeight="false" outlineLevel="0" collapsed="false">
      <c r="A1315" s="9" t="n">
        <v>45705</v>
      </c>
      <c r="B1315" s="10" t="n">
        <v>22959.5</v>
      </c>
      <c r="C1315" s="11" t="n">
        <v>18.8825</v>
      </c>
      <c r="D1315" s="11" t="n">
        <v>18.8332</v>
      </c>
      <c r="E1315" s="11" t="n">
        <v>18.9317</v>
      </c>
      <c r="F1315" s="12" t="n">
        <f aca="false">IF(C1315="","",B1315/C1315)</f>
        <v>1215.91420627565</v>
      </c>
      <c r="G1315" s="12" t="n">
        <f aca="false">MEDIAN(F1305:F1325)</f>
        <v>1216.6892909411</v>
      </c>
      <c r="H1315" s="13" t="n">
        <f aca="false">B1315/G1315</f>
        <v>18.8704710158507</v>
      </c>
      <c r="I1315" s="14" t="n">
        <f aca="false">B1315/Summary!$C$8*100</f>
        <v>230.075858544358</v>
      </c>
      <c r="J1315" s="14" t="n">
        <f aca="false">G1315/Summary!$E$8*100</f>
        <v>206.783430632218</v>
      </c>
      <c r="K1315" s="15" t="n">
        <f aca="false">Summary!$D$9</f>
        <v>16.9374488591431</v>
      </c>
      <c r="L1315" s="16" t="str">
        <f aca="false">IF(OR(D1315="",E1315=""),"edge hidden",IF(AND(H1315&gt;=D1315-0.02,H1315&lt;=E1315+0.02),"yes","no"))</f>
        <v>yes</v>
      </c>
    </row>
    <row r="1316" customFormat="false" ht="15" hidden="false" customHeight="false" outlineLevel="0" collapsed="false">
      <c r="A1316" s="9" t="n">
        <v>45706</v>
      </c>
      <c r="B1316" s="10" t="n">
        <v>22945.3</v>
      </c>
      <c r="C1316" s="11" t="n">
        <v>18.8588</v>
      </c>
      <c r="D1316" s="11" t="n">
        <v>18.7939</v>
      </c>
      <c r="E1316" s="11" t="n">
        <v>18.9238</v>
      </c>
      <c r="F1316" s="12" t="n">
        <f aca="false">IF(C1316="","",B1316/C1316)</f>
        <v>1216.6892909411</v>
      </c>
      <c r="G1316" s="12" t="n">
        <f aca="false">MEDIAN(F1306:F1326)</f>
        <v>1216.6892909411</v>
      </c>
      <c r="H1316" s="13" t="n">
        <f aca="false">B1316/G1316</f>
        <v>18.8588</v>
      </c>
      <c r="I1316" s="14" t="n">
        <f aca="false">B1316/Summary!$C$8*100</f>
        <v>229.933561142788</v>
      </c>
      <c r="J1316" s="14" t="n">
        <f aca="false">G1316/Summary!$E$8*100</f>
        <v>206.783430632218</v>
      </c>
      <c r="K1316" s="15" t="n">
        <f aca="false">Summary!$D$9</f>
        <v>16.9374488591431</v>
      </c>
      <c r="L1316" s="16" t="str">
        <f aca="false">IF(OR(D1316="",E1316=""),"edge hidden",IF(AND(H1316&gt;=D1316-0.02,H1316&lt;=E1316+0.02),"yes","no"))</f>
        <v>yes</v>
      </c>
    </row>
    <row r="1317" customFormat="false" ht="15" hidden="false" customHeight="false" outlineLevel="0" collapsed="false">
      <c r="A1317" s="9" t="n">
        <v>45707</v>
      </c>
      <c r="B1317" s="10" t="n">
        <v>22932.9</v>
      </c>
      <c r="C1317" s="11" t="n">
        <v>18.8273</v>
      </c>
      <c r="D1317" s="11" t="n">
        <v>18.7466</v>
      </c>
      <c r="E1317" s="11" t="n">
        <v>18.908</v>
      </c>
      <c r="F1317" s="12" t="n">
        <f aca="false">IF(C1317="","",B1317/C1317)</f>
        <v>1218.06631859056</v>
      </c>
      <c r="G1317" s="12" t="n">
        <f aca="false">MEDIAN(F1307:F1327)</f>
        <v>1216.6892909411</v>
      </c>
      <c r="H1317" s="13" t="n">
        <f aca="false">B1317/G1317</f>
        <v>18.8486084086937</v>
      </c>
      <c r="I1317" s="14" t="n">
        <f aca="false">B1317/Summary!$C$8*100</f>
        <v>229.80930144001</v>
      </c>
      <c r="J1317" s="14" t="n">
        <f aca="false">G1317/Summary!$E$8*100</f>
        <v>206.783430632218</v>
      </c>
      <c r="K1317" s="15" t="n">
        <f aca="false">Summary!$D$9</f>
        <v>16.9374488591431</v>
      </c>
      <c r="L1317" s="16" t="str">
        <f aca="false">IF(OR(D1317="",E1317=""),"edge hidden",IF(AND(H1317&gt;=D1317-0.02,H1317&lt;=E1317+0.02),"yes","no"))</f>
        <v>yes</v>
      </c>
    </row>
    <row r="1318" customFormat="false" ht="15" hidden="false" customHeight="false" outlineLevel="0" collapsed="false">
      <c r="A1318" s="9" t="n">
        <v>45708</v>
      </c>
      <c r="B1318" s="10" t="n">
        <v>22913.15</v>
      </c>
      <c r="C1318" s="11" t="n">
        <v>18.7565</v>
      </c>
      <c r="D1318" s="11" t="n">
        <v>18.6128</v>
      </c>
      <c r="E1318" s="11" t="n">
        <v>18.9002</v>
      </c>
      <c r="F1318" s="12" t="n">
        <f aca="false">IF(C1318="","",B1318/C1318)</f>
        <v>1221.61117479274</v>
      </c>
      <c r="G1318" s="12" t="n">
        <f aca="false">MEDIAN(F1308:F1328)</f>
        <v>1216.6892909411</v>
      </c>
      <c r="H1318" s="13" t="n">
        <f aca="false">B1318/G1318</f>
        <v>18.8323758338309</v>
      </c>
      <c r="I1318" s="14" t="n">
        <f aca="false">B1318/Summary!$C$8*100</f>
        <v>229.611387800503</v>
      </c>
      <c r="J1318" s="14" t="n">
        <f aca="false">G1318/Summary!$E$8*100</f>
        <v>206.783430632218</v>
      </c>
      <c r="K1318" s="15" t="n">
        <f aca="false">Summary!$D$9</f>
        <v>16.9374488591431</v>
      </c>
      <c r="L1318" s="16" t="str">
        <f aca="false">IF(OR(D1318="",E1318=""),"edge hidden",IF(AND(H1318&gt;=D1318-0.02,H1318&lt;=E1318+0.02),"yes","no"))</f>
        <v>yes</v>
      </c>
    </row>
    <row r="1319" customFormat="false" ht="15" hidden="false" customHeight="false" outlineLevel="0" collapsed="false">
      <c r="A1319" s="9" t="n">
        <v>45709</v>
      </c>
      <c r="B1319" s="10" t="n">
        <v>22795.9</v>
      </c>
      <c r="C1319" s="11" t="n">
        <v>18.7328</v>
      </c>
      <c r="D1319" s="11" t="n">
        <v>18.5813</v>
      </c>
      <c r="E1319" s="11" t="n">
        <v>18.8844</v>
      </c>
      <c r="F1319" s="12" t="n">
        <f aca="false">IF(C1319="","",B1319/C1319)</f>
        <v>1216.89763409634</v>
      </c>
      <c r="G1319" s="12" t="n">
        <f aca="false">MEDIAN(F1309:F1329)</f>
        <v>1216.6892909411</v>
      </c>
      <c r="H1319" s="13" t="n">
        <f aca="false">B1319/G1319</f>
        <v>18.7360077628098</v>
      </c>
      <c r="I1319" s="14" t="n">
        <f aca="false">B1319/Summary!$C$8*100</f>
        <v>228.436432143179</v>
      </c>
      <c r="J1319" s="14" t="n">
        <f aca="false">G1319/Summary!$E$8*100</f>
        <v>206.783430632218</v>
      </c>
      <c r="K1319" s="15" t="n">
        <f aca="false">Summary!$D$9</f>
        <v>16.9374488591431</v>
      </c>
      <c r="L1319" s="16" t="str">
        <f aca="false">IF(OR(D1319="",E1319=""),"edge hidden",IF(AND(H1319&gt;=D1319-0.02,H1319&lt;=E1319+0.02),"yes","no"))</f>
        <v>yes</v>
      </c>
    </row>
    <row r="1320" customFormat="false" ht="15" hidden="false" customHeight="false" outlineLevel="0" collapsed="false">
      <c r="A1320" s="9" t="n">
        <v>45712</v>
      </c>
      <c r="B1320" s="10" t="n">
        <v>22553.35</v>
      </c>
      <c r="C1320" s="11" t="n">
        <v>18.5636</v>
      </c>
      <c r="D1320" s="11" t="n">
        <v>18.3608</v>
      </c>
      <c r="E1320" s="11" t="n">
        <v>18.7663</v>
      </c>
      <c r="F1320" s="12" t="n">
        <f aca="false">IF(C1320="","",B1320/C1320)</f>
        <v>1214.92329074102</v>
      </c>
      <c r="G1320" s="12" t="n">
        <f aca="false">MEDIAN(F1310:F1330)</f>
        <v>1216.6892909411</v>
      </c>
      <c r="H1320" s="13" t="n">
        <f aca="false">B1320/G1320</f>
        <v>18.5366553054438</v>
      </c>
      <c r="I1320" s="14" t="n">
        <f aca="false">B1320/Summary!$C$8*100</f>
        <v>226.005852231163</v>
      </c>
      <c r="J1320" s="14" t="n">
        <f aca="false">G1320/Summary!$E$8*100</f>
        <v>206.783430632218</v>
      </c>
      <c r="K1320" s="15" t="n">
        <f aca="false">Summary!$D$9</f>
        <v>16.9374488591431</v>
      </c>
      <c r="L1320" s="16" t="str">
        <f aca="false">IF(OR(D1320="",E1320=""),"edge hidden",IF(AND(H1320&gt;=D1320-0.02,H1320&lt;=E1320+0.02),"yes","no"))</f>
        <v>yes</v>
      </c>
    </row>
    <row r="1321" customFormat="false" ht="15" hidden="false" customHeight="false" outlineLevel="0" collapsed="false">
      <c r="A1321" s="9" t="n">
        <v>45713</v>
      </c>
      <c r="B1321" s="10" t="n">
        <v>22547.55</v>
      </c>
      <c r="C1321" s="11" t="n">
        <v>18.4848</v>
      </c>
      <c r="D1321" s="11" t="n">
        <v>18.2506</v>
      </c>
      <c r="E1321" s="11" t="n">
        <v>18.7191</v>
      </c>
      <c r="F1321" s="12" t="n">
        <f aca="false">IF(C1321="","",B1321/C1321)</f>
        <v>1219.78869124903</v>
      </c>
      <c r="G1321" s="12" t="n">
        <f aca="false">MEDIAN(F1311:F1331)</f>
        <v>1216.6892909411</v>
      </c>
      <c r="H1321" s="13" t="n">
        <f aca="false">B1321/G1321</f>
        <v>18.5318882708006</v>
      </c>
      <c r="I1321" s="14" t="n">
        <f aca="false">B1321/Summary!$C$8*100</f>
        <v>225.947730757283</v>
      </c>
      <c r="J1321" s="14" t="n">
        <f aca="false">G1321/Summary!$E$8*100</f>
        <v>206.783430632218</v>
      </c>
      <c r="K1321" s="15" t="n">
        <f aca="false">Summary!$D$9</f>
        <v>16.9374488591431</v>
      </c>
      <c r="L1321" s="16" t="str">
        <f aca="false">IF(OR(D1321="",E1321=""),"edge hidden",IF(AND(H1321&gt;=D1321-0.02,H1321&lt;=E1321+0.02),"yes","no"))</f>
        <v>yes</v>
      </c>
    </row>
    <row r="1322" customFormat="false" ht="15" hidden="false" customHeight="false" outlineLevel="0" collapsed="false">
      <c r="A1322" s="9" t="n">
        <v>45715</v>
      </c>
      <c r="B1322" s="10" t="n">
        <v>22545.05</v>
      </c>
      <c r="C1322" s="11" t="n">
        <v>18.4061</v>
      </c>
      <c r="D1322" s="11" t="n">
        <v>18.2191</v>
      </c>
      <c r="E1322" s="11" t="n">
        <v>18.5931</v>
      </c>
      <c r="F1322" s="12" t="n">
        <f aca="false">IF(C1322="","",B1322/C1322)</f>
        <v>1224.8683860242</v>
      </c>
      <c r="G1322" s="12" t="n">
        <f aca="false">MEDIAN(F1312:F1332)</f>
        <v>1216.6892909411</v>
      </c>
      <c r="H1322" s="13" t="n">
        <f aca="false">B1322/G1322</f>
        <v>18.5298335144888</v>
      </c>
      <c r="I1322" s="14" t="n">
        <f aca="false">B1322/Summary!$C$8*100</f>
        <v>225.922678397851</v>
      </c>
      <c r="J1322" s="14" t="n">
        <f aca="false">G1322/Summary!$E$8*100</f>
        <v>206.783430632218</v>
      </c>
      <c r="K1322" s="15" t="n">
        <f aca="false">Summary!$D$9</f>
        <v>16.9374488591431</v>
      </c>
      <c r="L1322" s="16" t="str">
        <f aca="false">IF(OR(D1322="",E1322=""),"edge hidden",IF(AND(H1322&gt;=D1322-0.02,H1322&lt;=E1322+0.02),"yes","no"))</f>
        <v>yes</v>
      </c>
    </row>
    <row r="1323" customFormat="false" ht="15" hidden="false" customHeight="false" outlineLevel="0" collapsed="false">
      <c r="A1323" s="9" t="n">
        <v>45716</v>
      </c>
      <c r="B1323" s="10" t="n">
        <v>22124.7</v>
      </c>
      <c r="C1323" s="11" t="n">
        <v>18.3943</v>
      </c>
      <c r="D1323" s="11" t="n">
        <v>18.2112</v>
      </c>
      <c r="E1323" s="11" t="n">
        <v>18.5773</v>
      </c>
      <c r="F1323" s="12" t="n">
        <f aca="false">IF(C1323="","",B1323/C1323)</f>
        <v>1202.80195495344</v>
      </c>
      <c r="G1323" s="12" t="n">
        <f aca="false">MEDIAN(F1313:F1333)</f>
        <v>1216.6892909411</v>
      </c>
      <c r="H1323" s="13" t="n">
        <f aca="false">B1323/G1323</f>
        <v>18.1843467882311</v>
      </c>
      <c r="I1323" s="14" t="n">
        <f aca="false">B1323/Summary!$C$8*100</f>
        <v>221.710374683088</v>
      </c>
      <c r="J1323" s="14" t="n">
        <f aca="false">G1323/Summary!$E$8*100</f>
        <v>206.783430632218</v>
      </c>
      <c r="K1323" s="15" t="n">
        <f aca="false">Summary!$D$9</f>
        <v>16.9374488591431</v>
      </c>
      <c r="L1323" s="16" t="str">
        <f aca="false">IF(OR(D1323="",E1323=""),"edge hidden",IF(AND(H1323&gt;=D1323-0.02,H1323&lt;=E1323+0.02),"yes","no"))</f>
        <v>no</v>
      </c>
    </row>
    <row r="1324" customFormat="false" ht="15" hidden="false" customHeight="false" outlineLevel="0" collapsed="false">
      <c r="A1324" s="9" t="n">
        <v>45719</v>
      </c>
      <c r="B1324" s="10" t="n">
        <v>22119.3</v>
      </c>
      <c r="C1324" s="11" t="n">
        <v>18.3667</v>
      </c>
      <c r="D1324" s="11" t="n">
        <v>18.1876</v>
      </c>
      <c r="E1324" s="11" t="n">
        <v>18.5458</v>
      </c>
      <c r="F1324" s="12" t="n">
        <f aca="false">IF(C1324="","",B1324/C1324)</f>
        <v>1204.3154186653</v>
      </c>
      <c r="G1324" s="12" t="n">
        <f aca="false">MEDIAN(F1314:F1334)</f>
        <v>1216.87895846088</v>
      </c>
      <c r="H1324" s="13" t="n">
        <f aca="false">B1324/G1324</f>
        <v>18.1770749228639</v>
      </c>
      <c r="I1324" s="14" t="n">
        <f aca="false">B1324/Summary!$C$8*100</f>
        <v>221.656261586716</v>
      </c>
      <c r="J1324" s="14" t="n">
        <f aca="false">G1324/Summary!$E$8*100</f>
        <v>206.815665731772</v>
      </c>
      <c r="K1324" s="15" t="n">
        <f aca="false">Summary!$D$9</f>
        <v>16.9374488591431</v>
      </c>
      <c r="L1324" s="16" t="str">
        <f aca="false">IF(OR(D1324="",E1324=""),"edge hidden",IF(AND(H1324&gt;=D1324-0.02,H1324&lt;=E1324+0.02),"yes","no"))</f>
        <v>yes</v>
      </c>
    </row>
    <row r="1325" customFormat="false" ht="15" hidden="false" customHeight="false" outlineLevel="0" collapsed="false">
      <c r="A1325" s="9" t="n">
        <v>45720</v>
      </c>
      <c r="B1325" s="10" t="n">
        <v>22082.65</v>
      </c>
      <c r="C1325" s="11" t="n">
        <v>18.3628</v>
      </c>
      <c r="D1325" s="11" t="n">
        <v>18.1876</v>
      </c>
      <c r="E1325" s="11" t="n">
        <v>18.538</v>
      </c>
      <c r="F1325" s="12" t="n">
        <f aca="false">IF(C1325="","",B1325/C1325)</f>
        <v>1202.57531531139</v>
      </c>
      <c r="G1325" s="12" t="n">
        <f aca="false">MEDIAN(F1315:F1335)</f>
        <v>1216.89763409634</v>
      </c>
      <c r="H1325" s="13" t="n">
        <f aca="false">B1325/G1325</f>
        <v>18.1466783904123</v>
      </c>
      <c r="I1325" s="14" t="n">
        <f aca="false">B1325/Summary!$C$8*100</f>
        <v>221.288993997455</v>
      </c>
      <c r="J1325" s="14" t="n">
        <f aca="false">G1325/Summary!$E$8*100</f>
        <v>206.818839764781</v>
      </c>
      <c r="K1325" s="15" t="n">
        <f aca="false">Summary!$D$9</f>
        <v>16.9374488591431</v>
      </c>
      <c r="L1325" s="16" t="str">
        <f aca="false">IF(OR(D1325="",E1325=""),"edge hidden",IF(AND(H1325&gt;=D1325-0.02,H1325&lt;=E1325+0.02),"yes","no"))</f>
        <v>no</v>
      </c>
    </row>
    <row r="1326" customFormat="false" ht="15" hidden="false" customHeight="false" outlineLevel="0" collapsed="false">
      <c r="A1326" s="9" t="n">
        <v>45721</v>
      </c>
      <c r="B1326" s="10" t="n">
        <v>22337.3</v>
      </c>
      <c r="C1326" s="11" t="n">
        <v>18.3706</v>
      </c>
      <c r="D1326" s="11" t="n">
        <v>18.1954</v>
      </c>
      <c r="E1326" s="11" t="n">
        <v>18.5458</v>
      </c>
      <c r="F1326" s="12" t="n">
        <f aca="false">IF(C1326="","",B1326/C1326)</f>
        <v>1215.92653478928</v>
      </c>
      <c r="G1326" s="12" t="n">
        <f aca="false">MEDIAN(F1316:F1336)</f>
        <v>1217.73799145208</v>
      </c>
      <c r="H1326" s="13" t="n">
        <f aca="false">B1326/G1326</f>
        <v>18.3432726553633</v>
      </c>
      <c r="I1326" s="14" t="n">
        <f aca="false">B1326/Summary!$C$8*100</f>
        <v>223.840827329118</v>
      </c>
      <c r="J1326" s="14" t="n">
        <f aca="false">G1326/Summary!$E$8*100</f>
        <v>206.96166339138</v>
      </c>
      <c r="K1326" s="15" t="n">
        <f aca="false">Summary!$D$9</f>
        <v>16.9374488591431</v>
      </c>
      <c r="L1326" s="16" t="str">
        <f aca="false">IF(OR(D1326="",E1326=""),"edge hidden",IF(AND(H1326&gt;=D1326-0.02,H1326&lt;=E1326+0.02),"yes","no"))</f>
        <v>yes</v>
      </c>
    </row>
    <row r="1327" customFormat="false" ht="15" hidden="false" customHeight="false" outlineLevel="0" collapsed="false">
      <c r="A1327" s="9" t="n">
        <v>45722</v>
      </c>
      <c r="B1327" s="10" t="n">
        <v>22544.7</v>
      </c>
      <c r="C1327" s="11" t="n">
        <v>18.3785</v>
      </c>
      <c r="D1327" s="11" t="n">
        <v>18.2112</v>
      </c>
      <c r="E1327" s="11" t="n">
        <v>18.5458</v>
      </c>
      <c r="F1327" s="12" t="n">
        <f aca="false">IF(C1327="","",B1327/C1327)</f>
        <v>1226.68879397122</v>
      </c>
      <c r="G1327" s="12" t="n">
        <f aca="false">MEDIAN(F1317:F1337)</f>
        <v>1218.06631859056</v>
      </c>
      <c r="H1327" s="13" t="n">
        <f aca="false">B1327/G1327</f>
        <v>18.5085981410986</v>
      </c>
      <c r="I1327" s="14" t="n">
        <f aca="false">B1327/Summary!$C$8*100</f>
        <v>225.919171067531</v>
      </c>
      <c r="J1327" s="14" t="n">
        <f aca="false">G1327/Summary!$E$8*100</f>
        <v>207.017464500644</v>
      </c>
      <c r="K1327" s="15" t="n">
        <f aca="false">Summary!$D$9</f>
        <v>16.9374488591431</v>
      </c>
      <c r="L1327" s="16" t="str">
        <f aca="false">IF(OR(D1327="",E1327=""),"edge hidden",IF(AND(H1327&gt;=D1327-0.02,H1327&lt;=E1327+0.02),"yes","no"))</f>
        <v>yes</v>
      </c>
    </row>
    <row r="1328" customFormat="false" ht="15" hidden="false" customHeight="false" outlineLevel="0" collapsed="false">
      <c r="A1328" s="9" t="n">
        <v>45723</v>
      </c>
      <c r="B1328" s="10" t="n">
        <v>22552.5</v>
      </c>
      <c r="C1328" s="11" t="n">
        <v>18.3864</v>
      </c>
      <c r="D1328" s="11" t="n">
        <v>18.2348</v>
      </c>
      <c r="E1328" s="11" t="n">
        <v>18.538</v>
      </c>
      <c r="F1328" s="12" t="n">
        <f aca="false">IF(C1328="","",B1328/C1328)</f>
        <v>1226.58595483618</v>
      </c>
      <c r="G1328" s="12" t="n">
        <f aca="false">MEDIAN(F1318:F1338)</f>
        <v>1218.17367042417</v>
      </c>
      <c r="H1328" s="13" t="n">
        <f aca="false">B1328/G1328</f>
        <v>18.5133700945507</v>
      </c>
      <c r="I1328" s="14" t="n">
        <f aca="false">B1328/Summary!$C$8*100</f>
        <v>225.997334428957</v>
      </c>
      <c r="J1328" s="14" t="n">
        <f aca="false">G1328/Summary!$E$8*100</f>
        <v>207.035709569952</v>
      </c>
      <c r="K1328" s="15" t="n">
        <f aca="false">Summary!$D$9</f>
        <v>16.9374488591431</v>
      </c>
      <c r="L1328" s="16" t="str">
        <f aca="false">IF(OR(D1328="",E1328=""),"edge hidden",IF(AND(H1328&gt;=D1328-0.02,H1328&lt;=E1328+0.02),"yes","no"))</f>
        <v>yes</v>
      </c>
    </row>
    <row r="1329" customFormat="false" ht="15" hidden="false" customHeight="false" outlineLevel="0" collapsed="false">
      <c r="A1329" s="9" t="n">
        <v>45726</v>
      </c>
      <c r="B1329" s="10" t="n">
        <v>22460.3</v>
      </c>
      <c r="C1329" s="11" t="n">
        <v>18.4573</v>
      </c>
      <c r="D1329" s="11" t="n">
        <v>18.3923</v>
      </c>
      <c r="E1329" s="11" t="n">
        <v>18.5222</v>
      </c>
      <c r="F1329" s="12" t="n">
        <f aca="false">IF(C1329="","",B1329/C1329)</f>
        <v>1216.87895846088</v>
      </c>
      <c r="G1329" s="12" t="n">
        <f aca="false">MEDIAN(F1319:F1339)</f>
        <v>1218.17367042417</v>
      </c>
      <c r="H1329" s="13" t="n">
        <f aca="false">B1329/G1329</f>
        <v>18.4376830211568</v>
      </c>
      <c r="I1329" s="14" t="n">
        <f aca="false">B1329/Summary!$C$8*100</f>
        <v>225.073403413133</v>
      </c>
      <c r="J1329" s="14" t="n">
        <f aca="false">G1329/Summary!$E$8*100</f>
        <v>207.035709569952</v>
      </c>
      <c r="K1329" s="15" t="n">
        <f aca="false">Summary!$D$9</f>
        <v>16.9374488591431</v>
      </c>
      <c r="L1329" s="16" t="str">
        <f aca="false">IF(OR(D1329="",E1329=""),"edge hidden",IF(AND(H1329&gt;=D1329-0.02,H1329&lt;=E1329+0.02),"yes","no"))</f>
        <v>yes</v>
      </c>
    </row>
    <row r="1330" customFormat="false" ht="15" hidden="false" customHeight="false" outlineLevel="0" collapsed="false">
      <c r="A1330" s="9" t="n">
        <v>45727</v>
      </c>
      <c r="B1330" s="10" t="n">
        <v>22497.9</v>
      </c>
      <c r="C1330" s="11" t="n">
        <v>18.4454</v>
      </c>
      <c r="D1330" s="11" t="n">
        <v>18.3844</v>
      </c>
      <c r="E1330" s="11" t="n">
        <v>18.5065</v>
      </c>
      <c r="F1330" s="12" t="n">
        <f aca="false">IF(C1330="","",B1330/C1330)</f>
        <v>1219.70247324536</v>
      </c>
      <c r="G1330" s="12" t="n">
        <f aca="false">MEDIAN(F1320:F1340)</f>
        <v>1218.17367042417</v>
      </c>
      <c r="H1330" s="13" t="n">
        <f aca="false">B1330/G1330</f>
        <v>18.4685488992437</v>
      </c>
      <c r="I1330" s="14" t="n">
        <f aca="false">B1330/Summary!$C$8*100</f>
        <v>225.450190898979</v>
      </c>
      <c r="J1330" s="14" t="n">
        <f aca="false">G1330/Summary!$E$8*100</f>
        <v>207.035709569952</v>
      </c>
      <c r="K1330" s="15" t="n">
        <f aca="false">Summary!$D$9</f>
        <v>16.9374488591431</v>
      </c>
      <c r="L1330" s="16" t="str">
        <f aca="false">IF(OR(D1330="",E1330=""),"edge hidden",IF(AND(H1330&gt;=D1330-0.02,H1330&lt;=E1330+0.02),"yes","no"))</f>
        <v>yes</v>
      </c>
    </row>
    <row r="1331" customFormat="false" ht="15" hidden="false" customHeight="false" outlineLevel="0" collapsed="false">
      <c r="A1331" s="9" t="n">
        <v>45728</v>
      </c>
      <c r="B1331" s="10" t="n">
        <v>22470.5</v>
      </c>
      <c r="C1331" s="11" t="n">
        <v>18.4415</v>
      </c>
      <c r="D1331" s="11" t="n">
        <v>18.3765</v>
      </c>
      <c r="E1331" s="11" t="n">
        <v>18.5065</v>
      </c>
      <c r="F1331" s="12" t="n">
        <f aca="false">IF(C1331="","",B1331/C1331)</f>
        <v>1218.47463601117</v>
      </c>
      <c r="G1331" s="12" t="n">
        <f aca="false">MEDIAN(F1321:F1341)</f>
        <v>1218.17367042417</v>
      </c>
      <c r="H1331" s="13" t="n">
        <f aca="false">B1331/G1331</f>
        <v>18.4460562114889</v>
      </c>
      <c r="I1331" s="14" t="n">
        <f aca="false">B1331/Summary!$C$8*100</f>
        <v>225.175617039613</v>
      </c>
      <c r="J1331" s="14" t="n">
        <f aca="false">G1331/Summary!$E$8*100</f>
        <v>207.035709569952</v>
      </c>
      <c r="K1331" s="15" t="n">
        <f aca="false">Summary!$D$9</f>
        <v>16.9374488591431</v>
      </c>
      <c r="L1331" s="16" t="str">
        <f aca="false">IF(OR(D1331="",E1331=""),"edge hidden",IF(AND(H1331&gt;=D1331-0.02,H1331&lt;=E1331+0.02),"yes","no"))</f>
        <v>yes</v>
      </c>
    </row>
    <row r="1332" customFormat="false" ht="15" hidden="false" customHeight="false" outlineLevel="0" collapsed="false">
      <c r="A1332" s="9" t="n">
        <v>45729</v>
      </c>
      <c r="B1332" s="10" t="n">
        <v>22397.2</v>
      </c>
      <c r="C1332" s="11" t="n">
        <v>18.4494</v>
      </c>
      <c r="D1332" s="11" t="n">
        <v>18.3687</v>
      </c>
      <c r="E1332" s="11" t="n">
        <v>18.5301</v>
      </c>
      <c r="F1332" s="12" t="n">
        <f aca="false">IF(C1332="","",B1332/C1332)</f>
        <v>1213.97985842358</v>
      </c>
      <c r="G1332" s="12" t="n">
        <f aca="false">MEDIAN(F1322:F1342)</f>
        <v>1217.73799145208</v>
      </c>
      <c r="H1332" s="13" t="n">
        <f aca="false">B1332/G1332</f>
        <v>18.3924622186523</v>
      </c>
      <c r="I1332" s="14" t="n">
        <f aca="false">B1332/Summary!$C$8*100</f>
        <v>224.44108186109</v>
      </c>
      <c r="J1332" s="14" t="n">
        <f aca="false">G1332/Summary!$E$8*100</f>
        <v>206.96166339138</v>
      </c>
      <c r="K1332" s="15" t="n">
        <f aca="false">Summary!$D$9</f>
        <v>16.9374488591431</v>
      </c>
      <c r="L1332" s="16" t="str">
        <f aca="false">IF(OR(D1332="",E1332=""),"edge hidden",IF(AND(H1332&gt;=D1332-0.02,H1332&lt;=E1332+0.02),"yes","no"))</f>
        <v>yes</v>
      </c>
    </row>
    <row r="1333" customFormat="false" ht="15" hidden="false" customHeight="false" outlineLevel="0" collapsed="false">
      <c r="A1333" s="9" t="n">
        <v>45733</v>
      </c>
      <c r="B1333" s="10" t="n">
        <v>22508.75</v>
      </c>
      <c r="C1333" s="11" t="n">
        <v>18.725</v>
      </c>
      <c r="D1333" s="11" t="n">
        <v>18.3687</v>
      </c>
      <c r="E1333" s="11" t="n">
        <v>19.0813</v>
      </c>
      <c r="F1333" s="12" t="n">
        <f aca="false">IF(C1333="","",B1333/C1333)</f>
        <v>1202.0694259012</v>
      </c>
      <c r="G1333" s="12" t="n">
        <f aca="false">MEDIAN(F1323:F1343)</f>
        <v>1217.67417133773</v>
      </c>
      <c r="H1333" s="13" t="n">
        <f aca="false">B1333/G1333</f>
        <v>18.4850352662667</v>
      </c>
      <c r="I1333" s="14" t="n">
        <f aca="false">B1333/Summary!$C$8*100</f>
        <v>225.55891813891</v>
      </c>
      <c r="J1333" s="14" t="n">
        <f aca="false">G1333/Summary!$E$8*100</f>
        <v>206.950816791277</v>
      </c>
      <c r="K1333" s="15" t="n">
        <f aca="false">Summary!$D$9</f>
        <v>16.9374488591431</v>
      </c>
      <c r="L1333" s="16" t="str">
        <f aca="false">IF(OR(D1333="",E1333=""),"edge hidden",IF(AND(H1333&gt;=D1333-0.02,H1333&lt;=E1333+0.02),"yes","no"))</f>
        <v>yes</v>
      </c>
    </row>
    <row r="1334" customFormat="false" ht="15" hidden="false" customHeight="false" outlineLevel="0" collapsed="false">
      <c r="A1334" s="9" t="n">
        <v>45734</v>
      </c>
      <c r="B1334" s="10" t="n">
        <v>22834.3</v>
      </c>
      <c r="C1334" s="11" t="n">
        <v>18.7447</v>
      </c>
      <c r="D1334" s="11" t="n">
        <v>18.3765</v>
      </c>
      <c r="E1334" s="11" t="n">
        <v>19.1128</v>
      </c>
      <c r="F1334" s="12" t="n">
        <f aca="false">IF(C1334="","",B1334/C1334)</f>
        <v>1218.17367042417</v>
      </c>
      <c r="G1334" s="12" t="n">
        <f aca="false">MEDIAN(F1324:F1344)</f>
        <v>1217.67417133773</v>
      </c>
      <c r="H1334" s="13" t="n">
        <f aca="false">B1334/G1334</f>
        <v>18.7523892166608</v>
      </c>
      <c r="I1334" s="14" t="n">
        <f aca="false">B1334/Summary!$C$8*100</f>
        <v>228.821236384043</v>
      </c>
      <c r="J1334" s="14" t="n">
        <f aca="false">G1334/Summary!$E$8*100</f>
        <v>206.950816791277</v>
      </c>
      <c r="K1334" s="15" t="n">
        <f aca="false">Summary!$D$9</f>
        <v>16.9374488591431</v>
      </c>
      <c r="L1334" s="16" t="str">
        <f aca="false">IF(OR(D1334="",E1334=""),"edge hidden",IF(AND(H1334&gt;=D1334-0.02,H1334&lt;=E1334+0.02),"yes","no"))</f>
        <v>yes</v>
      </c>
    </row>
    <row r="1335" customFormat="false" ht="15" hidden="false" customHeight="false" outlineLevel="0" collapsed="false">
      <c r="A1335" s="9" t="n">
        <v>45735</v>
      </c>
      <c r="B1335" s="10" t="n">
        <v>22907.6</v>
      </c>
      <c r="C1335" s="11" t="n">
        <v>18.8116</v>
      </c>
      <c r="D1335" s="11" t="n">
        <v>18.4868</v>
      </c>
      <c r="E1335" s="11" t="n">
        <v>19.1364</v>
      </c>
      <c r="F1335" s="12" t="n">
        <f aca="false">IF(C1335="","",B1335/C1335)</f>
        <v>1217.73799145208</v>
      </c>
      <c r="G1335" s="12" t="n">
        <f aca="false">MEDIAN(F1325:F1345)</f>
        <v>1217.73799145208</v>
      </c>
      <c r="H1335" s="13" t="n">
        <f aca="false">B1335/G1335</f>
        <v>18.8116</v>
      </c>
      <c r="I1335" s="14" t="n">
        <f aca="false">B1335/Summary!$C$8*100</f>
        <v>229.555771562566</v>
      </c>
      <c r="J1335" s="14" t="n">
        <f aca="false">G1335/Summary!$E$8*100</f>
        <v>206.96166339138</v>
      </c>
      <c r="K1335" s="15" t="n">
        <f aca="false">Summary!$D$9</f>
        <v>16.9374488591431</v>
      </c>
      <c r="L1335" s="16" t="str">
        <f aca="false">IF(OR(D1335="",E1335=""),"edge hidden",IF(AND(H1335&gt;=D1335-0.02,H1335&lt;=E1335+0.02),"yes","no"))</f>
        <v>yes</v>
      </c>
    </row>
    <row r="1336" customFormat="false" ht="15" hidden="false" customHeight="false" outlineLevel="0" collapsed="false">
      <c r="A1336" s="9" t="n">
        <v>45736</v>
      </c>
      <c r="B1336" s="10" t="n">
        <v>23190.65</v>
      </c>
      <c r="C1336" s="11" t="n">
        <v>19.0084</v>
      </c>
      <c r="D1336" s="11" t="n">
        <v>18.6758</v>
      </c>
      <c r="E1336" s="11" t="n">
        <v>19.3411</v>
      </c>
      <c r="F1336" s="12" t="n">
        <f aca="false">IF(C1336="","",B1336/C1336)</f>
        <v>1220.02114854485</v>
      </c>
      <c r="G1336" s="12" t="n">
        <f aca="false">MEDIAN(F1326:F1346)</f>
        <v>1217.73799145208</v>
      </c>
      <c r="H1336" s="13" t="n">
        <f aca="false">B1336/G1336</f>
        <v>19.0440391634217</v>
      </c>
      <c r="I1336" s="14" t="n">
        <f aca="false">B1336/Summary!$C$8*100</f>
        <v>232.392199697368</v>
      </c>
      <c r="J1336" s="14" t="n">
        <f aca="false">G1336/Summary!$E$8*100</f>
        <v>206.96166339138</v>
      </c>
      <c r="K1336" s="15" t="n">
        <f aca="false">Summary!$D$9</f>
        <v>16.9374488591431</v>
      </c>
      <c r="L1336" s="16" t="str">
        <f aca="false">IF(OR(D1336="",E1336=""),"edge hidden",IF(AND(H1336&gt;=D1336-0.02,H1336&lt;=E1336+0.02),"yes","no"))</f>
        <v>yes</v>
      </c>
    </row>
    <row r="1337" customFormat="false" ht="15" hidden="false" customHeight="false" outlineLevel="0" collapsed="false">
      <c r="A1337" s="9" t="n">
        <v>45737</v>
      </c>
      <c r="B1337" s="10" t="n">
        <v>23350.4</v>
      </c>
      <c r="C1337" s="11" t="n">
        <v>19.0596</v>
      </c>
      <c r="D1337" s="11" t="n">
        <v>18.7702</v>
      </c>
      <c r="E1337" s="11" t="n">
        <v>19.349</v>
      </c>
      <c r="F1337" s="12" t="n">
        <f aca="false">IF(C1337="","",B1337/C1337)</f>
        <v>1225.12539612584</v>
      </c>
      <c r="G1337" s="12" t="n">
        <f aca="false">MEDIAN(F1327:F1347)</f>
        <v>1217.73799145208</v>
      </c>
      <c r="H1337" s="13" t="n">
        <f aca="false">B1337/G1337</f>
        <v>19.1752250187711</v>
      </c>
      <c r="I1337" s="14" t="n">
        <f aca="false">B1337/Summary!$C$8*100</f>
        <v>233.993045465022</v>
      </c>
      <c r="J1337" s="14" t="n">
        <f aca="false">G1337/Summary!$E$8*100</f>
        <v>206.96166339138</v>
      </c>
      <c r="K1337" s="15" t="n">
        <f aca="false">Summary!$D$9</f>
        <v>16.9374488591431</v>
      </c>
      <c r="L1337" s="16" t="str">
        <f aca="false">IF(OR(D1337="",E1337=""),"edge hidden",IF(AND(H1337&gt;=D1337-0.02,H1337&lt;=E1337+0.02),"yes","no"))</f>
        <v>yes</v>
      </c>
    </row>
    <row r="1338" customFormat="false" ht="15" hidden="false" customHeight="false" outlineLevel="0" collapsed="false">
      <c r="A1338" s="9" t="n">
        <v>45740</v>
      </c>
      <c r="B1338" s="10" t="n">
        <v>23658.35</v>
      </c>
      <c r="C1338" s="11" t="n">
        <v>19.3155</v>
      </c>
      <c r="D1338" s="11" t="n">
        <v>19.1403</v>
      </c>
      <c r="E1338" s="11" t="n">
        <v>19.4907</v>
      </c>
      <c r="F1338" s="12" t="n">
        <f aca="false">IF(C1338="","",B1338/C1338)</f>
        <v>1224.83756568559</v>
      </c>
      <c r="G1338" s="12" t="n">
        <f aca="false">MEDIAN(F1328:F1348)</f>
        <v>1217.67417133773</v>
      </c>
      <c r="H1338" s="13" t="n">
        <f aca="false">B1338/G1338</f>
        <v>19.4291301867798</v>
      </c>
      <c r="I1338" s="14" t="n">
        <f aca="false">B1338/Summary!$C$8*100</f>
        <v>237.078995099759</v>
      </c>
      <c r="J1338" s="14" t="n">
        <f aca="false">G1338/Summary!$E$8*100</f>
        <v>206.950816791277</v>
      </c>
      <c r="K1338" s="15" t="n">
        <f aca="false">Summary!$D$9</f>
        <v>16.9374488591431</v>
      </c>
      <c r="L1338" s="16" t="str">
        <f aca="false">IF(OR(D1338="",E1338=""),"edge hidden",IF(AND(H1338&gt;=D1338-0.02,H1338&lt;=E1338+0.02),"yes","no"))</f>
        <v>yes</v>
      </c>
    </row>
    <row r="1339" customFormat="false" ht="15" hidden="false" customHeight="false" outlineLevel="0" collapsed="false">
      <c r="A1339" s="9" t="n">
        <v>45741</v>
      </c>
      <c r="B1339" s="10" t="n">
        <v>23668.65</v>
      </c>
      <c r="C1339" s="11" t="n">
        <v>19.3273</v>
      </c>
      <c r="D1339" s="11" t="n">
        <v>19.1561</v>
      </c>
      <c r="E1339" s="11" t="n">
        <v>19.4986</v>
      </c>
      <c r="F1339" s="12" t="n">
        <f aca="false">IF(C1339="","",B1339/C1339)</f>
        <v>1224.62268397552</v>
      </c>
      <c r="G1339" s="12" t="n">
        <f aca="false">MEDIAN(F1329:F1349)</f>
        <v>1216.87895846088</v>
      </c>
      <c r="H1339" s="13" t="n">
        <f aca="false">B1339/G1339</f>
        <v>19.4502911201097</v>
      </c>
      <c r="I1339" s="14" t="n">
        <f aca="false">B1339/Summary!$C$8*100</f>
        <v>237.182210820615</v>
      </c>
      <c r="J1339" s="14" t="n">
        <f aca="false">G1339/Summary!$E$8*100</f>
        <v>206.815665731772</v>
      </c>
      <c r="K1339" s="15" t="n">
        <f aca="false">Summary!$D$9</f>
        <v>16.9374488591431</v>
      </c>
      <c r="L1339" s="16" t="str">
        <f aca="false">IF(OR(D1339="",E1339=""),"edge hidden",IF(AND(H1339&gt;=D1339-0.02,H1339&lt;=E1339+0.02),"yes","no"))</f>
        <v>yes</v>
      </c>
    </row>
    <row r="1340" customFormat="false" ht="15" hidden="false" customHeight="false" outlineLevel="0" collapsed="false">
      <c r="A1340" s="9" t="n">
        <v>45742</v>
      </c>
      <c r="B1340" s="10" t="n">
        <v>23486.85</v>
      </c>
      <c r="C1340" s="11" t="n">
        <v>19.3628</v>
      </c>
      <c r="D1340" s="11" t="n">
        <v>19.2191</v>
      </c>
      <c r="E1340" s="11" t="n">
        <v>19.5065</v>
      </c>
      <c r="F1340" s="12" t="n">
        <f aca="false">IF(C1340="","",B1340/C1340)</f>
        <v>1212.98830747619</v>
      </c>
      <c r="G1340" s="12" t="n">
        <f aca="false">MEDIAN(F1330:F1350)</f>
        <v>1214.52319341634</v>
      </c>
      <c r="H1340" s="13" t="n">
        <f aca="false">B1340/G1340</f>
        <v>19.3383297472762</v>
      </c>
      <c r="I1340" s="14" t="n">
        <f aca="false">B1340/Summary!$C$8*100</f>
        <v>235.360403242777</v>
      </c>
      <c r="J1340" s="14" t="n">
        <f aca="false">G1340/Summary!$E$8*100</f>
        <v>206.415289743177</v>
      </c>
      <c r="K1340" s="15" t="n">
        <f aca="false">Summary!$D$9</f>
        <v>16.9374488591431</v>
      </c>
      <c r="L1340" s="16" t="str">
        <f aca="false">IF(OR(D1340="",E1340=""),"edge hidden",IF(AND(H1340&gt;=D1340-0.02,H1340&lt;=E1340+0.02),"yes","no"))</f>
        <v>yes</v>
      </c>
    </row>
    <row r="1341" customFormat="false" ht="15" hidden="false" customHeight="false" outlineLevel="0" collapsed="false">
      <c r="A1341" s="9" t="n">
        <v>45743</v>
      </c>
      <c r="B1341" s="10" t="n">
        <v>23591.95</v>
      </c>
      <c r="C1341" s="11" t="n">
        <v>19.3746</v>
      </c>
      <c r="D1341" s="11" t="n">
        <v>19.2348</v>
      </c>
      <c r="E1341" s="11" t="n">
        <v>19.5143</v>
      </c>
      <c r="F1341" s="12" t="n">
        <f aca="false">IF(C1341="","",B1341/C1341)</f>
        <v>1217.67417133773</v>
      </c>
      <c r="G1341" s="12" t="n">
        <f aca="false">MEDIAN(F1331:F1351)</f>
        <v>1213.97985842358</v>
      </c>
      <c r="H1341" s="13" t="n">
        <f aca="false">B1341/G1341</f>
        <v>19.4335596561177</v>
      </c>
      <c r="I1341" s="14" t="n">
        <f aca="false">B1341/Summary!$C$8*100</f>
        <v>236.413604433266</v>
      </c>
      <c r="J1341" s="14" t="n">
        <f aca="false">G1341/Summary!$E$8*100</f>
        <v>206.322946796936</v>
      </c>
      <c r="K1341" s="15" t="n">
        <f aca="false">Summary!$D$9</f>
        <v>16.9374488591431</v>
      </c>
      <c r="L1341" s="16" t="str">
        <f aca="false">IF(OR(D1341="",E1341=""),"edge hidden",IF(AND(H1341&gt;=D1341-0.02,H1341&lt;=E1341+0.02),"yes","no"))</f>
        <v>yes</v>
      </c>
    </row>
    <row r="1342" customFormat="false" ht="15" hidden="false" customHeight="false" outlineLevel="0" collapsed="false">
      <c r="A1342" s="9" t="n">
        <v>45744</v>
      </c>
      <c r="B1342" s="10" t="n">
        <v>23519.35</v>
      </c>
      <c r="C1342" s="11" t="n">
        <v>19.3785</v>
      </c>
      <c r="D1342" s="11" t="n">
        <v>19.2427</v>
      </c>
      <c r="E1342" s="11" t="n">
        <v>19.5143</v>
      </c>
      <c r="F1342" s="12" t="n">
        <f aca="false">IF(C1342="","",B1342/C1342)</f>
        <v>1213.68268957866</v>
      </c>
      <c r="G1342" s="12" t="n">
        <f aca="false">MEDIAN(F1332:F1352)</f>
        <v>1213.68268957866</v>
      </c>
      <c r="H1342" s="13" t="n">
        <f aca="false">B1342/G1342</f>
        <v>19.3785</v>
      </c>
      <c r="I1342" s="14" t="n">
        <f aca="false">B1342/Summary!$C$8*100</f>
        <v>235.686083915383</v>
      </c>
      <c r="J1342" s="14" t="n">
        <f aca="false">G1342/Summary!$E$8*100</f>
        <v>206.272441221119</v>
      </c>
      <c r="K1342" s="15" t="n">
        <f aca="false">Summary!$D$9</f>
        <v>16.9374488591431</v>
      </c>
      <c r="L1342" s="16" t="str">
        <f aca="false">IF(OR(D1342="",E1342=""),"edge hidden",IF(AND(H1342&gt;=D1342-0.02,H1342&lt;=E1342+0.02),"yes","no"))</f>
        <v>yes</v>
      </c>
    </row>
    <row r="1343" customFormat="false" ht="15" hidden="false" customHeight="false" outlineLevel="0" collapsed="false">
      <c r="A1343" s="9" t="n">
        <v>45748</v>
      </c>
      <c r="B1343" s="10" t="n">
        <v>23165.7</v>
      </c>
      <c r="C1343" s="11" t="n">
        <v>19.2683</v>
      </c>
      <c r="D1343" s="11" t="n">
        <v>19.038</v>
      </c>
      <c r="E1343" s="11" t="n">
        <v>19.4986</v>
      </c>
      <c r="F1343" s="12" t="n">
        <f aca="false">IF(C1343="","",B1343/C1343)</f>
        <v>1202.27004977087</v>
      </c>
      <c r="G1343" s="12" t="n">
        <f aca="false">MEDIAN(F1333:F1353)</f>
        <v>1213.68268957866</v>
      </c>
      <c r="H1343" s="13" t="n">
        <f aca="false">B1343/G1343</f>
        <v>19.0871141188001</v>
      </c>
      <c r="I1343" s="14" t="n">
        <f aca="false">B1343/Summary!$C$8*100</f>
        <v>232.142177150244</v>
      </c>
      <c r="J1343" s="14" t="n">
        <f aca="false">G1343/Summary!$E$8*100</f>
        <v>206.272441221119</v>
      </c>
      <c r="K1343" s="15" t="n">
        <f aca="false">Summary!$D$9</f>
        <v>16.9374488591431</v>
      </c>
      <c r="L1343" s="16" t="str">
        <f aca="false">IF(OR(D1343="",E1343=""),"edge hidden",IF(AND(H1343&gt;=D1343-0.02,H1343&lt;=E1343+0.02),"yes","no"))</f>
        <v>yes</v>
      </c>
    </row>
    <row r="1344" customFormat="false" ht="15" hidden="false" customHeight="false" outlineLevel="0" collapsed="false">
      <c r="A1344" s="9" t="n">
        <v>45749</v>
      </c>
      <c r="B1344" s="10" t="n">
        <v>23332.35</v>
      </c>
      <c r="C1344" s="11" t="n">
        <v>19.2328</v>
      </c>
      <c r="D1344" s="11" t="n">
        <v>19.0065</v>
      </c>
      <c r="E1344" s="11" t="n">
        <v>19.4592</v>
      </c>
      <c r="F1344" s="12" t="n">
        <f aca="false">IF(C1344="","",B1344/C1344)</f>
        <v>1213.154090928</v>
      </c>
      <c r="G1344" s="12" t="n">
        <f aca="false">MEDIAN(F1334:F1354)</f>
        <v>1213.68268957866</v>
      </c>
      <c r="H1344" s="13" t="n">
        <f aca="false">B1344/G1344</f>
        <v>19.22442348428</v>
      </c>
      <c r="I1344" s="14" t="n">
        <f aca="false">B1344/Summary!$C$8*100</f>
        <v>233.812167429929</v>
      </c>
      <c r="J1344" s="14" t="n">
        <f aca="false">G1344/Summary!$E$8*100</f>
        <v>206.272441221119</v>
      </c>
      <c r="K1344" s="15" t="n">
        <f aca="false">Summary!$D$9</f>
        <v>16.9374488591431</v>
      </c>
      <c r="L1344" s="16" t="str">
        <f aca="false">IF(OR(D1344="",E1344=""),"edge hidden",IF(AND(H1344&gt;=D1344-0.02,H1344&lt;=E1344+0.02),"yes","no"))</f>
        <v>yes</v>
      </c>
    </row>
    <row r="1345" customFormat="false" ht="15" hidden="false" customHeight="false" outlineLevel="0" collapsed="false">
      <c r="A1345" s="9" t="n">
        <v>45750</v>
      </c>
      <c r="B1345" s="10" t="n">
        <v>23250.1</v>
      </c>
      <c r="C1345" s="11" t="n">
        <v>18.9848</v>
      </c>
      <c r="D1345" s="11" t="n">
        <v>18.5891</v>
      </c>
      <c r="E1345" s="11" t="n">
        <v>19.3805</v>
      </c>
      <c r="F1345" s="12" t="n">
        <f aca="false">IF(C1345="","",B1345/C1345)</f>
        <v>1224.66920905145</v>
      </c>
      <c r="G1345" s="12" t="n">
        <f aca="false">MEDIAN(F1335:F1355)</f>
        <v>1213.154090928</v>
      </c>
      <c r="H1345" s="13" t="n">
        <f aca="false">B1345/G1345</f>
        <v>19.1650015227785</v>
      </c>
      <c r="I1345" s="14" t="n">
        <f aca="false">B1345/Summary!$C$8*100</f>
        <v>232.987944804642</v>
      </c>
      <c r="J1345" s="14" t="n">
        <f aca="false">G1345/Summary!$E$8*100</f>
        <v>206.182602802038</v>
      </c>
      <c r="K1345" s="15" t="n">
        <f aca="false">Summary!$D$9</f>
        <v>16.9374488591431</v>
      </c>
      <c r="L1345" s="16" t="str">
        <f aca="false">IF(OR(D1345="",E1345=""),"edge hidden",IF(AND(H1345&gt;=D1345-0.02,H1345&lt;=E1345+0.02),"yes","no"))</f>
        <v>yes</v>
      </c>
    </row>
    <row r="1346" customFormat="false" ht="15" hidden="false" customHeight="false" outlineLevel="0" collapsed="false">
      <c r="A1346" s="9" t="n">
        <v>45751</v>
      </c>
      <c r="B1346" s="10" t="n">
        <v>22904.45</v>
      </c>
      <c r="C1346" s="11" t="n">
        <v>18.8588</v>
      </c>
      <c r="D1346" s="11" t="n">
        <v>18.3844</v>
      </c>
      <c r="E1346" s="11" t="n">
        <v>19.3332</v>
      </c>
      <c r="F1346" s="12" t="n">
        <f aca="false">IF(C1346="","",B1346/C1346)</f>
        <v>1214.52319341634</v>
      </c>
      <c r="G1346" s="12" t="n">
        <f aca="false">MEDIAN(F1336:F1356)</f>
        <v>1213.154090928</v>
      </c>
      <c r="H1346" s="13" t="n">
        <f aca="false">B1346/G1346</f>
        <v>18.8800830589289</v>
      </c>
      <c r="I1346" s="14" t="n">
        <f aca="false">B1346/Summary!$C$8*100</f>
        <v>229.524205589682</v>
      </c>
      <c r="J1346" s="14" t="n">
        <f aca="false">G1346/Summary!$E$8*100</f>
        <v>206.182602802038</v>
      </c>
      <c r="K1346" s="15" t="n">
        <f aca="false">Summary!$D$9</f>
        <v>16.9374488591431</v>
      </c>
      <c r="L1346" s="16" t="str">
        <f aca="false">IF(OR(D1346="",E1346=""),"edge hidden",IF(AND(H1346&gt;=D1346-0.02,H1346&lt;=E1346+0.02),"yes","no"))</f>
        <v>yes</v>
      </c>
    </row>
    <row r="1347" customFormat="false" ht="15" hidden="false" customHeight="false" outlineLevel="0" collapsed="false">
      <c r="A1347" s="9" t="n">
        <v>45754</v>
      </c>
      <c r="B1347" s="10" t="n">
        <v>22161.6</v>
      </c>
      <c r="C1347" s="11" t="n">
        <v>18.6895</v>
      </c>
      <c r="D1347" s="11" t="n">
        <v>18.3844</v>
      </c>
      <c r="E1347" s="11" t="n">
        <v>18.9947</v>
      </c>
      <c r="F1347" s="12" t="n">
        <f aca="false">IF(C1347="","",B1347/C1347)</f>
        <v>1185.77811070387</v>
      </c>
      <c r="G1347" s="12" t="n">
        <f aca="false">MEDIAN(F1337:F1357)</f>
        <v>1212.98830747619</v>
      </c>
      <c r="H1347" s="13" t="n">
        <f aca="false">B1347/G1347</f>
        <v>18.2702503094285</v>
      </c>
      <c r="I1347" s="14" t="n">
        <f aca="false">B1347/Summary!$C$8*100</f>
        <v>222.080147508292</v>
      </c>
      <c r="J1347" s="14" t="n">
        <f aca="false">G1347/Summary!$E$8*100</f>
        <v>206.15442693893</v>
      </c>
      <c r="K1347" s="15" t="n">
        <f aca="false">Summary!$D$9</f>
        <v>16.9374488591431</v>
      </c>
      <c r="L1347" s="16" t="str">
        <f aca="false">IF(OR(D1347="",E1347=""),"edge hidden",IF(AND(H1347&gt;=D1347-0.02,H1347&lt;=E1347+0.02),"yes","no"))</f>
        <v>no</v>
      </c>
    </row>
    <row r="1348" customFormat="false" ht="15" hidden="false" customHeight="false" outlineLevel="0" collapsed="false">
      <c r="A1348" s="9" t="n">
        <v>45755</v>
      </c>
      <c r="B1348" s="10" t="n">
        <v>22535.85</v>
      </c>
      <c r="C1348" s="11" t="n">
        <v>18.6895</v>
      </c>
      <c r="D1348" s="11" t="n">
        <v>18.3844</v>
      </c>
      <c r="E1348" s="11" t="n">
        <v>18.9947</v>
      </c>
      <c r="F1348" s="12" t="n">
        <f aca="false">IF(C1348="","",B1348/C1348)</f>
        <v>1205.80272345435</v>
      </c>
      <c r="G1348" s="12" t="n">
        <f aca="false">MEDIAN(F1338:F1358)</f>
        <v>1211.42741135072</v>
      </c>
      <c r="H1348" s="13" t="n">
        <f aca="false">B1348/G1348</f>
        <v>18.602724182106</v>
      </c>
      <c r="I1348" s="14" t="n">
        <f aca="false">B1348/Summary!$C$8*100</f>
        <v>225.830485715145</v>
      </c>
      <c r="J1348" s="14" t="n">
        <f aca="false">G1348/Summary!$E$8*100</f>
        <v>205.88914355221</v>
      </c>
      <c r="K1348" s="15" t="n">
        <f aca="false">Summary!$D$9</f>
        <v>16.9374488591431</v>
      </c>
      <c r="L1348" s="16" t="str">
        <f aca="false">IF(OR(D1348="",E1348=""),"edge hidden",IF(AND(H1348&gt;=D1348-0.02,H1348&lt;=E1348+0.02),"yes","no"))</f>
        <v>yes</v>
      </c>
    </row>
    <row r="1349" customFormat="false" ht="15" hidden="false" customHeight="false" outlineLevel="0" collapsed="false">
      <c r="A1349" s="9" t="n">
        <v>45756</v>
      </c>
      <c r="B1349" s="10" t="n">
        <v>22399.15</v>
      </c>
      <c r="C1349" s="11" t="n">
        <v>18.6935</v>
      </c>
      <c r="D1349" s="11" t="n">
        <v>18.4002</v>
      </c>
      <c r="E1349" s="11" t="n">
        <v>18.9868</v>
      </c>
      <c r="F1349" s="12" t="n">
        <f aca="false">IF(C1349="","",B1349/C1349)</f>
        <v>1198.23200577741</v>
      </c>
      <c r="G1349" s="12" t="n">
        <f aca="false">MEDIAN(F1339:F1359)</f>
        <v>1210.43335489328</v>
      </c>
      <c r="H1349" s="13" t="n">
        <f aca="false">B1349/G1349</f>
        <v>18.5050667262676</v>
      </c>
      <c r="I1349" s="14" t="n">
        <f aca="false">B1349/Summary!$C$8*100</f>
        <v>224.460622701446</v>
      </c>
      <c r="J1349" s="14" t="n">
        <f aca="false">G1349/Summary!$E$8*100</f>
        <v>205.720197868179</v>
      </c>
      <c r="K1349" s="15" t="n">
        <f aca="false">Summary!$D$9</f>
        <v>16.9374488591431</v>
      </c>
      <c r="L1349" s="16" t="str">
        <f aca="false">IF(OR(D1349="",E1349=""),"edge hidden",IF(AND(H1349&gt;=D1349-0.02,H1349&lt;=E1349+0.02),"yes","no"))</f>
        <v>yes</v>
      </c>
    </row>
    <row r="1350" customFormat="false" ht="15" hidden="false" customHeight="false" outlineLevel="0" collapsed="false">
      <c r="A1350" s="9" t="n">
        <v>45758</v>
      </c>
      <c r="B1350" s="10" t="n">
        <v>22828.55</v>
      </c>
      <c r="C1350" s="11" t="n">
        <v>18.9179</v>
      </c>
      <c r="D1350" s="11" t="n">
        <v>18.5813</v>
      </c>
      <c r="E1350" s="11" t="n">
        <v>19.2545</v>
      </c>
      <c r="F1350" s="12" t="n">
        <f aca="false">IF(C1350="","",B1350/C1350)</f>
        <v>1206.71691889692</v>
      </c>
      <c r="G1350" s="12" t="n">
        <f aca="false">MEDIAN(F1340:F1360)</f>
        <v>1209.68690966523</v>
      </c>
      <c r="H1350" s="13" t="n">
        <f aca="false">B1350/G1350</f>
        <v>18.871453280682</v>
      </c>
      <c r="I1350" s="14" t="n">
        <f aca="false">B1350/Summary!$C$8*100</f>
        <v>228.763615957351</v>
      </c>
      <c r="J1350" s="14" t="n">
        <f aca="false">G1350/Summary!$E$8*100</f>
        <v>205.593335154598</v>
      </c>
      <c r="K1350" s="15" t="n">
        <f aca="false">Summary!$D$9</f>
        <v>16.9374488591431</v>
      </c>
      <c r="L1350" s="16" t="str">
        <f aca="false">IF(OR(D1350="",E1350=""),"edge hidden",IF(AND(H1350&gt;=D1350-0.02,H1350&lt;=E1350+0.02),"yes","no"))</f>
        <v>yes</v>
      </c>
    </row>
    <row r="1351" customFormat="false" ht="15" hidden="false" customHeight="false" outlineLevel="0" collapsed="false">
      <c r="A1351" s="9" t="n">
        <v>45762</v>
      </c>
      <c r="B1351" s="10" t="n">
        <v>23328.55</v>
      </c>
      <c r="C1351" s="11" t="n">
        <v>19.3628</v>
      </c>
      <c r="D1351" s="11" t="n">
        <v>18.9514</v>
      </c>
      <c r="E1351" s="11" t="n">
        <v>19.7742</v>
      </c>
      <c r="F1351" s="12" t="n">
        <f aca="false">IF(C1351="","",B1351/C1351)</f>
        <v>1204.81283698639</v>
      </c>
      <c r="G1351" s="12" t="n">
        <f aca="false">MEDIAN(F1341:F1361)</f>
        <v>1209.57965245119</v>
      </c>
      <c r="H1351" s="13" t="n">
        <f aca="false">B1351/G1351</f>
        <v>19.2864934134144</v>
      </c>
      <c r="I1351" s="14" t="n">
        <f aca="false">B1351/Summary!$C$8*100</f>
        <v>233.774087843593</v>
      </c>
      <c r="J1351" s="14" t="n">
        <f aca="false">G1351/Summary!$E$8*100</f>
        <v>205.575106166437</v>
      </c>
      <c r="K1351" s="15" t="n">
        <f aca="false">Summary!$D$9</f>
        <v>16.9374488591431</v>
      </c>
      <c r="L1351" s="16" t="str">
        <f aca="false">IF(OR(D1351="",E1351=""),"edge hidden",IF(AND(H1351&gt;=D1351-0.02,H1351&lt;=E1351+0.02),"yes","no"))</f>
        <v>yes</v>
      </c>
    </row>
    <row r="1352" customFormat="false" ht="15" hidden="false" customHeight="false" outlineLevel="0" collapsed="false">
      <c r="A1352" s="9" t="n">
        <v>45763</v>
      </c>
      <c r="B1352" s="10" t="n">
        <v>23437.2</v>
      </c>
      <c r="C1352" s="11" t="n">
        <v>19.3746</v>
      </c>
      <c r="D1352" s="11" t="n">
        <v>18.9592</v>
      </c>
      <c r="E1352" s="11" t="n">
        <v>19.7899</v>
      </c>
      <c r="F1352" s="12" t="n">
        <f aca="false">IF(C1352="","",B1352/C1352)</f>
        <v>1209.68690966523</v>
      </c>
      <c r="G1352" s="12" t="n">
        <f aca="false">MEDIAN(F1342:F1362)</f>
        <v>1208.90936638434</v>
      </c>
      <c r="H1352" s="13" t="n">
        <f aca="false">B1352/G1352</f>
        <v>19.3870613064212</v>
      </c>
      <c r="I1352" s="14" t="n">
        <f aca="false">B1352/Summary!$C$8*100</f>
        <v>234.862863384474</v>
      </c>
      <c r="J1352" s="14" t="n">
        <f aca="false">G1352/Summary!$E$8*100</f>
        <v>205.461187145829</v>
      </c>
      <c r="K1352" s="15" t="n">
        <f aca="false">Summary!$D$9</f>
        <v>16.9374488591431</v>
      </c>
      <c r="L1352" s="16" t="str">
        <f aca="false">IF(OR(D1352="",E1352=""),"edge hidden",IF(AND(H1352&gt;=D1352-0.02,H1352&lt;=E1352+0.02),"yes","no"))</f>
        <v>yes</v>
      </c>
    </row>
    <row r="1353" customFormat="false" ht="15" hidden="false" customHeight="false" outlineLevel="0" collapsed="false">
      <c r="A1353" s="9" t="n">
        <v>45764</v>
      </c>
      <c r="B1353" s="10" t="n">
        <v>23851.65</v>
      </c>
      <c r="C1353" s="11" t="n">
        <v>19.5242</v>
      </c>
      <c r="D1353" s="11" t="n">
        <v>19.2269</v>
      </c>
      <c r="E1353" s="11" t="n">
        <v>19.8214</v>
      </c>
      <c r="F1353" s="12" t="n">
        <f aca="false">IF(C1353="","",B1353/C1353)</f>
        <v>1221.64544513988</v>
      </c>
      <c r="G1353" s="12" t="n">
        <f aca="false">MEDIAN(F1343:F1363)</f>
        <v>1208.90936638434</v>
      </c>
      <c r="H1353" s="13" t="n">
        <f aca="false">B1353/G1353</f>
        <v>19.7298909771347</v>
      </c>
      <c r="I1353" s="14" t="n">
        <f aca="false">B1353/Summary!$C$8*100</f>
        <v>239.01604353098</v>
      </c>
      <c r="J1353" s="14" t="n">
        <f aca="false">G1353/Summary!$E$8*100</f>
        <v>205.461187145829</v>
      </c>
      <c r="K1353" s="15" t="n">
        <f aca="false">Summary!$D$9</f>
        <v>16.9374488591431</v>
      </c>
      <c r="L1353" s="16" t="str">
        <f aca="false">IF(OR(D1353="",E1353=""),"edge hidden",IF(AND(H1353&gt;=D1353-0.02,H1353&lt;=E1353+0.02),"yes","no"))</f>
        <v>yes</v>
      </c>
    </row>
    <row r="1354" customFormat="false" ht="15" hidden="false" customHeight="false" outlineLevel="0" collapsed="false">
      <c r="A1354" s="9" t="n">
        <v>45768</v>
      </c>
      <c r="B1354" s="10" t="n">
        <v>24125.55</v>
      </c>
      <c r="C1354" s="11" t="n">
        <v>19.9454</v>
      </c>
      <c r="D1354" s="11" t="n">
        <v>19.7388</v>
      </c>
      <c r="E1354" s="11" t="n">
        <v>20.1521</v>
      </c>
      <c r="F1354" s="12" t="n">
        <f aca="false">IF(C1354="","",B1354/C1354)</f>
        <v>1209.57965245119</v>
      </c>
      <c r="G1354" s="12" t="n">
        <f aca="false">MEDIAN(F1344:F1364)</f>
        <v>1208.90936638434</v>
      </c>
      <c r="H1354" s="13" t="n">
        <f aca="false">B1354/G1354</f>
        <v>19.9564588304545</v>
      </c>
      <c r="I1354" s="14" t="n">
        <f aca="false">B1354/Summary!$C$8*100</f>
        <v>241.760780030263</v>
      </c>
      <c r="J1354" s="14" t="n">
        <f aca="false">G1354/Summary!$E$8*100</f>
        <v>205.461187145829</v>
      </c>
      <c r="K1354" s="15" t="n">
        <f aca="false">Summary!$D$9</f>
        <v>16.9374488591431</v>
      </c>
      <c r="L1354" s="16" t="str">
        <f aca="false">IF(OR(D1354="",E1354=""),"edge hidden",IF(AND(H1354&gt;=D1354-0.02,H1354&lt;=E1354+0.02),"yes","no"))</f>
        <v>yes</v>
      </c>
    </row>
    <row r="1355" customFormat="false" ht="15" hidden="false" customHeight="false" outlineLevel="0" collapsed="false">
      <c r="A1355" s="9" t="n">
        <v>45769</v>
      </c>
      <c r="B1355" s="10" t="n">
        <v>24167.25</v>
      </c>
      <c r="C1355" s="11" t="n">
        <v>19.9494</v>
      </c>
      <c r="D1355" s="11" t="n">
        <v>19.7466</v>
      </c>
      <c r="E1355" s="11" t="n">
        <v>20.1521</v>
      </c>
      <c r="F1355" s="12" t="n">
        <f aca="false">IF(C1355="","",B1355/C1355)</f>
        <v>1211.42741135072</v>
      </c>
      <c r="G1355" s="12" t="n">
        <f aca="false">MEDIAN(F1345:F1365)</f>
        <v>1208.2571321789</v>
      </c>
      <c r="H1355" s="13" t="n">
        <f aca="false">B1355/G1355</f>
        <v>20.001744129098</v>
      </c>
      <c r="I1355" s="14" t="n">
        <f aca="false">B1355/Summary!$C$8*100</f>
        <v>242.178653385576</v>
      </c>
      <c r="J1355" s="14" t="n">
        <f aca="false">G1355/Summary!$E$8*100</f>
        <v>205.350336144196</v>
      </c>
      <c r="K1355" s="15" t="n">
        <f aca="false">Summary!$D$9</f>
        <v>16.9374488591431</v>
      </c>
      <c r="L1355" s="16" t="str">
        <f aca="false">IF(OR(D1355="",E1355=""),"edge hidden",IF(AND(H1355&gt;=D1355-0.02,H1355&lt;=E1355+0.02),"yes","no"))</f>
        <v>yes</v>
      </c>
    </row>
    <row r="1356" customFormat="false" ht="15" hidden="false" customHeight="false" outlineLevel="0" collapsed="false">
      <c r="A1356" s="9" t="n">
        <v>45770</v>
      </c>
      <c r="B1356" s="10" t="n">
        <v>24328.95</v>
      </c>
      <c r="C1356" s="11" t="n">
        <v>20.0202</v>
      </c>
      <c r="D1356" s="11" t="n">
        <v>19.8805</v>
      </c>
      <c r="E1356" s="11" t="n">
        <v>20.16</v>
      </c>
      <c r="F1356" s="12" t="n">
        <f aca="false">IF(C1356="","",B1356/C1356)</f>
        <v>1215.22012767105</v>
      </c>
      <c r="G1356" s="12" t="n">
        <f aca="false">MEDIAN(F1346:F1366)</f>
        <v>1207.37846792938</v>
      </c>
      <c r="H1356" s="13" t="n">
        <f aca="false">B1356/G1356</f>
        <v>20.1502268312963</v>
      </c>
      <c r="I1356" s="14" t="n">
        <f aca="false">B1356/Summary!$C$8*100</f>
        <v>243.799039993587</v>
      </c>
      <c r="J1356" s="14" t="n">
        <f aca="false">G1356/Summary!$E$8*100</f>
        <v>205.201002037911</v>
      </c>
      <c r="K1356" s="15" t="n">
        <f aca="false">Summary!$D$9</f>
        <v>16.9374488591431</v>
      </c>
      <c r="L1356" s="16" t="str">
        <f aca="false">IF(OR(D1356="",E1356=""),"edge hidden",IF(AND(H1356&gt;=D1356-0.02,H1356&lt;=E1356+0.02),"yes","no"))</f>
        <v>yes</v>
      </c>
    </row>
    <row r="1357" customFormat="false" ht="15" hidden="false" customHeight="false" outlineLevel="0" collapsed="false">
      <c r="A1357" s="9" t="n">
        <v>45771</v>
      </c>
      <c r="B1357" s="10" t="n">
        <v>24246.7</v>
      </c>
      <c r="C1357" s="11" t="n">
        <v>20.0675</v>
      </c>
      <c r="D1357" s="11" t="n">
        <v>19.9671</v>
      </c>
      <c r="E1357" s="11" t="n">
        <v>20.1679</v>
      </c>
      <c r="F1357" s="12" t="n">
        <f aca="false">IF(C1357="","",B1357/C1357)</f>
        <v>1208.2571321789</v>
      </c>
      <c r="G1357" s="12" t="n">
        <f aca="false">MEDIAN(F1347:F1367)</f>
        <v>1206.71691889692</v>
      </c>
      <c r="H1357" s="13" t="n">
        <f aca="false">B1357/G1357</f>
        <v>20.0931134885921</v>
      </c>
      <c r="I1357" s="14" t="n">
        <f aca="false">B1357/Summary!$C$8*100</f>
        <v>242.9748173683</v>
      </c>
      <c r="J1357" s="14" t="n">
        <f aca="false">G1357/Summary!$E$8*100</f>
        <v>205.088567927179</v>
      </c>
      <c r="K1357" s="15" t="n">
        <f aca="false">Summary!$D$9</f>
        <v>16.9374488591431</v>
      </c>
      <c r="L1357" s="16" t="str">
        <f aca="false">IF(OR(D1357="",E1357=""),"edge hidden",IF(AND(H1357&gt;=D1357-0.02,H1357&lt;=E1357+0.02),"yes","no"))</f>
        <v>yes</v>
      </c>
    </row>
    <row r="1358" customFormat="false" ht="15" hidden="false" customHeight="false" outlineLevel="0" collapsed="false">
      <c r="A1358" s="9" t="n">
        <v>45772</v>
      </c>
      <c r="B1358" s="10" t="n">
        <v>24039.35</v>
      </c>
      <c r="C1358" s="11" t="n">
        <v>20.0793</v>
      </c>
      <c r="D1358" s="11" t="n">
        <v>19.975</v>
      </c>
      <c r="E1358" s="11" t="n">
        <v>20.1836</v>
      </c>
      <c r="F1358" s="12" t="n">
        <f aca="false">IF(C1358="","",B1358/C1358)</f>
        <v>1197.22052063568</v>
      </c>
      <c r="G1358" s="12" t="n">
        <f aca="false">MEDIAN(F1348:F1368)</f>
        <v>1207.37846792938</v>
      </c>
      <c r="H1358" s="13" t="n">
        <f aca="false">B1358/G1358</f>
        <v>19.9103683215643</v>
      </c>
      <c r="I1358" s="14" t="n">
        <f aca="false">B1358/Summary!$C$8*100</f>
        <v>240.896974677075</v>
      </c>
      <c r="J1358" s="14" t="n">
        <f aca="false">G1358/Summary!$E$8*100</f>
        <v>205.201002037911</v>
      </c>
      <c r="K1358" s="15" t="n">
        <f aca="false">Summary!$D$9</f>
        <v>16.9374488591431</v>
      </c>
      <c r="L1358" s="16" t="str">
        <f aca="false">IF(OR(D1358="",E1358=""),"edge hidden",IF(AND(H1358&gt;=D1358-0.02,H1358&lt;=E1358+0.02),"yes","no"))</f>
        <v>no</v>
      </c>
    </row>
    <row r="1359" customFormat="false" ht="15" hidden="false" customHeight="false" outlineLevel="0" collapsed="false">
      <c r="A1359" s="9" t="n">
        <v>45775</v>
      </c>
      <c r="B1359" s="10" t="n">
        <v>24328.5</v>
      </c>
      <c r="C1359" s="11" t="n">
        <v>20.099</v>
      </c>
      <c r="D1359" s="11" t="n">
        <v>19.9828</v>
      </c>
      <c r="E1359" s="11" t="n">
        <v>20.2151</v>
      </c>
      <c r="F1359" s="12" t="n">
        <f aca="false">IF(C1359="","",B1359/C1359)</f>
        <v>1210.43335489328</v>
      </c>
      <c r="G1359" s="12" t="n">
        <f aca="false">MEDIAN(F1349:F1369)</f>
        <v>1207.37846792938</v>
      </c>
      <c r="H1359" s="13" t="n">
        <f aca="false">B1359/G1359</f>
        <v>20.1498541229766</v>
      </c>
      <c r="I1359" s="14" t="n">
        <f aca="false">B1359/Summary!$C$8*100</f>
        <v>243.794530568889</v>
      </c>
      <c r="J1359" s="14" t="n">
        <f aca="false">G1359/Summary!$E$8*100</f>
        <v>205.201002037911</v>
      </c>
      <c r="K1359" s="15" t="n">
        <f aca="false">Summary!$D$9</f>
        <v>16.9374488591431</v>
      </c>
      <c r="L1359" s="16" t="str">
        <f aca="false">IF(OR(D1359="",E1359=""),"edge hidden",IF(AND(H1359&gt;=D1359-0.02,H1359&lt;=E1359+0.02),"yes","no"))</f>
        <v>yes</v>
      </c>
    </row>
    <row r="1360" customFormat="false" ht="15" hidden="false" customHeight="false" outlineLevel="0" collapsed="false">
      <c r="A1360" s="9" t="n">
        <v>45776</v>
      </c>
      <c r="B1360" s="10" t="n">
        <v>24335.95</v>
      </c>
      <c r="C1360" s="11" t="n">
        <v>20.1305</v>
      </c>
      <c r="D1360" s="11" t="n">
        <v>20.038</v>
      </c>
      <c r="E1360" s="11" t="n">
        <v>20.223</v>
      </c>
      <c r="F1360" s="12" t="n">
        <f aca="false">IF(C1360="","",B1360/C1360)</f>
        <v>1208.90936638434</v>
      </c>
      <c r="G1360" s="12" t="n">
        <f aca="false">MEDIAN(F1350:F1370)</f>
        <v>1207.37846792938</v>
      </c>
      <c r="H1360" s="13" t="n">
        <f aca="false">B1360/G1360</f>
        <v>20.1560245162691</v>
      </c>
      <c r="I1360" s="14" t="n">
        <f aca="false">B1360/Summary!$C$8*100</f>
        <v>243.869186599994</v>
      </c>
      <c r="J1360" s="14" t="n">
        <f aca="false">G1360/Summary!$E$8*100</f>
        <v>205.201002037911</v>
      </c>
      <c r="K1360" s="15" t="n">
        <f aca="false">Summary!$D$9</f>
        <v>16.9374488591431</v>
      </c>
      <c r="L1360" s="16" t="str">
        <f aca="false">IF(OR(D1360="",E1360=""),"edge hidden",IF(AND(H1360&gt;=D1360-0.02,H1360&lt;=E1360+0.02),"yes","no"))</f>
        <v>yes</v>
      </c>
    </row>
    <row r="1361" customFormat="false" ht="15" hidden="false" customHeight="false" outlineLevel="0" collapsed="false">
      <c r="A1361" s="9" t="n">
        <v>45777</v>
      </c>
      <c r="B1361" s="10" t="n">
        <v>24334.2</v>
      </c>
      <c r="C1361" s="11" t="n">
        <v>20.1895</v>
      </c>
      <c r="D1361" s="11" t="n">
        <v>20.1403</v>
      </c>
      <c r="E1361" s="11" t="n">
        <v>20.2388</v>
      </c>
      <c r="F1361" s="12" t="n">
        <f aca="false">IF(C1361="","",B1361/C1361)</f>
        <v>1205.28987840214</v>
      </c>
      <c r="G1361" s="12" t="n">
        <f aca="false">MEDIAN(F1351:F1371)</f>
        <v>1208.2571321789</v>
      </c>
      <c r="H1361" s="13" t="n">
        <f aca="false">B1361/G1361</f>
        <v>20.1399183600242</v>
      </c>
      <c r="I1361" s="14" t="n">
        <f aca="false">B1361/Summary!$C$8*100</f>
        <v>243.851649948392</v>
      </c>
      <c r="J1361" s="14" t="n">
        <f aca="false">G1361/Summary!$E$8*100</f>
        <v>205.350336144196</v>
      </c>
      <c r="K1361" s="15" t="n">
        <f aca="false">Summary!$D$9</f>
        <v>16.9374488591431</v>
      </c>
      <c r="L1361" s="16" t="str">
        <f aca="false">IF(OR(D1361="",E1361=""),"edge hidden",IF(AND(H1361&gt;=D1361-0.02,H1361&lt;=E1361+0.02),"yes","no"))</f>
        <v>yes</v>
      </c>
    </row>
    <row r="1362" customFormat="false" ht="15" hidden="false" customHeight="false" outlineLevel="0" collapsed="false">
      <c r="A1362" s="9" t="n">
        <v>45779</v>
      </c>
      <c r="B1362" s="10" t="n">
        <v>24346.7</v>
      </c>
      <c r="C1362" s="11" t="n">
        <v>20.2407</v>
      </c>
      <c r="D1362" s="11" t="n">
        <v>20.1954</v>
      </c>
      <c r="E1362" s="11" t="n">
        <v>20.286</v>
      </c>
      <c r="F1362" s="12" t="n">
        <f aca="false">IF(C1362="","",B1362/C1362)</f>
        <v>1202.85859678766</v>
      </c>
      <c r="G1362" s="12" t="n">
        <f aca="false">MEDIAN(F1352:F1372)</f>
        <v>1208.2571321789</v>
      </c>
      <c r="H1362" s="13" t="n">
        <f aca="false">B1362/G1362</f>
        <v>20.1502638400277</v>
      </c>
      <c r="I1362" s="14" t="n">
        <f aca="false">B1362/Summary!$C$8*100</f>
        <v>243.976911745548</v>
      </c>
      <c r="J1362" s="14" t="n">
        <f aca="false">G1362/Summary!$E$8*100</f>
        <v>205.350336144196</v>
      </c>
      <c r="K1362" s="15" t="n">
        <f aca="false">Summary!$D$9</f>
        <v>16.9374488591431</v>
      </c>
      <c r="L1362" s="16" t="str">
        <f aca="false">IF(OR(D1362="",E1362=""),"edge hidden",IF(AND(H1362&gt;=D1362-0.02,H1362&lt;=E1362+0.02),"yes","no"))</f>
        <v>no</v>
      </c>
    </row>
    <row r="1363" customFormat="false" ht="15" hidden="false" customHeight="false" outlineLevel="0" collapsed="false">
      <c r="A1363" s="9" t="n">
        <v>45782</v>
      </c>
      <c r="B1363" s="10" t="n">
        <v>24461.15</v>
      </c>
      <c r="C1363" s="11" t="n">
        <v>20.225</v>
      </c>
      <c r="D1363" s="11" t="n">
        <v>20.1325</v>
      </c>
      <c r="E1363" s="11" t="n">
        <v>20.3175</v>
      </c>
      <c r="F1363" s="12" t="n">
        <f aca="false">IF(C1363="","",B1363/C1363)</f>
        <v>1209.45117428925</v>
      </c>
      <c r="G1363" s="12" t="n">
        <f aca="false">MEDIAN(F1353:F1373)</f>
        <v>1208.1490352114</v>
      </c>
      <c r="H1363" s="13" t="n">
        <f aca="false">B1363/G1363</f>
        <v>20.2467984388364</v>
      </c>
      <c r="I1363" s="14" t="n">
        <f aca="false">B1363/Summary!$C$8*100</f>
        <v>245.123808760309</v>
      </c>
      <c r="J1363" s="14" t="n">
        <f aca="false">G1363/Summary!$E$8*100</f>
        <v>205.331964435046</v>
      </c>
      <c r="K1363" s="15" t="n">
        <f aca="false">Summary!$D$9</f>
        <v>16.9374488591431</v>
      </c>
      <c r="L1363" s="16" t="str">
        <f aca="false">IF(OR(D1363="",E1363=""),"edge hidden",IF(AND(H1363&gt;=D1363-0.02,H1363&lt;=E1363+0.02),"yes","no"))</f>
        <v>yes</v>
      </c>
    </row>
    <row r="1364" customFormat="false" ht="15" hidden="false" customHeight="false" outlineLevel="0" collapsed="false">
      <c r="A1364" s="9" t="n">
        <v>45783</v>
      </c>
      <c r="B1364" s="10" t="n">
        <v>24379.6</v>
      </c>
      <c r="C1364" s="11" t="n">
        <v>20.221</v>
      </c>
      <c r="D1364" s="11" t="n">
        <v>20.1246</v>
      </c>
      <c r="E1364" s="11" t="n">
        <v>20.3175</v>
      </c>
      <c r="F1364" s="12" t="n">
        <f aca="false">IF(C1364="","",B1364/C1364)</f>
        <v>1205.65748479304</v>
      </c>
      <c r="G1364" s="12" t="n">
        <f aca="false">MEDIAN(F1354:F1374)</f>
        <v>1207.37846792938</v>
      </c>
      <c r="H1364" s="13" t="n">
        <f aca="false">B1364/G1364</f>
        <v>20.1921772232781</v>
      </c>
      <c r="I1364" s="14" t="n">
        <f aca="false">B1364/Summary!$C$8*100</f>
        <v>244.306600795663</v>
      </c>
      <c r="J1364" s="14" t="n">
        <f aca="false">G1364/Summary!$E$8*100</f>
        <v>205.201002037911</v>
      </c>
      <c r="K1364" s="15" t="n">
        <f aca="false">Summary!$D$9</f>
        <v>16.9374488591431</v>
      </c>
      <c r="L1364" s="16" t="str">
        <f aca="false">IF(OR(D1364="",E1364=""),"edge hidden",IF(AND(H1364&gt;=D1364-0.02,H1364&lt;=E1364+0.02),"yes","no"))</f>
        <v>yes</v>
      </c>
    </row>
    <row r="1365" customFormat="false" ht="15" hidden="false" customHeight="false" outlineLevel="0" collapsed="false">
      <c r="A1365" s="9" t="n">
        <v>45784</v>
      </c>
      <c r="B1365" s="10" t="n">
        <v>24414.4</v>
      </c>
      <c r="C1365" s="11" t="n">
        <v>20.221</v>
      </c>
      <c r="D1365" s="11" t="n">
        <v>20.1088</v>
      </c>
      <c r="E1365" s="11" t="n">
        <v>20.3332</v>
      </c>
      <c r="F1365" s="12" t="n">
        <f aca="false">IF(C1365="","",B1365/C1365)</f>
        <v>1207.37846792938</v>
      </c>
      <c r="G1365" s="12" t="n">
        <f aca="false">MEDIAN(F1355:F1375)</f>
        <v>1206.39384457652</v>
      </c>
      <c r="H1365" s="13" t="n">
        <f aca="false">B1365/G1365</f>
        <v>20.2375037884664</v>
      </c>
      <c r="I1365" s="14" t="n">
        <f aca="false">B1365/Summary!$C$8*100</f>
        <v>244.655329638945</v>
      </c>
      <c r="J1365" s="14" t="n">
        <f aca="false">G1365/Summary!$E$8*100</f>
        <v>205.033659564939</v>
      </c>
      <c r="K1365" s="15" t="n">
        <f aca="false">Summary!$D$9</f>
        <v>16.9374488591431</v>
      </c>
      <c r="L1365" s="16" t="str">
        <f aca="false">IF(OR(D1365="",E1365=""),"edge hidden",IF(AND(H1365&gt;=D1365-0.02,H1365&lt;=E1365+0.02),"yes","no"))</f>
        <v>yes</v>
      </c>
    </row>
    <row r="1366" customFormat="false" ht="15" hidden="false" customHeight="false" outlineLevel="0" collapsed="false">
      <c r="A1366" s="9" t="n">
        <v>45785</v>
      </c>
      <c r="B1366" s="10" t="n">
        <v>24273.8</v>
      </c>
      <c r="C1366" s="11" t="n">
        <v>20.4454</v>
      </c>
      <c r="D1366" s="11" t="n">
        <v>20.101</v>
      </c>
      <c r="E1366" s="11" t="n">
        <v>20.7899</v>
      </c>
      <c r="F1366" s="12" t="n">
        <f aca="false">IF(C1366="","",B1366/C1366)</f>
        <v>1187.24994375263</v>
      </c>
      <c r="G1366" s="12" t="n">
        <f aca="false">MEDIAN(F1356:F1376)</f>
        <v>1205.65748479304</v>
      </c>
      <c r="H1366" s="13" t="n">
        <f aca="false">B1366/G1366</f>
        <v>20.133247050813</v>
      </c>
      <c r="I1366" s="14" t="n">
        <f aca="false">B1366/Summary!$C$8*100</f>
        <v>243.246384944534</v>
      </c>
      <c r="J1366" s="14" t="n">
        <f aca="false">G1366/Summary!$E$8*100</f>
        <v>204.908510931395</v>
      </c>
      <c r="K1366" s="15" t="n">
        <f aca="false">Summary!$D$9</f>
        <v>16.9374488591431</v>
      </c>
      <c r="L1366" s="16" t="str">
        <f aca="false">IF(OR(D1366="",E1366=""),"edge hidden",IF(AND(H1366&gt;=D1366-0.02,H1366&lt;=E1366+0.02),"yes","no"))</f>
        <v>yes</v>
      </c>
    </row>
    <row r="1367" customFormat="false" ht="15" hidden="false" customHeight="false" outlineLevel="0" collapsed="false">
      <c r="A1367" s="9" t="n">
        <v>45786</v>
      </c>
      <c r="B1367" s="10" t="n">
        <v>24008</v>
      </c>
      <c r="C1367" s="11" t="n">
        <v>20.4533</v>
      </c>
      <c r="D1367" s="11" t="n">
        <v>20.0931</v>
      </c>
      <c r="E1367" s="11" t="n">
        <v>20.8136</v>
      </c>
      <c r="F1367" s="12" t="n">
        <f aca="false">IF(C1367="","",B1367/C1367)</f>
        <v>1173.79591557353</v>
      </c>
      <c r="G1367" s="12" t="n">
        <f aca="false">MEDIAN(F1357:F1377)</f>
        <v>1205.28987840214</v>
      </c>
      <c r="H1367" s="13" t="n">
        <f aca="false">B1367/G1367</f>
        <v>19.9188597118459</v>
      </c>
      <c r="I1367" s="14" t="n">
        <f aca="false">B1367/Summary!$C$8*100</f>
        <v>240.582818089808</v>
      </c>
      <c r="J1367" s="14" t="n">
        <f aca="false">G1367/Summary!$E$8*100</f>
        <v>204.846034084432</v>
      </c>
      <c r="K1367" s="15" t="n">
        <f aca="false">Summary!$D$9</f>
        <v>16.9374488591431</v>
      </c>
      <c r="L1367" s="16" t="str">
        <f aca="false">IF(OR(D1367="",E1367=""),"edge hidden",IF(AND(H1367&gt;=D1367-0.02,H1367&lt;=E1367+0.02),"yes","no"))</f>
        <v>no</v>
      </c>
    </row>
    <row r="1368" customFormat="false" ht="15" hidden="false" customHeight="false" outlineLevel="0" collapsed="false">
      <c r="A1368" s="9" t="n">
        <v>45789</v>
      </c>
      <c r="B1368" s="10" t="n">
        <v>24924.7</v>
      </c>
      <c r="C1368" s="11" t="n">
        <v>20.4927</v>
      </c>
      <c r="D1368" s="11" t="n">
        <v>20.101</v>
      </c>
      <c r="E1368" s="11" t="n">
        <v>20.8844</v>
      </c>
      <c r="F1368" s="12" t="n">
        <f aca="false">IF(C1368="","",B1368/C1368)</f>
        <v>1216.27213593133</v>
      </c>
      <c r="G1368" s="12" t="n">
        <f aca="false">MEDIAN(F1358:F1378)</f>
        <v>1203.81302273176</v>
      </c>
      <c r="H1368" s="13" t="n">
        <f aca="false">B1368/G1368</f>
        <v>20.7047934599008</v>
      </c>
      <c r="I1368" s="14" t="n">
        <f aca="false">B1368/Summary!$C$8*100</f>
        <v>249.769017246044</v>
      </c>
      <c r="J1368" s="14" t="n">
        <f aca="false">G1368/Summary!$E$8*100</f>
        <v>204.595033862482</v>
      </c>
      <c r="K1368" s="15" t="n">
        <f aca="false">Summary!$D$9</f>
        <v>16.9374488591431</v>
      </c>
      <c r="L1368" s="16" t="str">
        <f aca="false">IF(OR(D1368="",E1368=""),"edge hidden",IF(AND(H1368&gt;=D1368-0.02,H1368&lt;=E1368+0.02),"yes","no"))</f>
        <v>yes</v>
      </c>
    </row>
    <row r="1369" customFormat="false" ht="15" hidden="false" customHeight="false" outlineLevel="0" collapsed="false">
      <c r="A1369" s="9" t="n">
        <v>45790</v>
      </c>
      <c r="B1369" s="10" t="n">
        <v>24578.35</v>
      </c>
      <c r="C1369" s="11" t="n">
        <v>20.5124</v>
      </c>
      <c r="D1369" s="11" t="n">
        <v>20.1246</v>
      </c>
      <c r="E1369" s="11" t="n">
        <v>20.9002</v>
      </c>
      <c r="F1369" s="12" t="n">
        <f aca="false">IF(C1369="","",B1369/C1369)</f>
        <v>1198.21912599208</v>
      </c>
      <c r="G1369" s="12" t="n">
        <f aca="false">MEDIAN(F1359:F1379)</f>
        <v>1203.81302273176</v>
      </c>
      <c r="H1369" s="13" t="n">
        <f aca="false">B1369/G1369</f>
        <v>20.4170826663973</v>
      </c>
      <c r="I1369" s="14" t="n">
        <f aca="false">B1369/Summary!$C$8*100</f>
        <v>246.298263370444</v>
      </c>
      <c r="J1369" s="14" t="n">
        <f aca="false">G1369/Summary!$E$8*100</f>
        <v>204.595033862482</v>
      </c>
      <c r="K1369" s="15" t="n">
        <f aca="false">Summary!$D$9</f>
        <v>16.9374488591431</v>
      </c>
      <c r="L1369" s="16" t="str">
        <f aca="false">IF(OR(D1369="",E1369=""),"edge hidden",IF(AND(H1369&gt;=D1369-0.02,H1369&lt;=E1369+0.02),"yes","no"))</f>
        <v>yes</v>
      </c>
    </row>
    <row r="1370" customFormat="false" ht="15" hidden="false" customHeight="false" outlineLevel="0" collapsed="false">
      <c r="A1370" s="9" t="n">
        <v>45791</v>
      </c>
      <c r="B1370" s="10" t="n">
        <v>24666.9</v>
      </c>
      <c r="C1370" s="11" t="n">
        <v>20.7053</v>
      </c>
      <c r="D1370" s="11" t="n">
        <v>20.5104</v>
      </c>
      <c r="E1370" s="11" t="n">
        <v>20.9002</v>
      </c>
      <c r="F1370" s="12" t="n">
        <f aca="false">IF(C1370="","",B1370/C1370)</f>
        <v>1191.33265395817</v>
      </c>
      <c r="G1370" s="12" t="n">
        <f aca="false">MEDIAN(F1360:F1380)</f>
        <v>1202.85859678766</v>
      </c>
      <c r="H1370" s="13" t="n">
        <f aca="false">B1370/G1370</f>
        <v>20.5068992031774</v>
      </c>
      <c r="I1370" s="14" t="n">
        <f aca="false">B1370/Summary!$C$8*100</f>
        <v>247.185617941498</v>
      </c>
      <c r="J1370" s="14" t="n">
        <f aca="false">G1370/Summary!$E$8*100</f>
        <v>204.43282361499</v>
      </c>
      <c r="K1370" s="15" t="n">
        <f aca="false">Summary!$D$9</f>
        <v>16.9374488591431</v>
      </c>
      <c r="L1370" s="16" t="str">
        <f aca="false">IF(OR(D1370="",E1370=""),"edge hidden",IF(AND(H1370&gt;=D1370-0.02,H1370&lt;=E1370+0.02),"yes","no"))</f>
        <v>yes</v>
      </c>
    </row>
    <row r="1371" customFormat="false" ht="15" hidden="false" customHeight="false" outlineLevel="0" collapsed="false">
      <c r="A1371" s="9" t="n">
        <v>45792</v>
      </c>
      <c r="B1371" s="10" t="n">
        <v>25062.1</v>
      </c>
      <c r="C1371" s="11" t="n">
        <v>20.7092</v>
      </c>
      <c r="D1371" s="11" t="n">
        <v>20.5183</v>
      </c>
      <c r="E1371" s="11" t="n">
        <v>20.9002</v>
      </c>
      <c r="F1371" s="12" t="n">
        <f aca="false">IF(C1371="","",B1371/C1371)</f>
        <v>1210.19160566318</v>
      </c>
      <c r="G1371" s="12" t="n">
        <f aca="false">MEDIAN(F1361:F1381)</f>
        <v>1201.89720259413</v>
      </c>
      <c r="H1371" s="13" t="n">
        <f aca="false">B1371/G1371</f>
        <v>20.8521160927131</v>
      </c>
      <c r="I1371" s="14" t="n">
        <f aca="false">B1371/Summary!$C$8*100</f>
        <v>251.145894920384</v>
      </c>
      <c r="J1371" s="14" t="n">
        <f aca="false">G1371/Summary!$E$8*100</f>
        <v>204.269429072926</v>
      </c>
      <c r="K1371" s="15" t="n">
        <f aca="false">Summary!$D$9</f>
        <v>16.9374488591431</v>
      </c>
      <c r="L1371" s="16" t="str">
        <f aca="false">IF(OR(D1371="",E1371=""),"edge hidden",IF(AND(H1371&gt;=D1371-0.02,H1371&lt;=E1371+0.02),"yes","no"))</f>
        <v>yes</v>
      </c>
    </row>
    <row r="1372" customFormat="false" ht="15" hidden="false" customHeight="false" outlineLevel="0" collapsed="false">
      <c r="A1372" s="9" t="n">
        <v>45793</v>
      </c>
      <c r="B1372" s="10" t="n">
        <v>25019.8</v>
      </c>
      <c r="C1372" s="11" t="n">
        <v>20.7092</v>
      </c>
      <c r="D1372" s="11" t="n">
        <v>20.5262</v>
      </c>
      <c r="E1372" s="11" t="n">
        <v>20.8923</v>
      </c>
      <c r="F1372" s="12" t="n">
        <f aca="false">IF(C1372="","",B1372/C1372)</f>
        <v>1208.1490352114</v>
      </c>
      <c r="G1372" s="12" t="n">
        <f aca="false">MEDIAN(F1362:F1382)</f>
        <v>1200.63352850151</v>
      </c>
      <c r="H1372" s="13" t="n">
        <f aca="false">B1372/G1372</f>
        <v>20.8388316718315</v>
      </c>
      <c r="I1372" s="14" t="n">
        <f aca="false">B1372/Summary!$C$8*100</f>
        <v>250.722008998808</v>
      </c>
      <c r="J1372" s="14" t="n">
        <f aca="false">G1372/Summary!$E$8*100</f>
        <v>204.054660301622</v>
      </c>
      <c r="K1372" s="15" t="n">
        <f aca="false">Summary!$D$9</f>
        <v>16.9374488591431</v>
      </c>
      <c r="L1372" s="16" t="str">
        <f aca="false">IF(OR(D1372="",E1372=""),"edge hidden",IF(AND(H1372&gt;=D1372-0.02,H1372&lt;=E1372+0.02),"yes","no"))</f>
        <v>yes</v>
      </c>
    </row>
    <row r="1373" customFormat="false" ht="15" hidden="false" customHeight="false" outlineLevel="0" collapsed="false">
      <c r="A1373" s="9" t="n">
        <v>45796</v>
      </c>
      <c r="B1373" s="10" t="n">
        <v>24945.45</v>
      </c>
      <c r="C1373" s="11" t="n">
        <v>20.6777</v>
      </c>
      <c r="D1373" s="11" t="n">
        <v>20.5183</v>
      </c>
      <c r="E1373" s="11" t="n">
        <v>20.8372</v>
      </c>
      <c r="F1373" s="12" t="n">
        <f aca="false">IF(C1373="","",B1373/C1373)</f>
        <v>1206.39384457652</v>
      </c>
      <c r="G1373" s="12" t="n">
        <f aca="false">MEDIAN(F1363:F1383)</f>
        <v>1199.87013112411</v>
      </c>
      <c r="H1373" s="13" t="n">
        <f aca="false">B1373/G1373</f>
        <v>20.7901249918018</v>
      </c>
      <c r="I1373" s="14" t="n">
        <f aca="false">B1373/Summary!$C$8*100</f>
        <v>249.976951829323</v>
      </c>
      <c r="J1373" s="14" t="n">
        <f aca="false">G1373/Summary!$E$8*100</f>
        <v>203.924916471534</v>
      </c>
      <c r="K1373" s="15" t="n">
        <f aca="false">Summary!$D$9</f>
        <v>16.9374488591431</v>
      </c>
      <c r="L1373" s="16" t="str">
        <f aca="false">IF(OR(D1373="",E1373=""),"edge hidden",IF(AND(H1373&gt;=D1373-0.02,H1373&lt;=E1373+0.02),"yes","no"))</f>
        <v>yes</v>
      </c>
    </row>
    <row r="1374" customFormat="false" ht="15" hidden="false" customHeight="false" outlineLevel="0" collapsed="false">
      <c r="A1374" s="9" t="n">
        <v>45797</v>
      </c>
      <c r="B1374" s="10" t="n">
        <v>24683.9</v>
      </c>
      <c r="C1374" s="11" t="n">
        <v>20.6777</v>
      </c>
      <c r="D1374" s="11" t="n">
        <v>20.5183</v>
      </c>
      <c r="E1374" s="11" t="n">
        <v>20.8372</v>
      </c>
      <c r="F1374" s="12" t="n">
        <f aca="false">IF(C1374="","",B1374/C1374)</f>
        <v>1193.7449522916</v>
      </c>
      <c r="G1374" s="12" t="n">
        <f aca="false">MEDIAN(F1364:F1384)</f>
        <v>1199.55186216498</v>
      </c>
      <c r="H1374" s="13" t="n">
        <f aca="false">B1374/G1374</f>
        <v>20.57760133476</v>
      </c>
      <c r="I1374" s="14" t="n">
        <f aca="false">B1374/Summary!$C$8*100</f>
        <v>247.35597398563</v>
      </c>
      <c r="J1374" s="14" t="n">
        <f aca="false">G1374/Summary!$E$8*100</f>
        <v>203.870824808426</v>
      </c>
      <c r="K1374" s="15" t="n">
        <f aca="false">Summary!$D$9</f>
        <v>16.9374488591431</v>
      </c>
      <c r="L1374" s="16" t="str">
        <f aca="false">IF(OR(D1374="",E1374=""),"edge hidden",IF(AND(H1374&gt;=D1374-0.02,H1374&lt;=E1374+0.02),"yes","no"))</f>
        <v>yes</v>
      </c>
    </row>
    <row r="1375" customFormat="false" ht="15" hidden="false" customHeight="false" outlineLevel="0" collapsed="false">
      <c r="A1375" s="9" t="n">
        <v>45798</v>
      </c>
      <c r="B1375" s="10" t="n">
        <v>24813.45</v>
      </c>
      <c r="C1375" s="11" t="n">
        <v>20.6856</v>
      </c>
      <c r="D1375" s="11" t="n">
        <v>20.5262</v>
      </c>
      <c r="E1375" s="11" t="n">
        <v>20.8451</v>
      </c>
      <c r="F1375" s="12" t="n">
        <f aca="false">IF(C1375="","",B1375/C1375)</f>
        <v>1199.55186216498</v>
      </c>
      <c r="G1375" s="12" t="n">
        <f aca="false">MEDIAN(F1365:F1385)</f>
        <v>1198.21912599208</v>
      </c>
      <c r="H1375" s="13" t="n">
        <f aca="false">B1375/G1375</f>
        <v>20.7086078512187</v>
      </c>
      <c r="I1375" s="14" t="n">
        <f aca="false">B1375/Summary!$C$8*100</f>
        <v>248.654187251355</v>
      </c>
      <c r="J1375" s="14" t="n">
        <f aca="false">G1375/Summary!$E$8*100</f>
        <v>203.644318534383</v>
      </c>
      <c r="K1375" s="15" t="n">
        <f aca="false">Summary!$D$9</f>
        <v>16.9374488591431</v>
      </c>
      <c r="L1375" s="16" t="str">
        <f aca="false">IF(OR(D1375="",E1375=""),"edge hidden",IF(AND(H1375&gt;=D1375-0.02,H1375&lt;=E1375+0.02),"yes","no"))</f>
        <v>yes</v>
      </c>
    </row>
    <row r="1376" customFormat="false" ht="15" hidden="false" customHeight="false" outlineLevel="0" collapsed="false">
      <c r="A1376" s="9" t="n">
        <v>45799</v>
      </c>
      <c r="B1376" s="10" t="n">
        <v>24609.7</v>
      </c>
      <c r="C1376" s="11" t="n">
        <v>20.6935</v>
      </c>
      <c r="D1376" s="11" t="n">
        <v>20.5419</v>
      </c>
      <c r="E1376" s="11" t="n">
        <v>20.8451</v>
      </c>
      <c r="F1376" s="12" t="n">
        <f aca="false">IF(C1376="","",B1376/C1376)</f>
        <v>1189.24783144466</v>
      </c>
      <c r="G1376" s="12" t="n">
        <f aca="false">MEDIAN(F1366:F1386)</f>
        <v>1197.37626136622</v>
      </c>
      <c r="H1376" s="13" t="n">
        <f aca="false">B1376/G1376</f>
        <v>20.5530214637127</v>
      </c>
      <c r="I1376" s="14" t="n">
        <f aca="false">B1376/Summary!$C$8*100</f>
        <v>246.612419957712</v>
      </c>
      <c r="J1376" s="14" t="n">
        <f aca="false">G1376/Summary!$E$8*100</f>
        <v>203.501068782625</v>
      </c>
      <c r="K1376" s="15" t="n">
        <f aca="false">Summary!$D$9</f>
        <v>16.9374488591431</v>
      </c>
      <c r="L1376" s="16" t="str">
        <f aca="false">IF(OR(D1376="",E1376=""),"edge hidden",IF(AND(H1376&gt;=D1376-0.02,H1376&lt;=E1376+0.02),"yes","no"))</f>
        <v>yes</v>
      </c>
    </row>
    <row r="1377" customFormat="false" ht="15" hidden="false" customHeight="false" outlineLevel="0" collapsed="false">
      <c r="A1377" s="9" t="n">
        <v>45800</v>
      </c>
      <c r="B1377" s="10" t="n">
        <v>24853.15</v>
      </c>
      <c r="C1377" s="11" t="n">
        <v>20.7132</v>
      </c>
      <c r="D1377" s="11" t="n">
        <v>20.5655</v>
      </c>
      <c r="E1377" s="11" t="n">
        <v>20.8608</v>
      </c>
      <c r="F1377" s="12" t="n">
        <f aca="false">IF(C1377="","",B1377/C1377)</f>
        <v>1199.87013112411</v>
      </c>
      <c r="G1377" s="12" t="n">
        <f aca="false">MEDIAN(F1367:F1387)</f>
        <v>1198.21912599208</v>
      </c>
      <c r="H1377" s="13" t="n">
        <f aca="false">B1377/G1377</f>
        <v>20.7417403552313</v>
      </c>
      <c r="I1377" s="14" t="n">
        <f aca="false">B1377/Summary!$C$8*100</f>
        <v>249.052018719123</v>
      </c>
      <c r="J1377" s="14" t="n">
        <f aca="false">G1377/Summary!$E$8*100</f>
        <v>203.644318534383</v>
      </c>
      <c r="K1377" s="15" t="n">
        <f aca="false">Summary!$D$9</f>
        <v>16.9374488591431</v>
      </c>
      <c r="L1377" s="16" t="str">
        <f aca="false">IF(OR(D1377="",E1377=""),"edge hidden",IF(AND(H1377&gt;=D1377-0.02,H1377&lt;=E1377+0.02),"yes","no"))</f>
        <v>yes</v>
      </c>
    </row>
    <row r="1378" customFormat="false" ht="15" hidden="false" customHeight="false" outlineLevel="0" collapsed="false">
      <c r="A1378" s="9" t="n">
        <v>45803</v>
      </c>
      <c r="B1378" s="10" t="n">
        <v>25001.15</v>
      </c>
      <c r="C1378" s="11" t="n">
        <v>20.7683</v>
      </c>
      <c r="D1378" s="11" t="n">
        <v>20.6521</v>
      </c>
      <c r="E1378" s="11" t="n">
        <v>20.8844</v>
      </c>
      <c r="F1378" s="12" t="n">
        <f aca="false">IF(C1378="","",B1378/C1378)</f>
        <v>1203.81302273176</v>
      </c>
      <c r="G1378" s="12" t="n">
        <f aca="false">MEDIAN(F1368:F1388)</f>
        <v>1199.55186216498</v>
      </c>
      <c r="H1378" s="13" t="n">
        <f aca="false">B1378/G1378</f>
        <v>20.8420751020112</v>
      </c>
      <c r="I1378" s="14" t="n">
        <f aca="false">B1378/Summary!$C$8*100</f>
        <v>250.535118397451</v>
      </c>
      <c r="J1378" s="14" t="n">
        <f aca="false">G1378/Summary!$E$8*100</f>
        <v>203.870824808426</v>
      </c>
      <c r="K1378" s="15" t="n">
        <f aca="false">Summary!$D$9</f>
        <v>16.9374488591431</v>
      </c>
      <c r="L1378" s="16" t="str">
        <f aca="false">IF(OR(D1378="",E1378=""),"edge hidden",IF(AND(H1378&gt;=D1378-0.02,H1378&lt;=E1378+0.02),"yes","no"))</f>
        <v>yes</v>
      </c>
    </row>
    <row r="1379" customFormat="false" ht="15" hidden="false" customHeight="false" outlineLevel="0" collapsed="false">
      <c r="A1379" s="9" t="n">
        <v>45804</v>
      </c>
      <c r="B1379" s="10" t="n">
        <v>24826.2</v>
      </c>
      <c r="C1379" s="11" t="n">
        <v>20.7604</v>
      </c>
      <c r="D1379" s="11" t="n">
        <v>20.6521</v>
      </c>
      <c r="E1379" s="11" t="n">
        <v>20.8687</v>
      </c>
      <c r="F1379" s="12" t="n">
        <f aca="false">IF(C1379="","",B1379/C1379)</f>
        <v>1195.8440107127</v>
      </c>
      <c r="G1379" s="12" t="n">
        <f aca="false">MEDIAN(F1369:F1389)</f>
        <v>1199.55186216498</v>
      </c>
      <c r="H1379" s="13" t="n">
        <f aca="false">B1379/G1379</f>
        <v>20.6962289693694</v>
      </c>
      <c r="I1379" s="14" t="n">
        <f aca="false">B1379/Summary!$C$8*100</f>
        <v>248.781954284454</v>
      </c>
      <c r="J1379" s="14" t="n">
        <f aca="false">G1379/Summary!$E$8*100</f>
        <v>203.870824808426</v>
      </c>
      <c r="K1379" s="15" t="n">
        <f aca="false">Summary!$D$9</f>
        <v>16.9374488591431</v>
      </c>
      <c r="L1379" s="16" t="str">
        <f aca="false">IF(OR(D1379="",E1379=""),"edge hidden",IF(AND(H1379&gt;=D1379-0.02,H1379&lt;=E1379+0.02),"yes","no"))</f>
        <v>yes</v>
      </c>
    </row>
    <row r="1380" customFormat="false" ht="15" hidden="false" customHeight="false" outlineLevel="0" collapsed="false">
      <c r="A1380" s="9" t="n">
        <v>45805</v>
      </c>
      <c r="B1380" s="10" t="n">
        <v>24752.45</v>
      </c>
      <c r="C1380" s="11" t="n">
        <v>20.7486</v>
      </c>
      <c r="D1380" s="11" t="n">
        <v>20.6443</v>
      </c>
      <c r="E1380" s="11" t="n">
        <v>20.8529</v>
      </c>
      <c r="F1380" s="12" t="n">
        <f aca="false">IF(C1380="","",B1380/C1380)</f>
        <v>1192.9696461448</v>
      </c>
      <c r="G1380" s="12" t="n">
        <f aca="false">MEDIAN(F1370:F1390)</f>
        <v>1199.87013112411</v>
      </c>
      <c r="H1380" s="13" t="n">
        <f aca="false">B1380/G1380</f>
        <v>20.6292742505477</v>
      </c>
      <c r="I1380" s="14" t="n">
        <f aca="false">B1380/Summary!$C$8*100</f>
        <v>248.042909681234</v>
      </c>
      <c r="J1380" s="14" t="n">
        <f aca="false">G1380/Summary!$E$8*100</f>
        <v>203.924916471534</v>
      </c>
      <c r="K1380" s="15" t="n">
        <f aca="false">Summary!$D$9</f>
        <v>16.9374488591431</v>
      </c>
      <c r="L1380" s="16" t="str">
        <f aca="false">IF(OR(D1380="",E1380=""),"edge hidden",IF(AND(H1380&gt;=D1380-0.02,H1380&lt;=E1380+0.02),"yes","no"))</f>
        <v>yes</v>
      </c>
    </row>
    <row r="1381" customFormat="false" ht="15" hidden="false" customHeight="false" outlineLevel="0" collapsed="false">
      <c r="A1381" s="9" t="n">
        <v>45806</v>
      </c>
      <c r="B1381" s="10" t="n">
        <v>24833.6</v>
      </c>
      <c r="C1381" s="11" t="n">
        <v>20.662</v>
      </c>
      <c r="D1381" s="11" t="n">
        <v>20.6049</v>
      </c>
      <c r="E1381" s="11" t="n">
        <v>20.7191</v>
      </c>
      <c r="F1381" s="12" t="n">
        <f aca="false">IF(C1381="","",B1381/C1381)</f>
        <v>1201.89720259413</v>
      </c>
      <c r="G1381" s="12" t="n">
        <f aca="false">MEDIAN(F1371:F1391)</f>
        <v>1199.87013112411</v>
      </c>
      <c r="H1381" s="13" t="n">
        <f aca="false">B1381/G1381</f>
        <v>20.6969065699921</v>
      </c>
      <c r="I1381" s="14" t="n">
        <f aca="false">B1381/Summary!$C$8*100</f>
        <v>248.856109268371</v>
      </c>
      <c r="J1381" s="14" t="n">
        <f aca="false">G1381/Summary!$E$8*100</f>
        <v>203.924916471534</v>
      </c>
      <c r="K1381" s="15" t="n">
        <f aca="false">Summary!$D$9</f>
        <v>16.9374488591431</v>
      </c>
      <c r="L1381" s="16" t="str">
        <f aca="false">IF(OR(D1381="",E1381=""),"edge hidden",IF(AND(H1381&gt;=D1381-0.02,H1381&lt;=E1381+0.02),"yes","no"))</f>
        <v>yes</v>
      </c>
    </row>
    <row r="1382" customFormat="false" ht="15" hidden="false" customHeight="false" outlineLevel="0" collapsed="false">
      <c r="A1382" s="9" t="n">
        <v>45807</v>
      </c>
      <c r="B1382" s="10" t="n">
        <v>24750.7</v>
      </c>
      <c r="C1382" s="11" t="n">
        <v>20.6147</v>
      </c>
      <c r="D1382" s="11" t="n">
        <v>20.5262</v>
      </c>
      <c r="E1382" s="11" t="n">
        <v>20.7033</v>
      </c>
      <c r="F1382" s="12" t="n">
        <f aca="false">IF(C1382="","",B1382/C1382)</f>
        <v>1200.63352850151</v>
      </c>
      <c r="G1382" s="12" t="n">
        <f aca="false">MEDIAN(F1372:F1392)</f>
        <v>1199.55186216498</v>
      </c>
      <c r="H1382" s="13" t="n">
        <f aca="false">B1382/G1382</f>
        <v>20.6332887978093</v>
      </c>
      <c r="I1382" s="14" t="n">
        <f aca="false">B1382/Summary!$C$8*100</f>
        <v>248.025373029632</v>
      </c>
      <c r="J1382" s="14" t="n">
        <f aca="false">G1382/Summary!$E$8*100</f>
        <v>203.870824808426</v>
      </c>
      <c r="K1382" s="15" t="n">
        <f aca="false">Summary!$D$9</f>
        <v>16.9374488591431</v>
      </c>
      <c r="L1382" s="16" t="str">
        <f aca="false">IF(OR(D1382="",E1382=""),"edge hidden",IF(AND(H1382&gt;=D1382-0.02,H1382&lt;=E1382+0.02),"yes","no"))</f>
        <v>yes</v>
      </c>
    </row>
    <row r="1383" customFormat="false" ht="15" hidden="false" customHeight="false" outlineLevel="0" collapsed="false">
      <c r="A1383" s="9" t="n">
        <v>45810</v>
      </c>
      <c r="B1383" s="10" t="n">
        <v>24716.6</v>
      </c>
      <c r="C1383" s="11" t="n">
        <v>20.6423</v>
      </c>
      <c r="D1383" s="11" t="n">
        <v>20.4947</v>
      </c>
      <c r="E1383" s="11" t="n">
        <v>20.7899</v>
      </c>
      <c r="F1383" s="12" t="n">
        <f aca="false">IF(C1383="","",B1383/C1383)</f>
        <v>1197.37626136622</v>
      </c>
      <c r="G1383" s="12" t="n">
        <f aca="false">MEDIAN(F1373:F1393)</f>
        <v>1199.55186216498</v>
      </c>
      <c r="H1383" s="13" t="n">
        <f aca="false">B1383/G1383</f>
        <v>20.6048615150251</v>
      </c>
      <c r="I1383" s="14" t="n">
        <f aca="false">B1383/Summary!$C$8*100</f>
        <v>247.68365884699</v>
      </c>
      <c r="J1383" s="14" t="n">
        <f aca="false">G1383/Summary!$E$8*100</f>
        <v>203.870824808426</v>
      </c>
      <c r="K1383" s="15" t="n">
        <f aca="false">Summary!$D$9</f>
        <v>16.9374488591431</v>
      </c>
      <c r="L1383" s="16" t="str">
        <f aca="false">IF(OR(D1383="",E1383=""),"edge hidden",IF(AND(H1383&gt;=D1383-0.02,H1383&lt;=E1383+0.02),"yes","no"))</f>
        <v>yes</v>
      </c>
    </row>
    <row r="1384" customFormat="false" ht="15" hidden="false" customHeight="false" outlineLevel="0" collapsed="false">
      <c r="A1384" s="9" t="n">
        <v>45811</v>
      </c>
      <c r="B1384" s="10" t="n">
        <v>24542.5</v>
      </c>
      <c r="C1384" s="11" t="n">
        <v>20.662</v>
      </c>
      <c r="D1384" s="11" t="n">
        <v>20.4947</v>
      </c>
      <c r="E1384" s="11" t="n">
        <v>20.8293</v>
      </c>
      <c r="F1384" s="12" t="n">
        <f aca="false">IF(C1384="","",B1384/C1384)</f>
        <v>1187.80853741167</v>
      </c>
      <c r="G1384" s="12" t="n">
        <f aca="false">MEDIAN(F1374:F1394)</f>
        <v>1198.06022743159</v>
      </c>
      <c r="H1384" s="13" t="n">
        <f aca="false">B1384/G1384</f>
        <v>20.4851971863005</v>
      </c>
      <c r="I1384" s="14" t="n">
        <f aca="false">B1384/Summary!$C$8*100</f>
        <v>245.939012536201</v>
      </c>
      <c r="J1384" s="14" t="n">
        <f aca="false">G1384/Summary!$E$8*100</f>
        <v>203.617312798648</v>
      </c>
      <c r="K1384" s="15" t="n">
        <f aca="false">Summary!$D$9</f>
        <v>16.9374488591431</v>
      </c>
      <c r="L1384" s="16" t="str">
        <f aca="false">IF(OR(D1384="",E1384=""),"edge hidden",IF(AND(H1384&gt;=D1384-0.02,H1384&lt;=E1384+0.02),"yes","no"))</f>
        <v>yes</v>
      </c>
    </row>
    <row r="1385" customFormat="false" ht="15" hidden="false" customHeight="false" outlineLevel="0" collapsed="false">
      <c r="A1385" s="9" t="n">
        <v>45812</v>
      </c>
      <c r="B1385" s="10" t="n">
        <v>24620.2</v>
      </c>
      <c r="C1385" s="11" t="n">
        <v>20.6777</v>
      </c>
      <c r="D1385" s="11" t="n">
        <v>20.4947</v>
      </c>
      <c r="E1385" s="11" t="n">
        <v>20.8608</v>
      </c>
      <c r="F1385" s="12" t="n">
        <f aca="false">IF(C1385="","",B1385/C1385)</f>
        <v>1190.66433887715</v>
      </c>
      <c r="G1385" s="12" t="n">
        <f aca="false">MEDIAN(F1375:F1395)</f>
        <v>1198.06022743159</v>
      </c>
      <c r="H1385" s="13" t="n">
        <f aca="false">B1385/G1385</f>
        <v>20.5500520226609</v>
      </c>
      <c r="I1385" s="14" t="n">
        <f aca="false">B1385/Summary!$C$8*100</f>
        <v>246.717639867323</v>
      </c>
      <c r="J1385" s="14" t="n">
        <f aca="false">G1385/Summary!$E$8*100</f>
        <v>203.617312798648</v>
      </c>
      <c r="K1385" s="15" t="n">
        <f aca="false">Summary!$D$9</f>
        <v>16.9374488591431</v>
      </c>
      <c r="L1385" s="16" t="str">
        <f aca="false">IF(OR(D1385="",E1385=""),"edge hidden",IF(AND(H1385&gt;=D1385-0.02,H1385&lt;=E1385+0.02),"yes","no"))</f>
        <v>yes</v>
      </c>
    </row>
    <row r="1386" customFormat="false" ht="15" hidden="false" customHeight="false" outlineLevel="0" collapsed="false">
      <c r="A1386" s="9" t="n">
        <v>45813</v>
      </c>
      <c r="B1386" s="10" t="n">
        <v>24750.9</v>
      </c>
      <c r="C1386" s="11" t="n">
        <v>20.7014</v>
      </c>
      <c r="D1386" s="11" t="n">
        <v>20.5104</v>
      </c>
      <c r="E1386" s="11" t="n">
        <v>20.8923</v>
      </c>
      <c r="F1386" s="12" t="n">
        <f aca="false">IF(C1386="","",B1386/C1386)</f>
        <v>1195.61478933792</v>
      </c>
      <c r="G1386" s="12" t="n">
        <f aca="false">MEDIAN(F1376:F1396)</f>
        <v>1197.37626136622</v>
      </c>
      <c r="H1386" s="13" t="n">
        <f aca="false">B1386/G1386</f>
        <v>20.6709459662737</v>
      </c>
      <c r="I1386" s="14" t="n">
        <f aca="false">B1386/Summary!$C$8*100</f>
        <v>248.027377218386</v>
      </c>
      <c r="J1386" s="14" t="n">
        <f aca="false">G1386/Summary!$E$8*100</f>
        <v>203.501068782625</v>
      </c>
      <c r="K1386" s="15" t="n">
        <f aca="false">Summary!$D$9</f>
        <v>16.9374488591431</v>
      </c>
      <c r="L1386" s="16" t="str">
        <f aca="false">IF(OR(D1386="",E1386=""),"edge hidden",IF(AND(H1386&gt;=D1386-0.02,H1386&lt;=E1386+0.02),"yes","no"))</f>
        <v>yes</v>
      </c>
    </row>
    <row r="1387" customFormat="false" ht="15" hidden="false" customHeight="false" outlineLevel="0" collapsed="false">
      <c r="A1387" s="9" t="n">
        <v>45814</v>
      </c>
      <c r="B1387" s="10" t="n">
        <v>25003.05</v>
      </c>
      <c r="C1387" s="11" t="n">
        <v>20.725</v>
      </c>
      <c r="D1387" s="11" t="n">
        <v>20.5183</v>
      </c>
      <c r="E1387" s="11" t="n">
        <v>20.9317</v>
      </c>
      <c r="F1387" s="12" t="n">
        <f aca="false">IF(C1387="","",B1387/C1387)</f>
        <v>1206.41978287093</v>
      </c>
      <c r="G1387" s="12" t="n">
        <f aca="false">MEDIAN(F1377:F1397)</f>
        <v>1198.06022743159</v>
      </c>
      <c r="H1387" s="13" t="n">
        <f aca="false">B1387/G1387</f>
        <v>20.8696102478936</v>
      </c>
      <c r="I1387" s="14" t="n">
        <f aca="false">B1387/Summary!$C$8*100</f>
        <v>250.554158190618</v>
      </c>
      <c r="J1387" s="14" t="n">
        <f aca="false">G1387/Summary!$E$8*100</f>
        <v>203.617312798648</v>
      </c>
      <c r="K1387" s="15" t="n">
        <f aca="false">Summary!$D$9</f>
        <v>16.9374488591431</v>
      </c>
      <c r="L1387" s="16" t="str">
        <f aca="false">IF(OR(D1387="",E1387=""),"edge hidden",IF(AND(H1387&gt;=D1387-0.02,H1387&lt;=E1387+0.02),"yes","no"))</f>
        <v>yes</v>
      </c>
    </row>
    <row r="1388" customFormat="false" ht="15" hidden="false" customHeight="false" outlineLevel="0" collapsed="false">
      <c r="A1388" s="9" t="n">
        <v>45817</v>
      </c>
      <c r="B1388" s="10" t="n">
        <v>25103.2</v>
      </c>
      <c r="C1388" s="11" t="n">
        <v>20.8076</v>
      </c>
      <c r="D1388" s="11" t="n">
        <v>20.6443</v>
      </c>
      <c r="E1388" s="11" t="n">
        <v>20.971</v>
      </c>
      <c r="F1388" s="12" t="n">
        <f aca="false">IF(C1388="","",B1388/C1388)</f>
        <v>1206.443799381</v>
      </c>
      <c r="G1388" s="12" t="n">
        <f aca="false">MEDIAN(F1378:F1398)</f>
        <v>1197.37626136622</v>
      </c>
      <c r="H1388" s="13" t="n">
        <f aca="false">B1388/G1388</f>
        <v>20.9651726111197</v>
      </c>
      <c r="I1388" s="14" t="n">
        <f aca="false">B1388/Summary!$C$8*100</f>
        <v>251.557755709433</v>
      </c>
      <c r="J1388" s="14" t="n">
        <f aca="false">G1388/Summary!$E$8*100</f>
        <v>203.501068782625</v>
      </c>
      <c r="K1388" s="15" t="n">
        <f aca="false">Summary!$D$9</f>
        <v>16.9374488591431</v>
      </c>
      <c r="L1388" s="16" t="str">
        <f aca="false">IF(OR(D1388="",E1388=""),"edge hidden",IF(AND(H1388&gt;=D1388-0.02,H1388&lt;=E1388+0.02),"yes","no"))</f>
        <v>yes</v>
      </c>
    </row>
    <row r="1389" customFormat="false" ht="15" hidden="false" customHeight="false" outlineLevel="0" collapsed="false">
      <c r="A1389" s="9" t="n">
        <v>45818</v>
      </c>
      <c r="B1389" s="10" t="n">
        <v>25104.25</v>
      </c>
      <c r="C1389" s="11" t="n">
        <v>20.8037</v>
      </c>
      <c r="D1389" s="11" t="n">
        <v>20.6364</v>
      </c>
      <c r="E1389" s="11" t="n">
        <v>20.971</v>
      </c>
      <c r="F1389" s="12" t="n">
        <f aca="false">IF(C1389="","",B1389/C1389)</f>
        <v>1206.72043915265</v>
      </c>
      <c r="G1389" s="12" t="n">
        <f aca="false">MEDIAN(F1379:F1399)</f>
        <v>1196.78973638908</v>
      </c>
      <c r="H1389" s="13" t="n">
        <f aca="false">B1389/G1389</f>
        <v>20.9763246096544</v>
      </c>
      <c r="I1389" s="14" t="n">
        <f aca="false">B1389/Summary!$C$8*100</f>
        <v>251.568277700394</v>
      </c>
      <c r="J1389" s="14" t="n">
        <f aca="false">G1389/Summary!$E$8*100</f>
        <v>203.401385447012</v>
      </c>
      <c r="K1389" s="15" t="n">
        <f aca="false">Summary!$D$9</f>
        <v>16.9374488591431</v>
      </c>
      <c r="L1389" s="16" t="str">
        <f aca="false">IF(OR(D1389="",E1389=""),"edge hidden",IF(AND(H1389&gt;=D1389-0.02,H1389&lt;=E1389+0.02),"yes","no"))</f>
        <v>yes</v>
      </c>
    </row>
    <row r="1390" customFormat="false" ht="15" hidden="false" customHeight="false" outlineLevel="0" collapsed="false">
      <c r="A1390" s="9" t="n">
        <v>45819</v>
      </c>
      <c r="B1390" s="10" t="n">
        <v>25141.4</v>
      </c>
      <c r="C1390" s="11" t="n">
        <v>20.7998</v>
      </c>
      <c r="D1390" s="11" t="n">
        <v>20.6285</v>
      </c>
      <c r="E1390" s="11" t="n">
        <v>20.971</v>
      </c>
      <c r="F1390" s="12" t="n">
        <f aca="false">IF(C1390="","",B1390/C1390)</f>
        <v>1208.7327762767</v>
      </c>
      <c r="G1390" s="12" t="n">
        <f aca="false">MEDIAN(F1380:F1400)</f>
        <v>1197.37626136622</v>
      </c>
      <c r="H1390" s="13" t="n">
        <f aca="false">B1390/G1390</f>
        <v>20.997075698923</v>
      </c>
      <c r="I1390" s="14" t="n">
        <f aca="false">B1390/Summary!$C$8*100</f>
        <v>251.940555761542</v>
      </c>
      <c r="J1390" s="14" t="n">
        <f aca="false">G1390/Summary!$E$8*100</f>
        <v>203.501068782625</v>
      </c>
      <c r="K1390" s="15" t="n">
        <f aca="false">Summary!$D$9</f>
        <v>16.9374488591431</v>
      </c>
      <c r="L1390" s="16" t="str">
        <f aca="false">IF(OR(D1390="",E1390=""),"edge hidden",IF(AND(H1390&gt;=D1390-0.02,H1390&lt;=E1390+0.02),"yes","no"))</f>
        <v>no</v>
      </c>
    </row>
    <row r="1391" customFormat="false" ht="15" hidden="false" customHeight="false" outlineLevel="0" collapsed="false">
      <c r="A1391" s="9" t="n">
        <v>45820</v>
      </c>
      <c r="B1391" s="10" t="n">
        <v>24888.2</v>
      </c>
      <c r="C1391" s="11" t="n">
        <v>20.7958</v>
      </c>
      <c r="D1391" s="11" t="n">
        <v>20.6285</v>
      </c>
      <c r="E1391" s="11" t="n">
        <v>20.9632</v>
      </c>
      <c r="F1391" s="12" t="n">
        <f aca="false">IF(C1391="","",B1391/C1391)</f>
        <v>1196.78973638908</v>
      </c>
      <c r="G1391" s="12" t="n">
        <f aca="false">MEDIAN(F1381:F1401)</f>
        <v>1198.06022743159</v>
      </c>
      <c r="H1391" s="13" t="n">
        <f aca="false">B1391/G1391</f>
        <v>20.7737469537367</v>
      </c>
      <c r="I1391" s="14" t="n">
        <f aca="false">B1391/Summary!$C$8*100</f>
        <v>249.403252798349</v>
      </c>
      <c r="J1391" s="14" t="n">
        <f aca="false">G1391/Summary!$E$8*100</f>
        <v>203.617312798648</v>
      </c>
      <c r="K1391" s="15" t="n">
        <f aca="false">Summary!$D$9</f>
        <v>16.9374488591431</v>
      </c>
      <c r="L1391" s="16" t="str">
        <f aca="false">IF(OR(D1391="",E1391=""),"edge hidden",IF(AND(H1391&gt;=D1391-0.02,H1391&lt;=E1391+0.02),"yes","no"))</f>
        <v>yes</v>
      </c>
    </row>
    <row r="1392" customFormat="false" ht="15" hidden="false" customHeight="false" outlineLevel="0" collapsed="false">
      <c r="A1392" s="9" t="n">
        <v>45821</v>
      </c>
      <c r="B1392" s="10" t="n">
        <v>24718.6</v>
      </c>
      <c r="C1392" s="11" t="n">
        <v>20.788</v>
      </c>
      <c r="D1392" s="11" t="n">
        <v>20.6285</v>
      </c>
      <c r="E1392" s="11" t="n">
        <v>20.9474</v>
      </c>
      <c r="F1392" s="12" t="n">
        <f aca="false">IF(C1392="","",B1392/C1392)</f>
        <v>1189.08023859919</v>
      </c>
      <c r="G1392" s="12" t="n">
        <f aca="false">MEDIAN(F1382:F1402)</f>
        <v>1198.06022743159</v>
      </c>
      <c r="H1392" s="13" t="n">
        <f aca="false">B1392/G1392</f>
        <v>20.6321847883992</v>
      </c>
      <c r="I1392" s="14" t="n">
        <f aca="false">B1392/Summary!$C$8*100</f>
        <v>247.703700734535</v>
      </c>
      <c r="J1392" s="14" t="n">
        <f aca="false">G1392/Summary!$E$8*100</f>
        <v>203.617312798648</v>
      </c>
      <c r="K1392" s="15" t="n">
        <f aca="false">Summary!$D$9</f>
        <v>16.9374488591431</v>
      </c>
      <c r="L1392" s="16" t="str">
        <f aca="false">IF(OR(D1392="",E1392=""),"edge hidden",IF(AND(H1392&gt;=D1392-0.02,H1392&lt;=E1392+0.02),"yes","no"))</f>
        <v>yes</v>
      </c>
    </row>
    <row r="1393" customFormat="false" ht="15" hidden="false" customHeight="false" outlineLevel="0" collapsed="false">
      <c r="A1393" s="9" t="n">
        <v>45824</v>
      </c>
      <c r="B1393" s="10" t="n">
        <v>24946.5</v>
      </c>
      <c r="C1393" s="11" t="n">
        <v>20.7447</v>
      </c>
      <c r="D1393" s="11" t="n">
        <v>20.6285</v>
      </c>
      <c r="E1393" s="11" t="n">
        <v>20.8608</v>
      </c>
      <c r="F1393" s="12" t="n">
        <f aca="false">IF(C1393="","",B1393/C1393)</f>
        <v>1202.54812072481</v>
      </c>
      <c r="G1393" s="12" t="n">
        <f aca="false">MEDIAN(F1383:F1403)</f>
        <v>1198.06022743159</v>
      </c>
      <c r="H1393" s="13" t="n">
        <f aca="false">B1393/G1393</f>
        <v>20.8224089480715</v>
      </c>
      <c r="I1393" s="14" t="n">
        <f aca="false">B1393/Summary!$C$8*100</f>
        <v>249.987473820284</v>
      </c>
      <c r="J1393" s="14" t="n">
        <f aca="false">G1393/Summary!$E$8*100</f>
        <v>203.617312798648</v>
      </c>
      <c r="K1393" s="15" t="n">
        <f aca="false">Summary!$D$9</f>
        <v>16.9374488591431</v>
      </c>
      <c r="L1393" s="16" t="str">
        <f aca="false">IF(OR(D1393="",E1393=""),"edge hidden",IF(AND(H1393&gt;=D1393-0.02,H1393&lt;=E1393+0.02),"yes","no"))</f>
        <v>yes</v>
      </c>
    </row>
    <row r="1394" customFormat="false" ht="15" hidden="false" customHeight="false" outlineLevel="0" collapsed="false">
      <c r="A1394" s="9" t="n">
        <v>45825</v>
      </c>
      <c r="B1394" s="10" t="n">
        <v>24853.4</v>
      </c>
      <c r="C1394" s="11" t="n">
        <v>20.7447</v>
      </c>
      <c r="D1394" s="11" t="n">
        <v>20.6285</v>
      </c>
      <c r="E1394" s="11" t="n">
        <v>20.8608</v>
      </c>
      <c r="F1394" s="12" t="n">
        <f aca="false">IF(C1394="","",B1394/C1394)</f>
        <v>1198.06022743159</v>
      </c>
      <c r="G1394" s="12" t="n">
        <f aca="false">MEDIAN(F1384:F1404)</f>
        <v>1202.32561462332</v>
      </c>
      <c r="H1394" s="13" t="n">
        <f aca="false">B1394/G1394</f>
        <v>20.6711058117034</v>
      </c>
      <c r="I1394" s="14" t="n">
        <f aca="false">B1394/Summary!$C$8*100</f>
        <v>249.054523955066</v>
      </c>
      <c r="J1394" s="14" t="n">
        <f aca="false">G1394/Summary!$E$8*100</f>
        <v>204.34224019223</v>
      </c>
      <c r="K1394" s="15" t="n">
        <f aca="false">Summary!$D$9</f>
        <v>16.9374488591431</v>
      </c>
      <c r="L1394" s="16" t="str">
        <f aca="false">IF(OR(D1394="",E1394=""),"edge hidden",IF(AND(H1394&gt;=D1394-0.02,H1394&lt;=E1394+0.02),"yes","no"))</f>
        <v>yes</v>
      </c>
    </row>
    <row r="1395" customFormat="false" ht="15" hidden="false" customHeight="false" outlineLevel="0" collapsed="false">
      <c r="A1395" s="9" t="n">
        <v>45826</v>
      </c>
      <c r="B1395" s="10" t="n">
        <v>24812.05</v>
      </c>
      <c r="C1395" s="11" t="n">
        <v>20.7565</v>
      </c>
      <c r="D1395" s="11" t="n">
        <v>20.6364</v>
      </c>
      <c r="E1395" s="11" t="n">
        <v>20.8765</v>
      </c>
      <c r="F1395" s="12" t="n">
        <f aca="false">IF(C1395="","",B1395/C1395)</f>
        <v>1195.38698720883</v>
      </c>
      <c r="G1395" s="12" t="n">
        <f aca="false">MEDIAN(F1385:F1405)</f>
        <v>1202.54812072481</v>
      </c>
      <c r="H1395" s="13" t="n">
        <f aca="false">B1395/G1395</f>
        <v>20.6328957422885</v>
      </c>
      <c r="I1395" s="14" t="n">
        <f aca="false">B1395/Summary!$C$8*100</f>
        <v>248.640157930074</v>
      </c>
      <c r="J1395" s="14" t="n">
        <f aca="false">G1395/Summary!$E$8*100</f>
        <v>204.380056399988</v>
      </c>
      <c r="K1395" s="15" t="n">
        <f aca="false">Summary!$D$9</f>
        <v>16.9374488591431</v>
      </c>
      <c r="L1395" s="16" t="str">
        <f aca="false">IF(OR(D1395="",E1395=""),"edge hidden",IF(AND(H1395&gt;=D1395-0.02,H1395&lt;=E1395+0.02),"yes","no"))</f>
        <v>yes</v>
      </c>
    </row>
    <row r="1396" customFormat="false" ht="15" hidden="false" customHeight="false" outlineLevel="0" collapsed="false">
      <c r="A1396" s="9" t="n">
        <v>45827</v>
      </c>
      <c r="B1396" s="10" t="n">
        <v>24793.25</v>
      </c>
      <c r="C1396" s="11" t="n">
        <v>20.7643</v>
      </c>
      <c r="D1396" s="11" t="n">
        <v>20.6443</v>
      </c>
      <c r="E1396" s="11" t="n">
        <v>20.8844</v>
      </c>
      <c r="F1396" s="12" t="n">
        <f aca="false">IF(C1396="","",B1396/C1396)</f>
        <v>1194.03254624524</v>
      </c>
      <c r="G1396" s="12" t="n">
        <f aca="false">MEDIAN(F1386:F1406)</f>
        <v>1206.41978287093</v>
      </c>
      <c r="H1396" s="13" t="n">
        <f aca="false">B1396/G1396</f>
        <v>20.551097016164</v>
      </c>
      <c r="I1396" s="14" t="n">
        <f aca="false">B1396/Summary!$C$8*100</f>
        <v>248.451764187151</v>
      </c>
      <c r="J1396" s="14" t="n">
        <f aca="false">G1396/Summary!$E$8*100</f>
        <v>205.03806792913</v>
      </c>
      <c r="K1396" s="15" t="n">
        <f aca="false">Summary!$D$9</f>
        <v>16.9374488591431</v>
      </c>
      <c r="L1396" s="16" t="str">
        <f aca="false">IF(OR(D1396="",E1396=""),"edge hidden",IF(AND(H1396&gt;=D1396-0.02,H1396&lt;=E1396+0.02),"yes","no"))</f>
        <v>no</v>
      </c>
    </row>
    <row r="1397" customFormat="false" ht="15" hidden="false" customHeight="false" outlineLevel="0" collapsed="false">
      <c r="A1397" s="9" t="n">
        <v>45828</v>
      </c>
      <c r="B1397" s="10" t="n">
        <v>25112.4</v>
      </c>
      <c r="C1397" s="11" t="n">
        <v>20.7722</v>
      </c>
      <c r="D1397" s="11" t="n">
        <v>20.6521</v>
      </c>
      <c r="E1397" s="11" t="n">
        <v>20.8923</v>
      </c>
      <c r="F1397" s="12" t="n">
        <f aca="false">IF(C1397="","",B1397/C1397)</f>
        <v>1208.94272152203</v>
      </c>
      <c r="G1397" s="12" t="n">
        <f aca="false">MEDIAN(F1387:F1407)</f>
        <v>1206.443799381</v>
      </c>
      <c r="H1397" s="13" t="n">
        <f aca="false">B1397/G1397</f>
        <v>20.8152257178368</v>
      </c>
      <c r="I1397" s="14" t="n">
        <f aca="false">B1397/Summary!$C$8*100</f>
        <v>251.64994839214</v>
      </c>
      <c r="J1397" s="14" t="n">
        <f aca="false">G1397/Summary!$E$8*100</f>
        <v>205.042149674881</v>
      </c>
      <c r="K1397" s="15" t="n">
        <f aca="false">Summary!$D$9</f>
        <v>16.9374488591431</v>
      </c>
      <c r="L1397" s="16" t="str">
        <f aca="false">IF(OR(D1397="",E1397=""),"edge hidden",IF(AND(H1397&gt;=D1397-0.02,H1397&lt;=E1397+0.02),"yes","no"))</f>
        <v>yes</v>
      </c>
    </row>
    <row r="1398" customFormat="false" ht="15" hidden="false" customHeight="false" outlineLevel="0" collapsed="false">
      <c r="A1398" s="9" t="n">
        <v>45831</v>
      </c>
      <c r="B1398" s="10" t="n">
        <v>24971.9</v>
      </c>
      <c r="C1398" s="11" t="n">
        <v>20.9769</v>
      </c>
      <c r="D1398" s="11" t="n">
        <v>20.7545</v>
      </c>
      <c r="E1398" s="11" t="n">
        <v>21.1994</v>
      </c>
      <c r="F1398" s="12" t="n">
        <f aca="false">IF(C1398="","",B1398/C1398)</f>
        <v>1190.44758758444</v>
      </c>
      <c r="G1398" s="12" t="n">
        <f aca="false">MEDIAN(F1388:F1408)</f>
        <v>1206.72043915265</v>
      </c>
      <c r="H1398" s="13" t="n">
        <f aca="false">B1398/G1398</f>
        <v>20.6940225670952</v>
      </c>
      <c r="I1398" s="14" t="n">
        <f aca="false">B1398/Summary!$C$8*100</f>
        <v>250.242005792106</v>
      </c>
      <c r="J1398" s="14" t="n">
        <f aca="false">G1398/Summary!$E$8*100</f>
        <v>205.089166215142</v>
      </c>
      <c r="K1398" s="15" t="n">
        <f aca="false">Summary!$D$9</f>
        <v>16.9374488591431</v>
      </c>
      <c r="L1398" s="16" t="str">
        <f aca="false">IF(OR(D1398="",E1398=""),"edge hidden",IF(AND(H1398&gt;=D1398-0.02,H1398&lt;=E1398+0.02),"yes","no"))</f>
        <v>no</v>
      </c>
    </row>
    <row r="1399" customFormat="false" ht="15" hidden="false" customHeight="false" outlineLevel="0" collapsed="false">
      <c r="A1399" s="9" t="n">
        <v>45832</v>
      </c>
      <c r="B1399" s="10" t="n">
        <v>25044.35</v>
      </c>
      <c r="C1399" s="11" t="n">
        <v>20.9848</v>
      </c>
      <c r="D1399" s="11" t="n">
        <v>20.7624</v>
      </c>
      <c r="E1399" s="11" t="n">
        <v>21.2073</v>
      </c>
      <c r="F1399" s="12" t="n">
        <f aca="false">IF(C1399="","",B1399/C1399)</f>
        <v>1193.45192710915</v>
      </c>
      <c r="G1399" s="12" t="n">
        <f aca="false">MEDIAN(F1389:F1409)</f>
        <v>1208.7327762767</v>
      </c>
      <c r="H1399" s="13" t="n">
        <f aca="false">B1399/G1399</f>
        <v>20.7195093005958</v>
      </c>
      <c r="I1399" s="14" t="n">
        <f aca="false">B1399/Summary!$C$8*100</f>
        <v>250.968023168422</v>
      </c>
      <c r="J1399" s="14" t="n">
        <f aca="false">G1399/Summary!$E$8*100</f>
        <v>205.431174628626</v>
      </c>
      <c r="K1399" s="15" t="n">
        <f aca="false">Summary!$D$9</f>
        <v>16.9374488591431</v>
      </c>
      <c r="L1399" s="16" t="str">
        <f aca="false">IF(OR(D1399="",E1399=""),"edge hidden",IF(AND(H1399&gt;=D1399-0.02,H1399&lt;=E1399+0.02),"yes","no"))</f>
        <v>no</v>
      </c>
    </row>
    <row r="1400" customFormat="false" ht="15" hidden="false" customHeight="false" outlineLevel="0" collapsed="false">
      <c r="A1400" s="9" t="n">
        <v>45833</v>
      </c>
      <c r="B1400" s="10" t="n">
        <v>25244.75</v>
      </c>
      <c r="C1400" s="11" t="n">
        <v>20.9966</v>
      </c>
      <c r="D1400" s="11" t="n">
        <v>20.7702</v>
      </c>
      <c r="E1400" s="11" t="n">
        <v>21.223</v>
      </c>
      <c r="F1400" s="12" t="n">
        <f aca="false">IF(C1400="","",B1400/C1400)</f>
        <v>1202.32561462332</v>
      </c>
      <c r="G1400" s="12" t="n">
        <f aca="false">MEDIAN(F1390:F1410)</f>
        <v>1208.94272152203</v>
      </c>
      <c r="H1400" s="13" t="n">
        <f aca="false">B1400/G1400</f>
        <v>20.8816758234976</v>
      </c>
      <c r="I1400" s="14" t="n">
        <f aca="false">B1400/Summary!$C$8*100</f>
        <v>252.976220300428</v>
      </c>
      <c r="J1400" s="14" t="n">
        <f aca="false">G1400/Summary!$E$8*100</f>
        <v>205.466856045731</v>
      </c>
      <c r="K1400" s="15" t="n">
        <f aca="false">Summary!$D$9</f>
        <v>16.9374488591431</v>
      </c>
      <c r="L1400" s="16" t="str">
        <f aca="false">IF(OR(D1400="",E1400=""),"edge hidden",IF(AND(H1400&gt;=D1400-0.02,H1400&lt;=E1400+0.02),"yes","no"))</f>
        <v>yes</v>
      </c>
    </row>
    <row r="1401" customFormat="false" ht="15" hidden="false" customHeight="false" outlineLevel="0" collapsed="false">
      <c r="A1401" s="9" t="n">
        <v>45834</v>
      </c>
      <c r="B1401" s="10" t="n">
        <v>25549</v>
      </c>
      <c r="C1401" s="11" t="n">
        <v>21.0281</v>
      </c>
      <c r="D1401" s="11" t="n">
        <v>20.8332</v>
      </c>
      <c r="E1401" s="11" t="n">
        <v>21.223</v>
      </c>
      <c r="F1401" s="12" t="n">
        <f aca="false">IF(C1401="","",B1401/C1401)</f>
        <v>1214.99327090893</v>
      </c>
      <c r="G1401" s="12" t="n">
        <f aca="false">MEDIAN(F1391:F1411)</f>
        <v>1210.87751240414</v>
      </c>
      <c r="H1401" s="13" t="n">
        <f aca="false">B1401/G1401</f>
        <v>21.0995742659996</v>
      </c>
      <c r="I1401" s="14" t="n">
        <f aca="false">B1401/Summary!$C$8*100</f>
        <v>256.025092443206</v>
      </c>
      <c r="J1401" s="14" t="n">
        <f aca="false">G1401/Summary!$E$8*100</f>
        <v>205.795685023791</v>
      </c>
      <c r="K1401" s="15" t="n">
        <f aca="false">Summary!$D$9</f>
        <v>16.9374488591431</v>
      </c>
      <c r="L1401" s="16" t="str">
        <f aca="false">IF(OR(D1401="",E1401=""),"edge hidden",IF(AND(H1401&gt;=D1401-0.02,H1401&lt;=E1401+0.02),"yes","no"))</f>
        <v>yes</v>
      </c>
    </row>
    <row r="1402" customFormat="false" ht="15" hidden="false" customHeight="false" outlineLevel="0" collapsed="false">
      <c r="A1402" s="9" t="n">
        <v>45835</v>
      </c>
      <c r="B1402" s="10" t="n">
        <v>25637.8</v>
      </c>
      <c r="C1402" s="11" t="n">
        <v>21.0557</v>
      </c>
      <c r="D1402" s="11" t="n">
        <v>20.8884</v>
      </c>
      <c r="E1402" s="11" t="n">
        <v>21.223</v>
      </c>
      <c r="F1402" s="12" t="n">
        <f aca="false">IF(C1402="","",B1402/C1402)</f>
        <v>1217.61803217181</v>
      </c>
      <c r="G1402" s="12" t="n">
        <f aca="false">MEDIAN(F1392:F1412)</f>
        <v>1211.65881593193</v>
      </c>
      <c r="H1402" s="13" t="n">
        <f aca="false">B1402/G1402</f>
        <v>21.1592567667501</v>
      </c>
      <c r="I1402" s="14" t="n">
        <f aca="false">B1402/Summary!$C$8*100</f>
        <v>256.914952250203</v>
      </c>
      <c r="J1402" s="14" t="n">
        <f aca="false">G1402/Summary!$E$8*100</f>
        <v>205.928472108418</v>
      </c>
      <c r="K1402" s="15" t="n">
        <f aca="false">Summary!$D$9</f>
        <v>16.9374488591431</v>
      </c>
      <c r="L1402" s="16" t="str">
        <f aca="false">IF(OR(D1402="",E1402=""),"edge hidden",IF(AND(H1402&gt;=D1402-0.02,H1402&lt;=E1402+0.02),"yes","no"))</f>
        <v>yes</v>
      </c>
    </row>
    <row r="1403" customFormat="false" ht="15" hidden="false" customHeight="false" outlineLevel="0" collapsed="false">
      <c r="A1403" s="9" t="n">
        <v>45838</v>
      </c>
      <c r="B1403" s="10" t="n">
        <v>25517.05</v>
      </c>
      <c r="C1403" s="11" t="n">
        <v>21.0596</v>
      </c>
      <c r="D1403" s="11" t="n">
        <v>20.912</v>
      </c>
      <c r="E1403" s="11" t="n">
        <v>21.2073</v>
      </c>
      <c r="F1403" s="12" t="n">
        <f aca="false">IF(C1403="","",B1403/C1403)</f>
        <v>1211.65881593193</v>
      </c>
      <c r="G1403" s="12" t="n">
        <f aca="false">MEDIAN(F1393:F1413)</f>
        <v>1212.48815064284</v>
      </c>
      <c r="H1403" s="13" t="n">
        <f aca="false">B1403/G1403</f>
        <v>21.0451953583804</v>
      </c>
      <c r="I1403" s="14" t="n">
        <f aca="false">B1403/Summary!$C$8*100</f>
        <v>255.704923289675</v>
      </c>
      <c r="J1403" s="14" t="n">
        <f aca="false">G1403/Summary!$E$8*100</f>
        <v>206.069422372337</v>
      </c>
      <c r="K1403" s="15" t="n">
        <f aca="false">Summary!$D$9</f>
        <v>16.9374488591431</v>
      </c>
      <c r="L1403" s="16" t="str">
        <f aca="false">IF(OR(D1403="",E1403=""),"edge hidden",IF(AND(H1403&gt;=D1403-0.02,H1403&lt;=E1403+0.02),"yes","no"))</f>
        <v>yes</v>
      </c>
    </row>
    <row r="1404" customFormat="false" ht="15" hidden="false" customHeight="false" outlineLevel="0" collapsed="false">
      <c r="A1404" s="9" t="n">
        <v>45839</v>
      </c>
      <c r="B1404" s="10" t="n">
        <v>25541.8</v>
      </c>
      <c r="C1404" s="11" t="n">
        <v>21.0321</v>
      </c>
      <c r="D1404" s="11" t="n">
        <v>20.8805</v>
      </c>
      <c r="E1404" s="11" t="n">
        <v>21.1836</v>
      </c>
      <c r="F1404" s="12" t="n">
        <f aca="false">IF(C1404="","",B1404/C1404)</f>
        <v>1214.41986297136</v>
      </c>
      <c r="G1404" s="12" t="n">
        <f aca="false">MEDIAN(F1394:F1414)</f>
        <v>1212.58443543371</v>
      </c>
      <c r="H1404" s="13" t="n">
        <f aca="false">B1404/G1404</f>
        <v>21.0639352226753</v>
      </c>
      <c r="I1404" s="14" t="n">
        <f aca="false">B1404/Summary!$C$8*100</f>
        <v>255.952941648044</v>
      </c>
      <c r="J1404" s="14" t="n">
        <f aca="false">G1404/Summary!$E$8*100</f>
        <v>206.08578653328</v>
      </c>
      <c r="K1404" s="15" t="n">
        <f aca="false">Summary!$D$9</f>
        <v>16.9374488591431</v>
      </c>
      <c r="L1404" s="16" t="str">
        <f aca="false">IF(OR(D1404="",E1404=""),"edge hidden",IF(AND(H1404&gt;=D1404-0.02,H1404&lt;=E1404+0.02),"yes","no"))</f>
        <v>yes</v>
      </c>
    </row>
    <row r="1405" customFormat="false" ht="15" hidden="false" customHeight="false" outlineLevel="0" collapsed="false">
      <c r="A1405" s="9" t="n">
        <v>45840</v>
      </c>
      <c r="B1405" s="10" t="n">
        <v>25453.4</v>
      </c>
      <c r="C1405" s="11" t="n">
        <v>20.9927</v>
      </c>
      <c r="D1405" s="11" t="n">
        <v>20.8726</v>
      </c>
      <c r="E1405" s="11" t="n">
        <v>21.1128</v>
      </c>
      <c r="F1405" s="12" t="n">
        <f aca="false">IF(C1405="","",B1405/C1405)</f>
        <v>1212.48815064284</v>
      </c>
      <c r="G1405" s="12" t="n">
        <f aca="false">MEDIAN(F1395:F1415)</f>
        <v>1214.41986297136</v>
      </c>
      <c r="H1405" s="13" t="n">
        <f aca="false">B1405/G1405</f>
        <v>20.9593080417198</v>
      </c>
      <c r="I1405" s="14" t="n">
        <f aca="false">B1405/Summary!$C$8*100</f>
        <v>255.067090218557</v>
      </c>
      <c r="J1405" s="14" t="n">
        <f aca="false">G1405/Summary!$E$8*100</f>
        <v>206.397728132288</v>
      </c>
      <c r="K1405" s="15" t="n">
        <f aca="false">Summary!$D$9</f>
        <v>16.9374488591431</v>
      </c>
      <c r="L1405" s="16" t="str">
        <f aca="false">IF(OR(D1405="",E1405=""),"edge hidden",IF(AND(H1405&gt;=D1405-0.02,H1405&lt;=E1405+0.02),"yes","no"))</f>
        <v>yes</v>
      </c>
    </row>
    <row r="1406" customFormat="false" ht="15" hidden="false" customHeight="false" outlineLevel="0" collapsed="false">
      <c r="A1406" s="9" t="n">
        <v>45841</v>
      </c>
      <c r="B1406" s="10" t="n">
        <v>25405.3</v>
      </c>
      <c r="C1406" s="11" t="n">
        <v>20.9809</v>
      </c>
      <c r="D1406" s="11" t="n">
        <v>20.8647</v>
      </c>
      <c r="E1406" s="11" t="n">
        <v>21.097</v>
      </c>
      <c r="F1406" s="12" t="n">
        <f aca="false">IF(C1406="","",B1406/C1406)</f>
        <v>1210.87751240414</v>
      </c>
      <c r="G1406" s="12" t="n">
        <f aca="false">MEDIAN(F1396:F1416)</f>
        <v>1214.99327090893</v>
      </c>
      <c r="H1406" s="13" t="n">
        <f aca="false">B1406/G1406</f>
        <v>20.909827740029</v>
      </c>
      <c r="I1406" s="14" t="n">
        <f aca="false">B1406/Summary!$C$8*100</f>
        <v>254.5850828231</v>
      </c>
      <c r="J1406" s="14" t="n">
        <f aca="false">G1406/Summary!$E$8*100</f>
        <v>206.495182150634</v>
      </c>
      <c r="K1406" s="15" t="n">
        <f aca="false">Summary!$D$9</f>
        <v>16.9374488591431</v>
      </c>
      <c r="L1406" s="16" t="str">
        <f aca="false">IF(OR(D1406="",E1406=""),"edge hidden",IF(AND(H1406&gt;=D1406-0.02,H1406&lt;=E1406+0.02),"yes","no"))</f>
        <v>yes</v>
      </c>
    </row>
    <row r="1407" customFormat="false" ht="15" hidden="false" customHeight="false" outlineLevel="0" collapsed="false">
      <c r="A1407" s="9" t="n">
        <v>45842</v>
      </c>
      <c r="B1407" s="10" t="n">
        <v>25461</v>
      </c>
      <c r="C1407" s="11" t="n">
        <v>20.91</v>
      </c>
      <c r="D1407" s="11" t="n">
        <v>20.8569</v>
      </c>
      <c r="E1407" s="11" t="n">
        <v>20.9632</v>
      </c>
      <c r="F1407" s="12" t="n">
        <f aca="false">IF(C1407="","",B1407/C1407)</f>
        <v>1217.64705882353</v>
      </c>
      <c r="G1407" s="12" t="n">
        <f aca="false">MEDIAN(F1397:F1417)</f>
        <v>1214.99327090893</v>
      </c>
      <c r="H1407" s="13" t="n">
        <f aca="false">B1407/G1407</f>
        <v>20.9556716153274</v>
      </c>
      <c r="I1407" s="14" t="n">
        <f aca="false">B1407/Summary!$C$8*100</f>
        <v>255.143249391228</v>
      </c>
      <c r="J1407" s="14" t="n">
        <f aca="false">G1407/Summary!$E$8*100</f>
        <v>206.495182150634</v>
      </c>
      <c r="K1407" s="15" t="n">
        <f aca="false">Summary!$D$9</f>
        <v>16.9374488591431</v>
      </c>
      <c r="L1407" s="16" t="str">
        <f aca="false">IF(OR(D1407="",E1407=""),"edge hidden",IF(AND(H1407&gt;=D1407-0.02,H1407&lt;=E1407+0.02),"yes","no"))</f>
        <v>yes</v>
      </c>
    </row>
    <row r="1408" customFormat="false" ht="15" hidden="false" customHeight="false" outlineLevel="0" collapsed="false">
      <c r="A1408" s="9" t="n">
        <v>45845</v>
      </c>
      <c r="B1408" s="10" t="n">
        <v>25461.3</v>
      </c>
      <c r="C1408" s="11" t="n">
        <v>20.8037</v>
      </c>
      <c r="D1408" s="11" t="n">
        <v>20.6679</v>
      </c>
      <c r="E1408" s="11" t="n">
        <v>20.9395</v>
      </c>
      <c r="F1408" s="12" t="n">
        <f aca="false">IF(C1408="","",B1408/C1408)</f>
        <v>1223.88325153699</v>
      </c>
      <c r="G1408" s="12" t="n">
        <f aca="false">MEDIAN(F1398:F1418)</f>
        <v>1214.99327090893</v>
      </c>
      <c r="H1408" s="13" t="n">
        <f aca="false">B1408/G1408</f>
        <v>20.9559185302752</v>
      </c>
      <c r="I1408" s="14" t="n">
        <f aca="false">B1408/Summary!$C$8*100</f>
        <v>255.146255674359</v>
      </c>
      <c r="J1408" s="14" t="n">
        <f aca="false">G1408/Summary!$E$8*100</f>
        <v>206.495182150634</v>
      </c>
      <c r="K1408" s="15" t="n">
        <f aca="false">Summary!$D$9</f>
        <v>16.9374488591431</v>
      </c>
      <c r="L1408" s="16" t="str">
        <f aca="false">IF(OR(D1408="",E1408=""),"edge hidden",IF(AND(H1408&gt;=D1408-0.02,H1408&lt;=E1408+0.02),"yes","no"))</f>
        <v>yes</v>
      </c>
    </row>
    <row r="1409" customFormat="false" ht="15" hidden="false" customHeight="false" outlineLevel="0" collapsed="false">
      <c r="A1409" s="9" t="n">
        <v>45846</v>
      </c>
      <c r="B1409" s="10" t="n">
        <v>25522.5</v>
      </c>
      <c r="C1409" s="11" t="n">
        <v>20.7919</v>
      </c>
      <c r="D1409" s="11" t="n">
        <v>20.6521</v>
      </c>
      <c r="E1409" s="11" t="n">
        <v>20.9317</v>
      </c>
      <c r="F1409" s="12" t="n">
        <f aca="false">IF(C1409="","",B1409/C1409)</f>
        <v>1227.5212943502</v>
      </c>
      <c r="G1409" s="12" t="n">
        <f aca="false">MEDIAN(F1399:F1419)</f>
        <v>1214.99327090893</v>
      </c>
      <c r="H1409" s="13" t="n">
        <f aca="false">B1409/G1409</f>
        <v>21.0062891796156</v>
      </c>
      <c r="I1409" s="14" t="n">
        <f aca="false">B1409/Summary!$C$8*100</f>
        <v>255.759537433235</v>
      </c>
      <c r="J1409" s="14" t="n">
        <f aca="false">G1409/Summary!$E$8*100</f>
        <v>206.495182150634</v>
      </c>
      <c r="K1409" s="15" t="n">
        <f aca="false">Summary!$D$9</f>
        <v>16.9374488591431</v>
      </c>
      <c r="L1409" s="16" t="str">
        <f aca="false">IF(OR(D1409="",E1409=""),"edge hidden",IF(AND(H1409&gt;=D1409-0.02,H1409&lt;=E1409+0.02),"yes","no"))</f>
        <v>no</v>
      </c>
    </row>
    <row r="1410" customFormat="false" ht="15" hidden="false" customHeight="false" outlineLevel="0" collapsed="false">
      <c r="A1410" s="9" t="n">
        <v>45847</v>
      </c>
      <c r="B1410" s="10" t="n">
        <v>25476.1</v>
      </c>
      <c r="C1410" s="11" t="n">
        <v>20.788</v>
      </c>
      <c r="D1410" s="11" t="n">
        <v>20.6443</v>
      </c>
      <c r="E1410" s="11" t="n">
        <v>20.9317</v>
      </c>
      <c r="F1410" s="12" t="n">
        <f aca="false">IF(C1410="","",B1410/C1410)</f>
        <v>1225.51953049836</v>
      </c>
      <c r="G1410" s="12" t="n">
        <f aca="false">MEDIAN(F1400:F1420)</f>
        <v>1217.17968253352</v>
      </c>
      <c r="H1410" s="13" t="n">
        <f aca="false">B1410/G1410</f>
        <v>20.9304348121982</v>
      </c>
      <c r="I1410" s="14" t="n">
        <f aca="false">B1410/Summary!$C$8*100</f>
        <v>255.294565642192</v>
      </c>
      <c r="J1410" s="14" t="n">
        <f aca="false">G1410/Summary!$E$8*100</f>
        <v>206.866775539245</v>
      </c>
      <c r="K1410" s="15" t="n">
        <f aca="false">Summary!$D$9</f>
        <v>16.9374488591431</v>
      </c>
      <c r="L1410" s="16" t="str">
        <f aca="false">IF(OR(D1410="",E1410=""),"edge hidden",IF(AND(H1410&gt;=D1410-0.02,H1410&lt;=E1410+0.02),"yes","no"))</f>
        <v>yes</v>
      </c>
    </row>
    <row r="1411" customFormat="false" ht="15" hidden="false" customHeight="false" outlineLevel="0" collapsed="false">
      <c r="A1411" s="9" t="n">
        <v>45848</v>
      </c>
      <c r="B1411" s="10" t="n">
        <v>25355.25</v>
      </c>
      <c r="C1411" s="11" t="n">
        <v>20.7525</v>
      </c>
      <c r="D1411" s="11" t="n">
        <v>20.597</v>
      </c>
      <c r="E1411" s="11" t="n">
        <v>20.908</v>
      </c>
      <c r="F1411" s="12" t="n">
        <f aca="false">IF(C1411="","",B1411/C1411)</f>
        <v>1221.79255511384</v>
      </c>
      <c r="G1411" s="12" t="n">
        <f aca="false">MEDIAN(F1401:F1421)</f>
        <v>1217.17968253352</v>
      </c>
      <c r="H1411" s="13" t="n">
        <f aca="false">B1411/G1411</f>
        <v>20.83114791008</v>
      </c>
      <c r="I1411" s="14" t="n">
        <f aca="false">B1411/Summary!$C$8*100</f>
        <v>254.083534587287</v>
      </c>
      <c r="J1411" s="14" t="n">
        <f aca="false">G1411/Summary!$E$8*100</f>
        <v>206.866775539245</v>
      </c>
      <c r="K1411" s="15" t="n">
        <f aca="false">Summary!$D$9</f>
        <v>16.9374488591431</v>
      </c>
      <c r="L1411" s="16" t="str">
        <f aca="false">IF(OR(D1411="",E1411=""),"edge hidden",IF(AND(H1411&gt;=D1411-0.02,H1411&lt;=E1411+0.02),"yes","no"))</f>
        <v>yes</v>
      </c>
    </row>
    <row r="1412" customFormat="false" ht="15" hidden="false" customHeight="false" outlineLevel="0" collapsed="false">
      <c r="A1412" s="9" t="n">
        <v>45849</v>
      </c>
      <c r="B1412" s="10" t="n">
        <v>25149.85</v>
      </c>
      <c r="C1412" s="11" t="n">
        <v>20.7407</v>
      </c>
      <c r="D1412" s="11" t="n">
        <v>20.5891</v>
      </c>
      <c r="E1412" s="11" t="n">
        <v>20.8923</v>
      </c>
      <c r="F1412" s="12" t="n">
        <f aca="false">IF(C1412="","",B1412/C1412)</f>
        <v>1212.58443543371</v>
      </c>
      <c r="G1412" s="12" t="n">
        <f aca="false">MEDIAN(F1402:F1422)</f>
        <v>1217.17968253352</v>
      </c>
      <c r="H1412" s="13" t="n">
        <f aca="false">B1412/G1412</f>
        <v>20.6623971471914</v>
      </c>
      <c r="I1412" s="14" t="n">
        <f aca="false">B1412/Summary!$C$8*100</f>
        <v>252.025232736419</v>
      </c>
      <c r="J1412" s="14" t="n">
        <f aca="false">G1412/Summary!$E$8*100</f>
        <v>206.866775539245</v>
      </c>
      <c r="K1412" s="15" t="n">
        <f aca="false">Summary!$D$9</f>
        <v>16.9374488591431</v>
      </c>
      <c r="L1412" s="16" t="str">
        <f aca="false">IF(OR(D1412="",E1412=""),"edge hidden",IF(AND(H1412&gt;=D1412-0.02,H1412&lt;=E1412+0.02),"yes","no"))</f>
        <v>yes</v>
      </c>
    </row>
    <row r="1413" customFormat="false" ht="15" hidden="false" customHeight="false" outlineLevel="0" collapsed="false">
      <c r="A1413" s="9" t="n">
        <v>45852</v>
      </c>
      <c r="B1413" s="10" t="n">
        <v>25082.3</v>
      </c>
      <c r="C1413" s="11" t="n">
        <v>20.6069</v>
      </c>
      <c r="D1413" s="11" t="n">
        <v>20.5498</v>
      </c>
      <c r="E1413" s="11" t="n">
        <v>20.6639</v>
      </c>
      <c r="F1413" s="12" t="n">
        <f aca="false">IF(C1413="","",B1413/C1413)</f>
        <v>1217.17968253352</v>
      </c>
      <c r="G1413" s="12" t="n">
        <f aca="false">MEDIAN(F1403:F1423)</f>
        <v>1214.41986297136</v>
      </c>
      <c r="H1413" s="13" t="n">
        <f aca="false">B1413/G1413</f>
        <v>20.6537300358628</v>
      </c>
      <c r="I1413" s="14" t="n">
        <f aca="false">B1413/Summary!$C$8*100</f>
        <v>251.348317984588</v>
      </c>
      <c r="J1413" s="14" t="n">
        <f aca="false">G1413/Summary!$E$8*100</f>
        <v>206.397728132288</v>
      </c>
      <c r="K1413" s="15" t="n">
        <f aca="false">Summary!$D$9</f>
        <v>16.9374488591431</v>
      </c>
      <c r="L1413" s="16" t="str">
        <f aca="false">IF(OR(D1413="",E1413=""),"edge hidden",IF(AND(H1413&gt;=D1413-0.02,H1413&lt;=E1413+0.02),"yes","no"))</f>
        <v>yes</v>
      </c>
    </row>
    <row r="1414" customFormat="false" ht="15" hidden="false" customHeight="false" outlineLevel="0" collapsed="false">
      <c r="A1414" s="9" t="n">
        <v>45853</v>
      </c>
      <c r="B1414" s="10" t="n">
        <v>25195.8</v>
      </c>
      <c r="C1414" s="11" t="n">
        <v>20.5714</v>
      </c>
      <c r="D1414" s="11" t="n">
        <v>20.4868</v>
      </c>
      <c r="E1414" s="11" t="n">
        <v>20.6561</v>
      </c>
      <c r="F1414" s="12" t="n">
        <f aca="false">IF(C1414="","",B1414/C1414)</f>
        <v>1224.79753444102</v>
      </c>
      <c r="G1414" s="12" t="n">
        <f aca="false">MEDIAN(F1404:F1424)</f>
        <v>1216.82795540783</v>
      </c>
      <c r="H1414" s="13" t="n">
        <f aca="false">B1414/G1414</f>
        <v>20.7061317814279</v>
      </c>
      <c r="I1414" s="14" t="n">
        <f aca="false">B1414/Summary!$C$8*100</f>
        <v>252.485695102765</v>
      </c>
      <c r="J1414" s="14" t="n">
        <f aca="false">G1414/Summary!$E$8*100</f>
        <v>206.80699746588</v>
      </c>
      <c r="K1414" s="15" t="n">
        <f aca="false">Summary!$D$9</f>
        <v>16.9374488591431</v>
      </c>
      <c r="L1414" s="16" t="str">
        <f aca="false">IF(OR(D1414="",E1414=""),"edge hidden",IF(AND(H1414&gt;=D1414-0.02,H1414&lt;=E1414+0.02),"yes","no"))</f>
        <v>no</v>
      </c>
    </row>
    <row r="1415" customFormat="false" ht="15" hidden="false" customHeight="false" outlineLevel="0" collapsed="false">
      <c r="A1415" s="9" t="n">
        <v>45854</v>
      </c>
      <c r="B1415" s="10" t="n">
        <v>25212.05</v>
      </c>
      <c r="C1415" s="11" t="n">
        <v>20.5675</v>
      </c>
      <c r="D1415" s="11" t="n">
        <v>20.471</v>
      </c>
      <c r="E1415" s="11" t="n">
        <v>20.6639</v>
      </c>
      <c r="F1415" s="12" t="n">
        <f aca="false">IF(C1415="","",B1415/C1415)</f>
        <v>1225.81986143187</v>
      </c>
      <c r="G1415" s="12" t="n">
        <f aca="false">MEDIAN(F1405:F1425)</f>
        <v>1217.17968253352</v>
      </c>
      <c r="H1415" s="13" t="n">
        <f aca="false">B1415/G1415</f>
        <v>20.7134988874625</v>
      </c>
      <c r="I1415" s="14" t="n">
        <f aca="false">B1415/Summary!$C$8*100</f>
        <v>252.648535439068</v>
      </c>
      <c r="J1415" s="14" t="n">
        <f aca="false">G1415/Summary!$E$8*100</f>
        <v>206.866775539245</v>
      </c>
      <c r="K1415" s="15" t="n">
        <f aca="false">Summary!$D$9</f>
        <v>16.9374488591431</v>
      </c>
      <c r="L1415" s="16" t="str">
        <f aca="false">IF(OR(D1415="",E1415=""),"edge hidden",IF(AND(H1415&gt;=D1415-0.02,H1415&lt;=E1415+0.02),"yes","no"))</f>
        <v>no</v>
      </c>
    </row>
    <row r="1416" customFormat="false" ht="15" hidden="false" customHeight="false" outlineLevel="0" collapsed="false">
      <c r="A1416" s="9" t="n">
        <v>45855</v>
      </c>
      <c r="B1416" s="10" t="n">
        <v>25111.45</v>
      </c>
      <c r="C1416" s="11" t="n">
        <v>20.5675</v>
      </c>
      <c r="D1416" s="11" t="n">
        <v>20.471</v>
      </c>
      <c r="E1416" s="11" t="n">
        <v>20.6639</v>
      </c>
      <c r="F1416" s="12" t="n">
        <f aca="false">IF(C1416="","",B1416/C1416)</f>
        <v>1220.92864956849</v>
      </c>
      <c r="G1416" s="12" t="n">
        <f aca="false">MEDIAN(F1406:F1426)</f>
        <v>1217.17968253352</v>
      </c>
      <c r="H1416" s="13" t="n">
        <f aca="false">B1416/G1416</f>
        <v>20.6308488059309</v>
      </c>
      <c r="I1416" s="14" t="n">
        <f aca="false">B1416/Summary!$C$8*100</f>
        <v>251.640428495556</v>
      </c>
      <c r="J1416" s="14" t="n">
        <f aca="false">G1416/Summary!$E$8*100</f>
        <v>206.866775539245</v>
      </c>
      <c r="K1416" s="15" t="n">
        <f aca="false">Summary!$D$9</f>
        <v>16.9374488591431</v>
      </c>
      <c r="L1416" s="16" t="str">
        <f aca="false">IF(OR(D1416="",E1416=""),"edge hidden",IF(AND(H1416&gt;=D1416-0.02,H1416&lt;=E1416+0.02),"yes","no"))</f>
        <v>yes</v>
      </c>
    </row>
    <row r="1417" customFormat="false" ht="15" hidden="false" customHeight="false" outlineLevel="0" collapsed="false">
      <c r="A1417" s="9" t="n">
        <v>45856</v>
      </c>
      <c r="B1417" s="10" t="n">
        <v>24968.4</v>
      </c>
      <c r="C1417" s="11" t="n">
        <v>20.5793</v>
      </c>
      <c r="D1417" s="11" t="n">
        <v>20.471</v>
      </c>
      <c r="E1417" s="11" t="n">
        <v>20.6876</v>
      </c>
      <c r="F1417" s="12" t="n">
        <f aca="false">IF(C1417="","",B1417/C1417)</f>
        <v>1213.27741954294</v>
      </c>
      <c r="G1417" s="12" t="n">
        <f aca="false">MEDIAN(F1407:F1427)</f>
        <v>1217.17968253352</v>
      </c>
      <c r="H1417" s="13" t="n">
        <f aca="false">B1417/G1417</f>
        <v>20.5133230190214</v>
      </c>
      <c r="I1417" s="14" t="n">
        <f aca="false">B1417/Summary!$C$8*100</f>
        <v>250.206932488902</v>
      </c>
      <c r="J1417" s="14" t="n">
        <f aca="false">G1417/Summary!$E$8*100</f>
        <v>206.866775539245</v>
      </c>
      <c r="K1417" s="15" t="n">
        <f aca="false">Summary!$D$9</f>
        <v>16.9374488591431</v>
      </c>
      <c r="L1417" s="16" t="str">
        <f aca="false">IF(OR(D1417="",E1417=""),"edge hidden",IF(AND(H1417&gt;=D1417-0.02,H1417&lt;=E1417+0.02),"yes","no"))</f>
        <v>yes</v>
      </c>
    </row>
    <row r="1418" customFormat="false" ht="15" hidden="false" customHeight="false" outlineLevel="0" collapsed="false">
      <c r="A1418" s="9" t="n">
        <v>45859</v>
      </c>
      <c r="B1418" s="10" t="n">
        <v>25090.7</v>
      </c>
      <c r="C1418" s="11" t="n">
        <v>20.6817</v>
      </c>
      <c r="D1418" s="11" t="n">
        <v>20.4868</v>
      </c>
      <c r="E1418" s="11" t="n">
        <v>20.8765</v>
      </c>
      <c r="F1418" s="12" t="n">
        <f aca="false">IF(C1418="","",B1418/C1418)</f>
        <v>1213.18363577462</v>
      </c>
      <c r="G1418" s="12" t="n">
        <f aca="false">MEDIAN(F1408:F1428)</f>
        <v>1217.17968253352</v>
      </c>
      <c r="H1418" s="13" t="n">
        <f aca="false">B1418/G1418</f>
        <v>20.6138011996508</v>
      </c>
      <c r="I1418" s="14" t="n">
        <f aca="false">B1418/Summary!$C$8*100</f>
        <v>251.432493912277</v>
      </c>
      <c r="J1418" s="14" t="n">
        <f aca="false">G1418/Summary!$E$8*100</f>
        <v>206.866775539245</v>
      </c>
      <c r="K1418" s="15" t="n">
        <f aca="false">Summary!$D$9</f>
        <v>16.9374488591431</v>
      </c>
      <c r="L1418" s="16" t="str">
        <f aca="false">IF(OR(D1418="",E1418=""),"edge hidden",IF(AND(H1418&gt;=D1418-0.02,H1418&lt;=E1418+0.02),"yes","no"))</f>
        <v>yes</v>
      </c>
    </row>
    <row r="1419" customFormat="false" ht="15" hidden="false" customHeight="false" outlineLevel="0" collapsed="false">
      <c r="A1419" s="9" t="n">
        <v>45860</v>
      </c>
      <c r="B1419" s="10" t="n">
        <v>25060.9</v>
      </c>
      <c r="C1419" s="11" t="n">
        <v>20.6935</v>
      </c>
      <c r="D1419" s="11" t="n">
        <v>20.5104</v>
      </c>
      <c r="E1419" s="11" t="n">
        <v>20.8765</v>
      </c>
      <c r="F1419" s="12" t="n">
        <f aca="false">IF(C1419="","",B1419/C1419)</f>
        <v>1211.0517795443</v>
      </c>
      <c r="G1419" s="12" t="n">
        <f aca="false">MEDIAN(F1409:F1429)</f>
        <v>1217.17968253352</v>
      </c>
      <c r="H1419" s="13" t="n">
        <f aca="false">B1419/G1419</f>
        <v>20.5893183723183</v>
      </c>
      <c r="I1419" s="14" t="n">
        <f aca="false">B1419/Summary!$C$8*100</f>
        <v>251.133869787857</v>
      </c>
      <c r="J1419" s="14" t="n">
        <f aca="false">G1419/Summary!$E$8*100</f>
        <v>206.866775539245</v>
      </c>
      <c r="K1419" s="15" t="n">
        <f aca="false">Summary!$D$9</f>
        <v>16.9374488591431</v>
      </c>
      <c r="L1419" s="16" t="str">
        <f aca="false">IF(OR(D1419="",E1419=""),"edge hidden",IF(AND(H1419&gt;=D1419-0.02,H1419&lt;=E1419+0.02),"yes","no"))</f>
        <v>yes</v>
      </c>
    </row>
    <row r="1420" customFormat="false" ht="15" hidden="false" customHeight="false" outlineLevel="0" collapsed="false">
      <c r="A1420" s="9" t="n">
        <v>45861</v>
      </c>
      <c r="B1420" s="10" t="n">
        <v>25219.9</v>
      </c>
      <c r="C1420" s="11" t="n">
        <v>20.6895</v>
      </c>
      <c r="D1420" s="11" t="n">
        <v>20.5025</v>
      </c>
      <c r="E1420" s="11" t="n">
        <v>20.8765</v>
      </c>
      <c r="F1420" s="12" t="n">
        <f aca="false">IF(C1420="","",B1420/C1420)</f>
        <v>1218.97097561565</v>
      </c>
      <c r="G1420" s="12" t="n">
        <f aca="false">MEDIAN(F1410:F1430)</f>
        <v>1216.82795540783</v>
      </c>
      <c r="H1420" s="13" t="n">
        <f aca="false">B1420/G1420</f>
        <v>20.7259373750559</v>
      </c>
      <c r="I1420" s="14" t="n">
        <f aca="false">B1420/Summary!$C$8*100</f>
        <v>252.727199847682</v>
      </c>
      <c r="J1420" s="14" t="n">
        <f aca="false">G1420/Summary!$E$8*100</f>
        <v>206.80699746588</v>
      </c>
      <c r="K1420" s="15" t="n">
        <f aca="false">Summary!$D$9</f>
        <v>16.9374488591431</v>
      </c>
      <c r="L1420" s="16" t="str">
        <f aca="false">IF(OR(D1420="",E1420=""),"edge hidden",IF(AND(H1420&gt;=D1420-0.02,H1420&lt;=E1420+0.02),"yes","no"))</f>
        <v>yes</v>
      </c>
    </row>
    <row r="1421" customFormat="false" ht="15" hidden="false" customHeight="false" outlineLevel="0" collapsed="false">
      <c r="A1421" s="9" t="n">
        <v>45862</v>
      </c>
      <c r="B1421" s="10" t="n">
        <v>25062.1</v>
      </c>
      <c r="C1421" s="11" t="n">
        <v>20.6817</v>
      </c>
      <c r="D1421" s="11" t="n">
        <v>20.4947</v>
      </c>
      <c r="E1421" s="11" t="n">
        <v>20.8687</v>
      </c>
      <c r="F1421" s="12" t="n">
        <f aca="false">IF(C1421="","",B1421/C1421)</f>
        <v>1211.80077072968</v>
      </c>
      <c r="G1421" s="12" t="n">
        <f aca="false">MEDIAN(F1411:F1431)</f>
        <v>1216.82795540783</v>
      </c>
      <c r="H1421" s="13" t="n">
        <f aca="false">B1421/G1421</f>
        <v>20.59625593628</v>
      </c>
      <c r="I1421" s="14" t="n">
        <f aca="false">B1421/Summary!$C$8*100</f>
        <v>251.145894920384</v>
      </c>
      <c r="J1421" s="14" t="n">
        <f aca="false">G1421/Summary!$E$8*100</f>
        <v>206.80699746588</v>
      </c>
      <c r="K1421" s="15" t="n">
        <f aca="false">Summary!$D$9</f>
        <v>16.9374488591431</v>
      </c>
      <c r="L1421" s="16" t="str">
        <f aca="false">IF(OR(D1421="",E1421=""),"edge hidden",IF(AND(H1421&gt;=D1421-0.02,H1421&lt;=E1421+0.02),"yes","no"))</f>
        <v>yes</v>
      </c>
    </row>
    <row r="1422" customFormat="false" ht="15" hidden="false" customHeight="false" outlineLevel="0" collapsed="false">
      <c r="A1422" s="9" t="n">
        <v>45863</v>
      </c>
      <c r="B1422" s="10" t="n">
        <v>24837</v>
      </c>
      <c r="C1422" s="11" t="n">
        <v>20.6738</v>
      </c>
      <c r="D1422" s="11" t="n">
        <v>20.4868</v>
      </c>
      <c r="E1422" s="11" t="n">
        <v>20.8608</v>
      </c>
      <c r="F1422" s="12" t="n">
        <f aca="false">IF(C1422="","",B1422/C1422)</f>
        <v>1201.37565420968</v>
      </c>
      <c r="G1422" s="12" t="n">
        <f aca="false">MEDIAN(F1412:F1432)</f>
        <v>1216.22544579887</v>
      </c>
      <c r="H1422" s="13" t="n">
        <f aca="false">B1422/G1422</f>
        <v>20.4213783602315</v>
      </c>
      <c r="I1422" s="14" t="n">
        <f aca="false">B1422/Summary!$C$8*100</f>
        <v>248.890180477197</v>
      </c>
      <c r="J1422" s="14" t="n">
        <f aca="false">G1422/Summary!$E$8*100</f>
        <v>206.704597449001</v>
      </c>
      <c r="K1422" s="15" t="n">
        <f aca="false">Summary!$D$9</f>
        <v>16.9374488591431</v>
      </c>
      <c r="L1422" s="16" t="str">
        <f aca="false">IF(OR(D1422="",E1422=""),"edge hidden",IF(AND(H1422&gt;=D1422-0.02,H1422&lt;=E1422+0.02),"yes","no"))</f>
        <v>no</v>
      </c>
    </row>
    <row r="1423" customFormat="false" ht="15" hidden="false" customHeight="false" outlineLevel="0" collapsed="false">
      <c r="A1423" s="9" t="n">
        <v>45866</v>
      </c>
      <c r="B1423" s="10" t="n">
        <v>24680.9</v>
      </c>
      <c r="C1423" s="11" t="n">
        <v>20.4494</v>
      </c>
      <c r="D1423" s="11" t="n">
        <v>20.3057</v>
      </c>
      <c r="E1423" s="11" t="n">
        <v>20.5931</v>
      </c>
      <c r="F1423" s="12" t="n">
        <f aca="false">IF(C1423="","",B1423/C1423)</f>
        <v>1206.92538656391</v>
      </c>
      <c r="G1423" s="12" t="n">
        <f aca="false">MEDIAN(F1413:F1433)</f>
        <v>1216.22544579887</v>
      </c>
      <c r="H1423" s="13" t="n">
        <f aca="false">B1423/G1423</f>
        <v>20.2930304453451</v>
      </c>
      <c r="I1423" s="14" t="n">
        <f aca="false">B1423/Summary!$C$8*100</f>
        <v>247.325911154313</v>
      </c>
      <c r="J1423" s="14" t="n">
        <f aca="false">G1423/Summary!$E$8*100</f>
        <v>206.704597449001</v>
      </c>
      <c r="K1423" s="15" t="n">
        <f aca="false">Summary!$D$9</f>
        <v>16.9374488591431</v>
      </c>
      <c r="L1423" s="16" t="str">
        <f aca="false">IF(OR(D1423="",E1423=""),"edge hidden",IF(AND(H1423&gt;=D1423-0.02,H1423&lt;=E1423+0.02),"yes","no"))</f>
        <v>yes</v>
      </c>
    </row>
    <row r="1424" customFormat="false" ht="15" hidden="false" customHeight="false" outlineLevel="0" collapsed="false">
      <c r="A1424" s="9" t="n">
        <v>45867</v>
      </c>
      <c r="B1424" s="10" t="n">
        <v>24821.1</v>
      </c>
      <c r="C1424" s="11" t="n">
        <v>20.3982</v>
      </c>
      <c r="D1424" s="11" t="n">
        <v>20.2191</v>
      </c>
      <c r="E1424" s="11" t="n">
        <v>20.5773</v>
      </c>
      <c r="F1424" s="12" t="n">
        <f aca="false">IF(C1424="","",B1424/C1424)</f>
        <v>1216.82795540783</v>
      </c>
      <c r="G1424" s="12" t="n">
        <f aca="false">MEDIAN(F1414:F1434)</f>
        <v>1214.94476709964</v>
      </c>
      <c r="H1424" s="13" t="n">
        <f aca="false">B1424/G1424</f>
        <v>20.429817611589</v>
      </c>
      <c r="I1424" s="14" t="n">
        <f aca="false">B1424/Summary!$C$8*100</f>
        <v>248.730847471215</v>
      </c>
      <c r="J1424" s="14" t="n">
        <f aca="false">G1424/Summary!$E$8*100</f>
        <v>206.486938645773</v>
      </c>
      <c r="K1424" s="15" t="n">
        <f aca="false">Summary!$D$9</f>
        <v>16.9374488591431</v>
      </c>
      <c r="L1424" s="16" t="str">
        <f aca="false">IF(OR(D1424="",E1424=""),"edge hidden",IF(AND(H1424&gt;=D1424-0.02,H1424&lt;=E1424+0.02),"yes","no"))</f>
        <v>yes</v>
      </c>
    </row>
    <row r="1425" customFormat="false" ht="15" hidden="false" customHeight="false" outlineLevel="0" collapsed="false">
      <c r="A1425" s="9" t="n">
        <v>45868</v>
      </c>
      <c r="B1425" s="10" t="n">
        <v>24855.05</v>
      </c>
      <c r="C1425" s="11" t="n">
        <v>20.3943</v>
      </c>
      <c r="D1425" s="11" t="n">
        <v>20.2112</v>
      </c>
      <c r="E1425" s="11" t="n">
        <v>20.5773</v>
      </c>
      <c r="F1425" s="12" t="n">
        <f aca="false">IF(C1425="","",B1425/C1425)</f>
        <v>1218.72533011675</v>
      </c>
      <c r="G1425" s="12" t="n">
        <f aca="false">MEDIAN(F1415:F1435)</f>
        <v>1213.92667571905</v>
      </c>
      <c r="H1425" s="13" t="n">
        <f aca="false">B1425/G1425</f>
        <v>20.4749187056768</v>
      </c>
      <c r="I1425" s="14" t="n">
        <f aca="false">B1425/Summary!$C$8*100</f>
        <v>249.071058512291</v>
      </c>
      <c r="J1425" s="14" t="n">
        <f aca="false">G1425/Summary!$E$8*100</f>
        <v>206.313908086581</v>
      </c>
      <c r="K1425" s="15" t="n">
        <f aca="false">Summary!$D$9</f>
        <v>16.9374488591431</v>
      </c>
      <c r="L1425" s="16" t="str">
        <f aca="false">IF(OR(D1425="",E1425=""),"edge hidden",IF(AND(H1425&gt;=D1425-0.02,H1425&lt;=E1425+0.02),"yes","no"))</f>
        <v>yes</v>
      </c>
    </row>
    <row r="1426" customFormat="false" ht="15" hidden="false" customHeight="false" outlineLevel="0" collapsed="false">
      <c r="A1426" s="9" t="n">
        <v>45869</v>
      </c>
      <c r="B1426" s="10" t="n">
        <v>24768.35</v>
      </c>
      <c r="C1426" s="11" t="n">
        <v>20.3864</v>
      </c>
      <c r="D1426" s="11" t="n">
        <v>20.2033</v>
      </c>
      <c r="E1426" s="11" t="n">
        <v>20.5695</v>
      </c>
      <c r="F1426" s="12" t="n">
        <f aca="false">IF(C1426="","",B1426/C1426)</f>
        <v>1214.94476709964</v>
      </c>
      <c r="G1426" s="12" t="n">
        <f aca="false">MEDIAN(F1416:F1436)</f>
        <v>1213.27741954294</v>
      </c>
      <c r="H1426" s="13" t="n">
        <f aca="false">B1426/G1426</f>
        <v>20.4144160280595</v>
      </c>
      <c r="I1426" s="14" t="n">
        <f aca="false">B1426/Summary!$C$8*100</f>
        <v>248.202242687216</v>
      </c>
      <c r="J1426" s="14" t="n">
        <f aca="false">G1426/Summary!$E$8*100</f>
        <v>206.203563218376</v>
      </c>
      <c r="K1426" s="15" t="n">
        <f aca="false">Summary!$D$9</f>
        <v>16.9374488591431</v>
      </c>
      <c r="L1426" s="16" t="str">
        <f aca="false">IF(OR(D1426="",E1426=""),"edge hidden",IF(AND(H1426&gt;=D1426-0.02,H1426&lt;=E1426+0.02),"yes","no"))</f>
        <v>yes</v>
      </c>
    </row>
    <row r="1427" customFormat="false" ht="15" hidden="false" customHeight="false" outlineLevel="0" collapsed="false">
      <c r="A1427" s="9" t="n">
        <v>45870</v>
      </c>
      <c r="B1427" s="10" t="n">
        <v>24565.35</v>
      </c>
      <c r="C1427" s="11" t="n">
        <v>20.3746</v>
      </c>
      <c r="D1427" s="11" t="n">
        <v>20.1954</v>
      </c>
      <c r="E1427" s="11" t="n">
        <v>20.5537</v>
      </c>
      <c r="F1427" s="12" t="n">
        <f aca="false">IF(C1427="","",B1427/C1427)</f>
        <v>1205.68501958321</v>
      </c>
      <c r="G1427" s="12" t="n">
        <f aca="false">MEDIAN(F1417:F1437)</f>
        <v>1213.18363577462</v>
      </c>
      <c r="H1427" s="13" t="n">
        <f aca="false">B1427/G1427</f>
        <v>20.2486658042621</v>
      </c>
      <c r="I1427" s="14" t="n">
        <f aca="false">B1427/Summary!$C$8*100</f>
        <v>246.167991101402</v>
      </c>
      <c r="J1427" s="14" t="n">
        <f aca="false">G1427/Summary!$E$8*100</f>
        <v>206.187624120782</v>
      </c>
      <c r="K1427" s="15" t="n">
        <f aca="false">Summary!$D$9</f>
        <v>16.9374488591431</v>
      </c>
      <c r="L1427" s="16" t="str">
        <f aca="false">IF(OR(D1427="",E1427=""),"edge hidden",IF(AND(H1427&gt;=D1427-0.02,H1427&lt;=E1427+0.02),"yes","no"))</f>
        <v>yes</v>
      </c>
    </row>
    <row r="1428" customFormat="false" ht="15" hidden="false" customHeight="false" outlineLevel="0" collapsed="false">
      <c r="A1428" s="9" t="n">
        <v>45873</v>
      </c>
      <c r="B1428" s="10" t="n">
        <v>24722.75</v>
      </c>
      <c r="C1428" s="11" t="n">
        <v>20.225</v>
      </c>
      <c r="D1428" s="11" t="n">
        <v>20.1482</v>
      </c>
      <c r="E1428" s="11" t="n">
        <v>20.3017</v>
      </c>
      <c r="F1428" s="12" t="n">
        <f aca="false">IF(C1428="","",B1428/C1428)</f>
        <v>1222.38566131026</v>
      </c>
      <c r="G1428" s="12" t="n">
        <f aca="false">MEDIAN(F1418:F1438)</f>
        <v>1211.80077072968</v>
      </c>
      <c r="H1428" s="13" t="n">
        <f aca="false">B1428/G1428</f>
        <v>20.4016622180504</v>
      </c>
      <c r="I1428" s="14" t="n">
        <f aca="false">B1428/Summary!$C$8*100</f>
        <v>247.745287651191</v>
      </c>
      <c r="J1428" s="14" t="n">
        <f aca="false">G1428/Summary!$E$8*100</f>
        <v>205.952598152999</v>
      </c>
      <c r="K1428" s="15" t="n">
        <f aca="false">Summary!$D$9</f>
        <v>16.9374488591431</v>
      </c>
      <c r="L1428" s="16" t="str">
        <f aca="false">IF(OR(D1428="",E1428=""),"edge hidden",IF(AND(H1428&gt;=D1428-0.02,H1428&lt;=E1428+0.02),"yes","no"))</f>
        <v>no</v>
      </c>
    </row>
    <row r="1429" customFormat="false" ht="15" hidden="false" customHeight="false" outlineLevel="0" collapsed="false">
      <c r="A1429" s="9" t="n">
        <v>45874</v>
      </c>
      <c r="B1429" s="10" t="n">
        <v>24649.55</v>
      </c>
      <c r="C1429" s="11" t="n">
        <v>20.2171</v>
      </c>
      <c r="D1429" s="11" t="n">
        <v>20.1403</v>
      </c>
      <c r="E1429" s="11" t="n">
        <v>20.2939</v>
      </c>
      <c r="F1429" s="12" t="n">
        <f aca="false">IF(C1429="","",B1429/C1429)</f>
        <v>1219.2426213453</v>
      </c>
      <c r="G1429" s="12" t="n">
        <f aca="false">MEDIAN(F1419:F1439)</f>
        <v>1211.0517795443</v>
      </c>
      <c r="H1429" s="13" t="n">
        <f aca="false">B1429/G1429</f>
        <v>20.3538365711128</v>
      </c>
      <c r="I1429" s="14" t="n">
        <f aca="false">B1429/Summary!$C$8*100</f>
        <v>247.011754567045</v>
      </c>
      <c r="J1429" s="14" t="n">
        <f aca="false">G1429/Summary!$E$8*100</f>
        <v>205.825302739142</v>
      </c>
      <c r="K1429" s="15" t="n">
        <f aca="false">Summary!$D$9</f>
        <v>16.9374488591431</v>
      </c>
      <c r="L1429" s="16" t="str">
        <f aca="false">IF(OR(D1429="",E1429=""),"edge hidden",IF(AND(H1429&gt;=D1429-0.02,H1429&lt;=E1429+0.02),"yes","no"))</f>
        <v>no</v>
      </c>
    </row>
    <row r="1430" customFormat="false" ht="15" hidden="false" customHeight="false" outlineLevel="0" collapsed="false">
      <c r="A1430" s="9" t="n">
        <v>45875</v>
      </c>
      <c r="B1430" s="10" t="n">
        <v>24574.2</v>
      </c>
      <c r="C1430" s="11" t="n">
        <v>20.2053</v>
      </c>
      <c r="D1430" s="11" t="n">
        <v>20.1246</v>
      </c>
      <c r="E1430" s="11" t="n">
        <v>20.286</v>
      </c>
      <c r="F1430" s="12" t="n">
        <f aca="false">IF(C1430="","",B1430/C1430)</f>
        <v>1216.22544579887</v>
      </c>
      <c r="G1430" s="12" t="n">
        <f aca="false">MEDIAN(F1420:F1440)</f>
        <v>1209.62491802014</v>
      </c>
      <c r="H1430" s="13" t="n">
        <f aca="false">B1430/G1430</f>
        <v>20.3155537174466</v>
      </c>
      <c r="I1430" s="14" t="n">
        <f aca="false">B1430/Summary!$C$8*100</f>
        <v>246.256676453788</v>
      </c>
      <c r="J1430" s="14" t="n">
        <f aca="false">G1430/Summary!$E$8*100</f>
        <v>205.582799313493</v>
      </c>
      <c r="K1430" s="15" t="n">
        <f aca="false">Summary!$D$9</f>
        <v>16.9374488591431</v>
      </c>
      <c r="L1430" s="16" t="str">
        <f aca="false">IF(OR(D1430="",E1430=""),"edge hidden",IF(AND(H1430&gt;=D1430-0.02,H1430&lt;=E1430+0.02),"yes","no"))</f>
        <v>no</v>
      </c>
    </row>
    <row r="1431" customFormat="false" ht="15" hidden="false" customHeight="false" outlineLevel="0" collapsed="false">
      <c r="A1431" s="9" t="n">
        <v>45876</v>
      </c>
      <c r="B1431" s="10" t="n">
        <v>24596.15</v>
      </c>
      <c r="C1431" s="11" t="n">
        <v>20.2053</v>
      </c>
      <c r="D1431" s="11" t="n">
        <v>20.1246</v>
      </c>
      <c r="E1431" s="11" t="n">
        <v>20.286</v>
      </c>
      <c r="F1431" s="12" t="n">
        <f aca="false">IF(C1431="","",B1431/C1431)</f>
        <v>1217.31179443017</v>
      </c>
      <c r="G1431" s="12" t="n">
        <f aca="false">MEDIAN(F1421:F1441)</f>
        <v>1208.80407724374</v>
      </c>
      <c r="H1431" s="13" t="n">
        <f aca="false">B1431/G1431</f>
        <v>20.3475074770455</v>
      </c>
      <c r="I1431" s="14" t="n">
        <f aca="false">B1431/Summary!$C$8*100</f>
        <v>246.476636169594</v>
      </c>
      <c r="J1431" s="14" t="n">
        <f aca="false">G1431/Summary!$E$8*100</f>
        <v>205.443292643211</v>
      </c>
      <c r="K1431" s="15" t="n">
        <f aca="false">Summary!$D$9</f>
        <v>16.9374488591431</v>
      </c>
      <c r="L1431" s="16" t="str">
        <f aca="false">IF(OR(D1431="",E1431=""),"edge hidden",IF(AND(H1431&gt;=D1431-0.02,H1431&lt;=E1431+0.02),"yes","no"))</f>
        <v>no</v>
      </c>
    </row>
    <row r="1432" customFormat="false" ht="15" hidden="false" customHeight="false" outlineLevel="0" collapsed="false">
      <c r="A1432" s="9" t="n">
        <v>45877</v>
      </c>
      <c r="B1432" s="10" t="n">
        <v>24363.3</v>
      </c>
      <c r="C1432" s="11" t="n">
        <v>20.2014</v>
      </c>
      <c r="D1432" s="11" t="n">
        <v>20.1167</v>
      </c>
      <c r="E1432" s="11" t="n">
        <v>20.286</v>
      </c>
      <c r="F1432" s="12" t="n">
        <f aca="false">IF(C1432="","",B1432/C1432)</f>
        <v>1206.02037482551</v>
      </c>
      <c r="G1432" s="12" t="n">
        <f aca="false">MEDIAN(F1422:F1442)</f>
        <v>1208.80407724374</v>
      </c>
      <c r="H1432" s="13" t="n">
        <f aca="false">B1432/G1432</f>
        <v>20.1548790731681</v>
      </c>
      <c r="I1432" s="14" t="n">
        <f aca="false">B1432/Summary!$C$8*100</f>
        <v>244.143259412171</v>
      </c>
      <c r="J1432" s="14" t="n">
        <f aca="false">G1432/Summary!$E$8*100</f>
        <v>205.443292643211</v>
      </c>
      <c r="K1432" s="15" t="n">
        <f aca="false">Summary!$D$9</f>
        <v>16.9374488591431</v>
      </c>
      <c r="L1432" s="16" t="str">
        <f aca="false">IF(OR(D1432="",E1432=""),"edge hidden",IF(AND(H1432&gt;=D1432-0.02,H1432&lt;=E1432+0.02),"yes","no"))</f>
        <v>yes</v>
      </c>
    </row>
    <row r="1433" customFormat="false" ht="15" hidden="false" customHeight="false" outlineLevel="0" collapsed="false">
      <c r="A1433" s="9" t="n">
        <v>45880</v>
      </c>
      <c r="B1433" s="10" t="n">
        <v>24585.05</v>
      </c>
      <c r="C1433" s="11" t="n">
        <v>20.2525</v>
      </c>
      <c r="D1433" s="11" t="n">
        <v>20.1167</v>
      </c>
      <c r="E1433" s="11" t="n">
        <v>20.3884</v>
      </c>
      <c r="F1433" s="12" t="n">
        <f aca="false">IF(C1433="","",B1433/C1433)</f>
        <v>1213.92667571905</v>
      </c>
      <c r="G1433" s="12" t="n">
        <f aca="false">MEDIAN(F1423:F1443)</f>
        <v>1208.91568622655</v>
      </c>
      <c r="H1433" s="13" t="n">
        <f aca="false">B1433/G1433</f>
        <v>20.3364471816381</v>
      </c>
      <c r="I1433" s="14" t="n">
        <f aca="false">B1433/Summary!$C$8*100</f>
        <v>246.36540369372</v>
      </c>
      <c r="J1433" s="14" t="n">
        <f aca="false">G1433/Summary!$E$8*100</f>
        <v>205.462261239817</v>
      </c>
      <c r="K1433" s="15" t="n">
        <f aca="false">Summary!$D$9</f>
        <v>16.9374488591431</v>
      </c>
      <c r="L1433" s="16" t="str">
        <f aca="false">IF(OR(D1433="",E1433=""),"edge hidden",IF(AND(H1433&gt;=D1433-0.02,H1433&lt;=E1433+0.02),"yes","no"))</f>
        <v>yes</v>
      </c>
    </row>
    <row r="1434" customFormat="false" ht="15" hidden="false" customHeight="false" outlineLevel="0" collapsed="false">
      <c r="A1434" s="9" t="n">
        <v>45881</v>
      </c>
      <c r="B1434" s="10" t="n">
        <v>24487.4</v>
      </c>
      <c r="C1434" s="11" t="n">
        <v>20.3352</v>
      </c>
      <c r="D1434" s="11" t="n">
        <v>20.1325</v>
      </c>
      <c r="E1434" s="11" t="n">
        <v>20.538</v>
      </c>
      <c r="F1434" s="12" t="n">
        <f aca="false">IF(C1434="","",B1434/C1434)</f>
        <v>1204.18781226642</v>
      </c>
      <c r="G1434" s="12" t="n">
        <f aca="false">MEDIAN(F1424:F1444)</f>
        <v>1209.06717725261</v>
      </c>
      <c r="H1434" s="13" t="n">
        <f aca="false">B1434/G1434</f>
        <v>20.253134367309</v>
      </c>
      <c r="I1434" s="14" t="n">
        <f aca="false">B1434/Summary!$C$8*100</f>
        <v>245.386858534337</v>
      </c>
      <c r="J1434" s="14" t="n">
        <f aca="false">G1434/Summary!$E$8*100</f>
        <v>205.488008021935</v>
      </c>
      <c r="K1434" s="15" t="n">
        <f aca="false">Summary!$D$9</f>
        <v>16.9374488591431</v>
      </c>
      <c r="L1434" s="16" t="str">
        <f aca="false">IF(OR(D1434="",E1434=""),"edge hidden",IF(AND(H1434&gt;=D1434-0.02,H1434&lt;=E1434+0.02),"yes","no"))</f>
        <v>yes</v>
      </c>
    </row>
    <row r="1435" customFormat="false" ht="15" hidden="false" customHeight="false" outlineLevel="0" collapsed="false">
      <c r="A1435" s="9" t="n">
        <v>45882</v>
      </c>
      <c r="B1435" s="10" t="n">
        <v>24619.35</v>
      </c>
      <c r="C1435" s="11" t="n">
        <v>20.3667</v>
      </c>
      <c r="D1435" s="11" t="n">
        <v>20.1797</v>
      </c>
      <c r="E1435" s="11" t="n">
        <v>20.5537</v>
      </c>
      <c r="F1435" s="12" t="n">
        <f aca="false">IF(C1435="","",B1435/C1435)</f>
        <v>1208.80407724374</v>
      </c>
      <c r="G1435" s="12" t="n">
        <f aca="false">MEDIAN(F1425:F1445)</f>
        <v>1208.91568622655</v>
      </c>
      <c r="H1435" s="13" t="n">
        <f aca="false">B1435/G1435</f>
        <v>20.3648197144713</v>
      </c>
      <c r="I1435" s="14" t="n">
        <f aca="false">B1435/Summary!$C$8*100</f>
        <v>246.709122065116</v>
      </c>
      <c r="J1435" s="14" t="n">
        <f aca="false">G1435/Summary!$E$8*100</f>
        <v>205.462261239817</v>
      </c>
      <c r="K1435" s="15" t="n">
        <f aca="false">Summary!$D$9</f>
        <v>16.9374488591431</v>
      </c>
      <c r="L1435" s="16" t="str">
        <f aca="false">IF(OR(D1435="",E1435=""),"edge hidden",IF(AND(H1435&gt;=D1435-0.02,H1435&lt;=E1435+0.02),"yes","no"))</f>
        <v>yes</v>
      </c>
    </row>
    <row r="1436" customFormat="false" ht="15" hidden="false" customHeight="false" outlineLevel="0" collapsed="false">
      <c r="A1436" s="9" t="n">
        <v>45883</v>
      </c>
      <c r="B1436" s="10" t="n">
        <v>24631.3</v>
      </c>
      <c r="C1436" s="11" t="n">
        <v>20.4848</v>
      </c>
      <c r="D1436" s="11" t="n">
        <v>20.2191</v>
      </c>
      <c r="E1436" s="11" t="n">
        <v>20.7506</v>
      </c>
      <c r="F1436" s="12" t="n">
        <f aca="false">IF(C1436="","",B1436/C1436)</f>
        <v>1202.41837850504</v>
      </c>
      <c r="G1436" s="12" t="n">
        <f aca="false">MEDIAN(F1426:F1446)</f>
        <v>1208.91568622655</v>
      </c>
      <c r="H1436" s="13" t="n">
        <f aca="false">B1436/G1436</f>
        <v>20.3747046056479</v>
      </c>
      <c r="I1436" s="14" t="n">
        <f aca="false">B1436/Summary!$C$8*100</f>
        <v>246.828872343197</v>
      </c>
      <c r="J1436" s="14" t="n">
        <f aca="false">G1436/Summary!$E$8*100</f>
        <v>205.462261239817</v>
      </c>
      <c r="K1436" s="15" t="n">
        <f aca="false">Summary!$D$9</f>
        <v>16.9374488591431</v>
      </c>
      <c r="L1436" s="16" t="str">
        <f aca="false">IF(OR(D1436="",E1436=""),"edge hidden",IF(AND(H1436&gt;=D1436-0.02,H1436&lt;=E1436+0.02),"yes","no"))</f>
        <v>yes</v>
      </c>
    </row>
    <row r="1437" customFormat="false" ht="15" hidden="false" customHeight="false" outlineLevel="0" collapsed="false">
      <c r="A1437" s="9" t="n">
        <v>45887</v>
      </c>
      <c r="B1437" s="10" t="n">
        <v>24876.95</v>
      </c>
      <c r="C1437" s="11" t="n">
        <v>20.7171</v>
      </c>
      <c r="D1437" s="11" t="n">
        <v>20.5498</v>
      </c>
      <c r="E1437" s="11" t="n">
        <v>20.8844</v>
      </c>
      <c r="F1437" s="12" t="n">
        <f aca="false">IF(C1437="","",B1437/C1437)</f>
        <v>1200.79306466639</v>
      </c>
      <c r="G1437" s="12" t="n">
        <f aca="false">MEDIAN(F1427:F1447)</f>
        <v>1208.91568622655</v>
      </c>
      <c r="H1437" s="13" t="n">
        <f aca="false">B1437/G1437</f>
        <v>20.5779032263612</v>
      </c>
      <c r="I1437" s="14" t="n">
        <f aca="false">B1437/Summary!$C$8*100</f>
        <v>249.290517180908</v>
      </c>
      <c r="J1437" s="14" t="n">
        <f aca="false">G1437/Summary!$E$8*100</f>
        <v>205.462261239817</v>
      </c>
      <c r="K1437" s="15" t="n">
        <f aca="false">Summary!$D$9</f>
        <v>16.9374488591431</v>
      </c>
      <c r="L1437" s="16" t="str">
        <f aca="false">IF(OR(D1437="",E1437=""),"edge hidden",IF(AND(H1437&gt;=D1437-0.02,H1437&lt;=E1437+0.02),"yes","no"))</f>
        <v>yes</v>
      </c>
    </row>
    <row r="1438" customFormat="false" ht="15" hidden="false" customHeight="false" outlineLevel="0" collapsed="false">
      <c r="A1438" s="9" t="n">
        <v>45888</v>
      </c>
      <c r="B1438" s="10" t="n">
        <v>24980.65</v>
      </c>
      <c r="C1438" s="11" t="n">
        <v>20.725</v>
      </c>
      <c r="D1438" s="11" t="n">
        <v>20.5576</v>
      </c>
      <c r="E1438" s="11" t="n">
        <v>20.8923</v>
      </c>
      <c r="F1438" s="12" t="n">
        <f aca="false">IF(C1438="","",B1438/C1438)</f>
        <v>1205.33896260555</v>
      </c>
      <c r="G1438" s="12" t="n">
        <f aca="false">MEDIAN(F1428:F1448)</f>
        <v>1209.06717725261</v>
      </c>
      <c r="H1438" s="13" t="n">
        <f aca="false">B1438/G1438</f>
        <v>20.6610935024836</v>
      </c>
      <c r="I1438" s="14" t="n">
        <f aca="false">B1438/Summary!$C$8*100</f>
        <v>250.329689050115</v>
      </c>
      <c r="J1438" s="14" t="n">
        <f aca="false">G1438/Summary!$E$8*100</f>
        <v>205.488008021935</v>
      </c>
      <c r="K1438" s="15" t="n">
        <f aca="false">Summary!$D$9</f>
        <v>16.9374488591431</v>
      </c>
      <c r="L1438" s="16" t="str">
        <f aca="false">IF(OR(D1438="",E1438=""),"edge hidden",IF(AND(H1438&gt;=D1438-0.02,H1438&lt;=E1438+0.02),"yes","no"))</f>
        <v>yes</v>
      </c>
    </row>
    <row r="1439" customFormat="false" ht="15" hidden="false" customHeight="false" outlineLevel="0" collapsed="false">
      <c r="A1439" s="9" t="n">
        <v>45889</v>
      </c>
      <c r="B1439" s="10" t="n">
        <v>25050.55</v>
      </c>
      <c r="C1439" s="11" t="n">
        <v>20.7447</v>
      </c>
      <c r="D1439" s="11" t="n">
        <v>20.597</v>
      </c>
      <c r="E1439" s="11" t="n">
        <v>20.8923</v>
      </c>
      <c r="F1439" s="12" t="n">
        <f aca="false">IF(C1439="","",B1439/C1439)</f>
        <v>1207.56385968464</v>
      </c>
      <c r="G1439" s="12" t="n">
        <f aca="false">MEDIAN(F1429:F1449)</f>
        <v>1209.06717725261</v>
      </c>
      <c r="H1439" s="13" t="n">
        <f aca="false">B1439/G1439</f>
        <v>20.7189066673061</v>
      </c>
      <c r="I1439" s="14" t="n">
        <f aca="false">B1439/Summary!$C$8*100</f>
        <v>251.030153019811</v>
      </c>
      <c r="J1439" s="14" t="n">
        <f aca="false">G1439/Summary!$E$8*100</f>
        <v>205.488008021935</v>
      </c>
      <c r="K1439" s="15" t="n">
        <f aca="false">Summary!$D$9</f>
        <v>16.9374488591431</v>
      </c>
      <c r="L1439" s="16" t="str">
        <f aca="false">IF(OR(D1439="",E1439=""),"edge hidden",IF(AND(H1439&gt;=D1439-0.02,H1439&lt;=E1439+0.02),"yes","no"))</f>
        <v>yes</v>
      </c>
    </row>
    <row r="1440" customFormat="false" ht="15" hidden="false" customHeight="false" outlineLevel="0" collapsed="false">
      <c r="A1440" s="9" t="n">
        <v>45890</v>
      </c>
      <c r="B1440" s="10" t="n">
        <v>25083.75</v>
      </c>
      <c r="C1440" s="11" t="n">
        <v>20.7368</v>
      </c>
      <c r="D1440" s="11" t="n">
        <v>20.5891</v>
      </c>
      <c r="E1440" s="11" t="n">
        <v>20.8844</v>
      </c>
      <c r="F1440" s="12" t="n">
        <f aca="false">IF(C1440="","",B1440/C1440)</f>
        <v>1209.62491802014</v>
      </c>
      <c r="G1440" s="12" t="n">
        <f aca="false">MEDIAN(F1430:F1450)</f>
        <v>1209.06717725261</v>
      </c>
      <c r="H1440" s="13" t="n">
        <f aca="false">B1440/G1440</f>
        <v>20.746365852887</v>
      </c>
      <c r="I1440" s="14" t="n">
        <f aca="false">B1440/Summary!$C$8*100</f>
        <v>251.362848353058</v>
      </c>
      <c r="J1440" s="14" t="n">
        <f aca="false">G1440/Summary!$E$8*100</f>
        <v>205.488008021935</v>
      </c>
      <c r="K1440" s="15" t="n">
        <f aca="false">Summary!$D$9</f>
        <v>16.9374488591431</v>
      </c>
      <c r="L1440" s="16" t="str">
        <f aca="false">IF(OR(D1440="",E1440=""),"edge hidden",IF(AND(H1440&gt;=D1440-0.02,H1440&lt;=E1440+0.02),"yes","no"))</f>
        <v>yes</v>
      </c>
    </row>
    <row r="1441" customFormat="false" ht="15" hidden="false" customHeight="false" outlineLevel="0" collapsed="false">
      <c r="A1441" s="9" t="n">
        <v>45891</v>
      </c>
      <c r="B1441" s="10" t="n">
        <v>24870.1</v>
      </c>
      <c r="C1441" s="11" t="n">
        <v>20.6856</v>
      </c>
      <c r="D1441" s="11" t="n">
        <v>20.4868</v>
      </c>
      <c r="E1441" s="11" t="n">
        <v>20.8844</v>
      </c>
      <c r="F1441" s="12" t="n">
        <f aca="false">IF(C1441="","",B1441/C1441)</f>
        <v>1202.29048226786</v>
      </c>
      <c r="G1441" s="12" t="n">
        <f aca="false">MEDIAN(F1431:F1451)</f>
        <v>1209.06717725261</v>
      </c>
      <c r="H1441" s="13" t="n">
        <f aca="false">B1441/G1441</f>
        <v>20.5696593770025</v>
      </c>
      <c r="I1441" s="14" t="n">
        <f aca="false">B1441/Summary!$C$8*100</f>
        <v>249.221873716067</v>
      </c>
      <c r="J1441" s="14" t="n">
        <f aca="false">G1441/Summary!$E$8*100</f>
        <v>205.488008021935</v>
      </c>
      <c r="K1441" s="15" t="n">
        <f aca="false">Summary!$D$9</f>
        <v>16.9374488591431</v>
      </c>
      <c r="L1441" s="16" t="str">
        <f aca="false">IF(OR(D1441="",E1441=""),"edge hidden",IF(AND(H1441&gt;=D1441-0.02,H1441&lt;=E1441+0.02),"yes","no"))</f>
        <v>yes</v>
      </c>
    </row>
    <row r="1442" customFormat="false" ht="15" hidden="false" customHeight="false" outlineLevel="0" collapsed="false">
      <c r="A1442" s="9" t="n">
        <v>45894</v>
      </c>
      <c r="B1442" s="10" t="n">
        <v>24967.75</v>
      </c>
      <c r="C1442" s="11" t="n">
        <v>20.4533</v>
      </c>
      <c r="D1442" s="11" t="n">
        <v>20.1561</v>
      </c>
      <c r="E1442" s="11" t="n">
        <v>20.7506</v>
      </c>
      <c r="F1442" s="12" t="n">
        <f aca="false">IF(C1442="","",B1442/C1442)</f>
        <v>1220.71988383293</v>
      </c>
      <c r="G1442" s="12" t="n">
        <f aca="false">MEDIAN(F1432:F1452)</f>
        <v>1209.06717725261</v>
      </c>
      <c r="H1442" s="13" t="n">
        <f aca="false">B1442/G1442</f>
        <v>20.6504241201344</v>
      </c>
      <c r="I1442" s="14" t="n">
        <f aca="false">B1442/Summary!$C$8*100</f>
        <v>250.20041887545</v>
      </c>
      <c r="J1442" s="14" t="n">
        <f aca="false">G1442/Summary!$E$8*100</f>
        <v>205.488008021935</v>
      </c>
      <c r="K1442" s="15" t="n">
        <f aca="false">Summary!$D$9</f>
        <v>16.9374488591431</v>
      </c>
      <c r="L1442" s="16" t="str">
        <f aca="false">IF(OR(D1442="",E1442=""),"edge hidden",IF(AND(H1442&gt;=D1442-0.02,H1442&lt;=E1442+0.02),"yes","no"))</f>
        <v>yes</v>
      </c>
    </row>
    <row r="1443" customFormat="false" ht="15" hidden="false" customHeight="false" outlineLevel="0" collapsed="false">
      <c r="A1443" s="9" t="n">
        <v>45895</v>
      </c>
      <c r="B1443" s="10" t="n">
        <v>24712.05</v>
      </c>
      <c r="C1443" s="11" t="n">
        <v>20.4415</v>
      </c>
      <c r="D1443" s="11" t="n">
        <v>20.1403</v>
      </c>
      <c r="E1443" s="11" t="n">
        <v>20.7427</v>
      </c>
      <c r="F1443" s="12" t="n">
        <f aca="false">IF(C1443="","",B1443/C1443)</f>
        <v>1208.91568622655</v>
      </c>
      <c r="G1443" s="12" t="n">
        <f aca="false">MEDIAN(F1433:F1453)</f>
        <v>1209.62491802014</v>
      </c>
      <c r="H1443" s="13" t="n">
        <f aca="false">B1443/G1443</f>
        <v>20.4295146634774</v>
      </c>
      <c r="I1443" s="14" t="n">
        <f aca="false">B1443/Summary!$C$8*100</f>
        <v>247.638063552825</v>
      </c>
      <c r="J1443" s="14" t="n">
        <f aca="false">G1443/Summary!$E$8*100</f>
        <v>205.582799313493</v>
      </c>
      <c r="K1443" s="15" t="n">
        <f aca="false">Summary!$D$9</f>
        <v>16.9374488591431</v>
      </c>
      <c r="L1443" s="16" t="str">
        <f aca="false">IF(OR(D1443="",E1443=""),"edge hidden",IF(AND(H1443&gt;=D1443-0.02,H1443&lt;=E1443+0.02),"yes","no"))</f>
        <v>yes</v>
      </c>
    </row>
    <row r="1444" customFormat="false" ht="15" hidden="false" customHeight="false" outlineLevel="0" collapsed="false">
      <c r="A1444" s="9" t="n">
        <v>45897</v>
      </c>
      <c r="B1444" s="10" t="n">
        <v>24500.9</v>
      </c>
      <c r="C1444" s="11" t="n">
        <v>20.2643</v>
      </c>
      <c r="D1444" s="11" t="n">
        <v>20.1246</v>
      </c>
      <c r="E1444" s="11" t="n">
        <v>20.4041</v>
      </c>
      <c r="F1444" s="12" t="n">
        <f aca="false">IF(C1444="","",B1444/C1444)</f>
        <v>1209.06717725261</v>
      </c>
      <c r="G1444" s="12" t="n">
        <f aca="false">MEDIAN(F1434:F1454)</f>
        <v>1209.62491802014</v>
      </c>
      <c r="H1444" s="13" t="n">
        <f aca="false">B1444/G1444</f>
        <v>20.2549564207904</v>
      </c>
      <c r="I1444" s="14" t="n">
        <f aca="false">B1444/Summary!$C$8*100</f>
        <v>245.522141275265</v>
      </c>
      <c r="J1444" s="14" t="n">
        <f aca="false">G1444/Summary!$E$8*100</f>
        <v>205.582799313493</v>
      </c>
      <c r="K1444" s="15" t="n">
        <f aca="false">Summary!$D$9</f>
        <v>16.9374488591431</v>
      </c>
      <c r="L1444" s="16" t="str">
        <f aca="false">IF(OR(D1444="",E1444=""),"edge hidden",IF(AND(H1444&gt;=D1444-0.02,H1444&lt;=E1444+0.02),"yes","no"))</f>
        <v>yes</v>
      </c>
    </row>
    <row r="1445" customFormat="false" ht="15" hidden="false" customHeight="false" outlineLevel="0" collapsed="false">
      <c r="A1445" s="9" t="n">
        <v>45898</v>
      </c>
      <c r="B1445" s="10" t="n">
        <v>24426.85</v>
      </c>
      <c r="C1445" s="11" t="n">
        <v>20.2368</v>
      </c>
      <c r="D1445" s="11" t="n">
        <v>20.1167</v>
      </c>
      <c r="E1445" s="11" t="n">
        <v>20.3569</v>
      </c>
      <c r="F1445" s="12" t="n">
        <f aca="false">IF(C1445="","",B1445/C1445)</f>
        <v>1207.0510159709</v>
      </c>
      <c r="G1445" s="12" t="n">
        <f aca="false">MEDIAN(F1435:F1455)</f>
        <v>1213.77511024008</v>
      </c>
      <c r="H1445" s="13" t="n">
        <f aca="false">B1445/G1445</f>
        <v>20.1246917933327</v>
      </c>
      <c r="I1445" s="14" t="n">
        <f aca="false">B1445/Summary!$C$8*100</f>
        <v>244.780090388913</v>
      </c>
      <c r="J1445" s="14" t="n">
        <f aca="false">G1445/Summary!$E$8*100</f>
        <v>206.288148650758</v>
      </c>
      <c r="K1445" s="15" t="n">
        <f aca="false">Summary!$D$9</f>
        <v>16.9374488591431</v>
      </c>
      <c r="L1445" s="16" t="str">
        <f aca="false">IF(OR(D1445="",E1445=""),"edge hidden",IF(AND(H1445&gt;=D1445-0.02,H1445&lt;=E1445+0.02),"yes","no"))</f>
        <v>yes</v>
      </c>
    </row>
    <row r="1446" customFormat="false" ht="15" hidden="false" customHeight="false" outlineLevel="0" collapsed="false">
      <c r="A1446" s="9" t="n">
        <v>45901</v>
      </c>
      <c r="B1446" s="10" t="n">
        <v>24625.05</v>
      </c>
      <c r="C1446" s="11" t="n">
        <v>20.2053</v>
      </c>
      <c r="D1446" s="11" t="n">
        <v>20.1246</v>
      </c>
      <c r="E1446" s="11" t="n">
        <v>20.286</v>
      </c>
      <c r="F1446" s="12" t="n">
        <f aca="false">IF(C1446="","",B1446/C1446)</f>
        <v>1218.74211221808</v>
      </c>
      <c r="G1446" s="12" t="n">
        <f aca="false">MEDIAN(F1436:F1456)</f>
        <v>1216.08366845018</v>
      </c>
      <c r="H1446" s="13" t="n">
        <f aca="false">B1446/G1446</f>
        <v>20.2494701958978</v>
      </c>
      <c r="I1446" s="14" t="n">
        <f aca="false">B1446/Summary!$C$8*100</f>
        <v>246.766241444619</v>
      </c>
      <c r="J1446" s="14" t="n">
        <f aca="false">G1446/Summary!$E$8*100</f>
        <v>206.680501562922</v>
      </c>
      <c r="K1446" s="15" t="n">
        <f aca="false">Summary!$D$9</f>
        <v>16.9374488591431</v>
      </c>
      <c r="L1446" s="16" t="str">
        <f aca="false">IF(OR(D1446="",E1446=""),"edge hidden",IF(AND(H1446&gt;=D1446-0.02,H1446&lt;=E1446+0.02),"yes","no"))</f>
        <v>yes</v>
      </c>
    </row>
    <row r="1447" customFormat="false" ht="15" hidden="false" customHeight="false" outlineLevel="0" collapsed="false">
      <c r="A1447" s="9" t="n">
        <v>45902</v>
      </c>
      <c r="B1447" s="10" t="n">
        <v>24579.6</v>
      </c>
      <c r="C1447" s="11" t="n">
        <v>20.2092</v>
      </c>
      <c r="D1447" s="11" t="n">
        <v>20.1325</v>
      </c>
      <c r="E1447" s="11" t="n">
        <v>20.286</v>
      </c>
      <c r="F1447" s="12" t="n">
        <f aca="false">IF(C1447="","",B1447/C1447)</f>
        <v>1216.25794192744</v>
      </c>
      <c r="G1447" s="12" t="n">
        <f aca="false">MEDIAN(F1437:F1457)</f>
        <v>1216.25794192744</v>
      </c>
      <c r="H1447" s="13" t="n">
        <f aca="false">B1447/G1447</f>
        <v>20.2092</v>
      </c>
      <c r="I1447" s="14" t="n">
        <f aca="false">B1447/Summary!$C$8*100</f>
        <v>246.31078955016</v>
      </c>
      <c r="J1447" s="14" t="n">
        <f aca="false">G1447/Summary!$E$8*100</f>
        <v>206.710120355298</v>
      </c>
      <c r="K1447" s="15" t="n">
        <f aca="false">Summary!$D$9</f>
        <v>16.9374488591431</v>
      </c>
      <c r="L1447" s="16" t="str">
        <f aca="false">IF(OR(D1447="",E1447=""),"edge hidden",IF(AND(H1447&gt;=D1447-0.02,H1447&lt;=E1447+0.02),"yes","no"))</f>
        <v>yes</v>
      </c>
    </row>
    <row r="1448" customFormat="false" ht="15" hidden="false" customHeight="false" outlineLevel="0" collapsed="false">
      <c r="A1448" s="9" t="n">
        <v>45903</v>
      </c>
      <c r="B1448" s="10" t="n">
        <v>24715.05</v>
      </c>
      <c r="C1448" s="11" t="n">
        <v>20.2407</v>
      </c>
      <c r="D1448" s="11" t="n">
        <v>20.1876</v>
      </c>
      <c r="E1448" s="11" t="n">
        <v>20.2939</v>
      </c>
      <c r="F1448" s="12" t="n">
        <f aca="false">IF(C1448="","",B1448/C1448)</f>
        <v>1221.05707806548</v>
      </c>
      <c r="G1448" s="12" t="n">
        <f aca="false">MEDIAN(F1438:F1458)</f>
        <v>1217.7477009862</v>
      </c>
      <c r="H1448" s="13" t="n">
        <f aca="false">B1448/G1448</f>
        <v>20.295706557265</v>
      </c>
      <c r="I1448" s="14" t="n">
        <f aca="false">B1448/Summary!$C$8*100</f>
        <v>247.668126384143</v>
      </c>
      <c r="J1448" s="14" t="n">
        <f aca="false">G1448/Summary!$E$8*100</f>
        <v>206.963313583249</v>
      </c>
      <c r="K1448" s="15" t="n">
        <f aca="false">Summary!$D$9</f>
        <v>16.9374488591431</v>
      </c>
      <c r="L1448" s="16" t="str">
        <f aca="false">IF(OR(D1448="",E1448=""),"edge hidden",IF(AND(H1448&gt;=D1448-0.02,H1448&lt;=E1448+0.02),"yes","no"))</f>
        <v>yes</v>
      </c>
    </row>
    <row r="1449" customFormat="false" ht="15" hidden="false" customHeight="false" outlineLevel="0" collapsed="false">
      <c r="A1449" s="9" t="n">
        <v>45904</v>
      </c>
      <c r="B1449" s="10" t="n">
        <v>24734.3</v>
      </c>
      <c r="C1449" s="11" t="n">
        <v>20.2565</v>
      </c>
      <c r="D1449" s="11" t="n">
        <v>20.2112</v>
      </c>
      <c r="E1449" s="11" t="n">
        <v>20.3017</v>
      </c>
      <c r="F1449" s="12" t="n">
        <f aca="false">IF(C1449="","",B1449/C1449)</f>
        <v>1221.05497000963</v>
      </c>
      <c r="G1449" s="12" t="n">
        <f aca="false">MEDIAN(F1439:F1459)</f>
        <v>1218.31235596525</v>
      </c>
      <c r="H1449" s="13" t="n">
        <f aca="false">B1449/G1449</f>
        <v>20.3021005893052</v>
      </c>
      <c r="I1449" s="14" t="n">
        <f aca="false">B1449/Summary!$C$8*100</f>
        <v>247.861029551763</v>
      </c>
      <c r="J1449" s="14" t="n">
        <f aca="false">G1449/Summary!$E$8*100</f>
        <v>207.059279985322</v>
      </c>
      <c r="K1449" s="15" t="n">
        <f aca="false">Summary!$D$9</f>
        <v>16.9374488591431</v>
      </c>
      <c r="L1449" s="16" t="str">
        <f aca="false">IF(OR(D1449="",E1449=""),"edge hidden",IF(AND(H1449&gt;=D1449-0.02,H1449&lt;=E1449+0.02),"yes","no"))</f>
        <v>yes</v>
      </c>
    </row>
    <row r="1450" customFormat="false" ht="15" hidden="false" customHeight="false" outlineLevel="0" collapsed="false">
      <c r="A1450" s="9" t="n">
        <v>45905</v>
      </c>
      <c r="B1450" s="10" t="n">
        <v>24741</v>
      </c>
      <c r="C1450" s="11" t="n">
        <v>20.3076</v>
      </c>
      <c r="D1450" s="11" t="n">
        <v>20.2663</v>
      </c>
      <c r="E1450" s="11" t="n">
        <v>20.349</v>
      </c>
      <c r="F1450" s="12" t="n">
        <f aca="false">IF(C1450="","",B1450/C1450)</f>
        <v>1218.31235596525</v>
      </c>
      <c r="G1450" s="12" t="n">
        <f aca="false">MEDIAN(F1440:F1460)</f>
        <v>1218.74211221808</v>
      </c>
      <c r="H1450" s="13" t="n">
        <f aca="false">B1450/G1450</f>
        <v>20.3004390772811</v>
      </c>
      <c r="I1450" s="14" t="n">
        <f aca="false">B1450/Summary!$C$8*100</f>
        <v>247.928169875039</v>
      </c>
      <c r="J1450" s="14" t="n">
        <f aca="false">G1450/Summary!$E$8*100</f>
        <v>207.132319563262</v>
      </c>
      <c r="K1450" s="15" t="n">
        <f aca="false">Summary!$D$9</f>
        <v>16.9374488591431</v>
      </c>
      <c r="L1450" s="16" t="str">
        <f aca="false">IF(OR(D1450="",E1450=""),"edge hidden",IF(AND(H1450&gt;=D1450-0.02,H1450&lt;=E1450+0.02),"yes","no"))</f>
        <v>yes</v>
      </c>
    </row>
    <row r="1451" customFormat="false" ht="15" hidden="false" customHeight="false" outlineLevel="0" collapsed="false">
      <c r="A1451" s="9" t="n">
        <v>45908</v>
      </c>
      <c r="B1451" s="10" t="n">
        <v>24773.15</v>
      </c>
      <c r="C1451" s="11" t="n">
        <v>20.41</v>
      </c>
      <c r="D1451" s="11" t="n">
        <v>20.2899</v>
      </c>
      <c r="E1451" s="11" t="n">
        <v>20.5301</v>
      </c>
      <c r="F1451" s="12" t="n">
        <f aca="false">IF(C1451="","",B1451/C1451)</f>
        <v>1213.77511024008</v>
      </c>
      <c r="G1451" s="12" t="n">
        <f aca="false">MEDIAN(F1441:F1461)</f>
        <v>1220.71988383293</v>
      </c>
      <c r="H1451" s="13" t="n">
        <f aca="false">B1451/G1451</f>
        <v>20.2938858685705</v>
      </c>
      <c r="I1451" s="14" t="n">
        <f aca="false">B1451/Summary!$C$8*100</f>
        <v>248.250343217324</v>
      </c>
      <c r="J1451" s="14" t="n">
        <f aca="false">G1451/Summary!$E$8*100</f>
        <v>207.468453367159</v>
      </c>
      <c r="K1451" s="15" t="n">
        <f aca="false">Summary!$D$9</f>
        <v>16.9374488591431</v>
      </c>
      <c r="L1451" s="16" t="str">
        <f aca="false">IF(OR(D1451="",E1451=""),"edge hidden",IF(AND(H1451&gt;=D1451-0.02,H1451&lt;=E1451+0.02),"yes","no"))</f>
        <v>yes</v>
      </c>
    </row>
    <row r="1452" customFormat="false" ht="15" hidden="false" customHeight="false" outlineLevel="0" collapsed="false">
      <c r="A1452" s="9" t="n">
        <v>45909</v>
      </c>
      <c r="B1452" s="10" t="n">
        <v>24868.6</v>
      </c>
      <c r="C1452" s="11" t="n">
        <v>20.4218</v>
      </c>
      <c r="D1452" s="11" t="n">
        <v>20.2978</v>
      </c>
      <c r="E1452" s="11" t="n">
        <v>20.5458</v>
      </c>
      <c r="F1452" s="12" t="n">
        <f aca="false">IF(C1452="","",B1452/C1452)</f>
        <v>1217.7477009862</v>
      </c>
      <c r="G1452" s="12" t="n">
        <f aca="false">MEDIAN(F1442:F1462)</f>
        <v>1221.05497000963</v>
      </c>
      <c r="H1452" s="13" t="n">
        <f aca="false">B1452/G1452</f>
        <v>20.3664868583303</v>
      </c>
      <c r="I1452" s="14" t="n">
        <f aca="false">B1452/Summary!$C$8*100</f>
        <v>249.206842300408</v>
      </c>
      <c r="J1452" s="14" t="n">
        <f aca="false">G1452/Summary!$E$8*100</f>
        <v>207.525403214332</v>
      </c>
      <c r="K1452" s="15" t="n">
        <f aca="false">Summary!$D$9</f>
        <v>16.9374488591431</v>
      </c>
      <c r="L1452" s="16" t="str">
        <f aca="false">IF(OR(D1452="",E1452=""),"edge hidden",IF(AND(H1452&gt;=D1452-0.02,H1452&lt;=E1452+0.02),"yes","no"))</f>
        <v>yes</v>
      </c>
    </row>
    <row r="1453" customFormat="false" ht="15" hidden="false" customHeight="false" outlineLevel="0" collapsed="false">
      <c r="A1453" s="9" t="n">
        <v>45910</v>
      </c>
      <c r="B1453" s="10" t="n">
        <v>24973.1</v>
      </c>
      <c r="C1453" s="11" t="n">
        <v>20.4297</v>
      </c>
      <c r="D1453" s="11" t="n">
        <v>20.3057</v>
      </c>
      <c r="E1453" s="11" t="n">
        <v>20.5537</v>
      </c>
      <c r="F1453" s="12" t="n">
        <f aca="false">IF(C1453="","",B1453/C1453)</f>
        <v>1222.39190981757</v>
      </c>
      <c r="G1453" s="12" t="n">
        <f aca="false">MEDIAN(F1443:F1463)</f>
        <v>1221.05707806548</v>
      </c>
      <c r="H1453" s="13" t="n">
        <f aca="false">B1453/G1453</f>
        <v>20.4520332821499</v>
      </c>
      <c r="I1453" s="14" t="n">
        <f aca="false">B1453/Summary!$C$8*100</f>
        <v>250.254030924632</v>
      </c>
      <c r="J1453" s="14" t="n">
        <f aca="false">G1453/Summary!$E$8*100</f>
        <v>207.525761490701</v>
      </c>
      <c r="K1453" s="15" t="n">
        <f aca="false">Summary!$D$9</f>
        <v>16.9374488591431</v>
      </c>
      <c r="L1453" s="16" t="str">
        <f aca="false">IF(OR(D1453="",E1453=""),"edge hidden",IF(AND(H1453&gt;=D1453-0.02,H1453&lt;=E1453+0.02),"yes","no"))</f>
        <v>yes</v>
      </c>
    </row>
    <row r="1454" customFormat="false" ht="15" hidden="false" customHeight="false" outlineLevel="0" collapsed="false">
      <c r="A1454" s="9" t="n">
        <v>45911</v>
      </c>
      <c r="B1454" s="10" t="n">
        <v>25005.5</v>
      </c>
      <c r="C1454" s="11" t="n">
        <v>20.4769</v>
      </c>
      <c r="D1454" s="11" t="n">
        <v>20.3844</v>
      </c>
      <c r="E1454" s="11" t="n">
        <v>20.5695</v>
      </c>
      <c r="F1454" s="12" t="n">
        <f aca="false">IF(C1454="","",B1454/C1454)</f>
        <v>1221.15652271584</v>
      </c>
      <c r="G1454" s="12" t="n">
        <f aca="false">MEDIAN(F1444:F1464)</f>
        <v>1221.15652271584</v>
      </c>
      <c r="H1454" s="13" t="n">
        <f aca="false">B1454/G1454</f>
        <v>20.4769</v>
      </c>
      <c r="I1454" s="14" t="n">
        <f aca="false">B1454/Summary!$C$8*100</f>
        <v>250.578709502861</v>
      </c>
      <c r="J1454" s="14" t="n">
        <f aca="false">G1454/Summary!$E$8*100</f>
        <v>207.542662688166</v>
      </c>
      <c r="K1454" s="15" t="n">
        <f aca="false">Summary!$D$9</f>
        <v>16.9374488591431</v>
      </c>
      <c r="L1454" s="16" t="str">
        <f aca="false">IF(OR(D1454="",E1454=""),"edge hidden",IF(AND(H1454&gt;=D1454-0.02,H1454&lt;=E1454+0.02),"yes","no"))</f>
        <v>yes</v>
      </c>
    </row>
    <row r="1455" customFormat="false" ht="15" hidden="false" customHeight="false" outlineLevel="0" collapsed="false">
      <c r="A1455" s="9" t="n">
        <v>45912</v>
      </c>
      <c r="B1455" s="10" t="n">
        <v>25114</v>
      </c>
      <c r="C1455" s="11" t="n">
        <v>20.5163</v>
      </c>
      <c r="D1455" s="11" t="n">
        <v>20.4395</v>
      </c>
      <c r="E1455" s="11" t="n">
        <v>20.5931</v>
      </c>
      <c r="F1455" s="12" t="n">
        <f aca="false">IF(C1455="","",B1455/C1455)</f>
        <v>1224.0998620609</v>
      </c>
      <c r="G1455" s="12" t="n">
        <f aca="false">MEDIAN(F1445:F1465)</f>
        <v>1221.15652271584</v>
      </c>
      <c r="H1455" s="13" t="n">
        <f aca="false">B1455/G1455</f>
        <v>20.5657501989562</v>
      </c>
      <c r="I1455" s="14" t="n">
        <f aca="false">B1455/Summary!$C$8*100</f>
        <v>251.665981902176</v>
      </c>
      <c r="J1455" s="14" t="n">
        <f aca="false">G1455/Summary!$E$8*100</f>
        <v>207.542662688166</v>
      </c>
      <c r="K1455" s="15" t="n">
        <f aca="false">Summary!$D$9</f>
        <v>16.9374488591431</v>
      </c>
      <c r="L1455" s="16" t="str">
        <f aca="false">IF(OR(D1455="",E1455=""),"edge hidden",IF(AND(H1455&gt;=D1455-0.02,H1455&lt;=E1455+0.02),"yes","no"))</f>
        <v>yes</v>
      </c>
    </row>
    <row r="1456" customFormat="false" ht="15" hidden="false" customHeight="false" outlineLevel="0" collapsed="false">
      <c r="A1456" s="9" t="n">
        <v>45915</v>
      </c>
      <c r="B1456" s="10" t="n">
        <v>25069.2</v>
      </c>
      <c r="C1456" s="11" t="n">
        <v>20.6147</v>
      </c>
      <c r="D1456" s="11" t="n">
        <v>20.5025</v>
      </c>
      <c r="E1456" s="11" t="n">
        <v>20.7269</v>
      </c>
      <c r="F1456" s="12" t="n">
        <f aca="false">IF(C1456="","",B1456/C1456)</f>
        <v>1216.08366845018</v>
      </c>
      <c r="G1456" s="12" t="n">
        <f aca="false">MEDIAN(F1446:F1466)</f>
        <v>1221.15652271584</v>
      </c>
      <c r="H1456" s="13" t="n">
        <f aca="false">B1456/G1456</f>
        <v>20.5290636651937</v>
      </c>
      <c r="I1456" s="14" t="n">
        <f aca="false">B1456/Summary!$C$8*100</f>
        <v>251.217043621168</v>
      </c>
      <c r="J1456" s="14" t="n">
        <f aca="false">G1456/Summary!$E$8*100</f>
        <v>207.542662688166</v>
      </c>
      <c r="K1456" s="15" t="n">
        <f aca="false">Summary!$D$9</f>
        <v>16.9374488591431</v>
      </c>
      <c r="L1456" s="16" t="str">
        <f aca="false">IF(OR(D1456="",E1456=""),"edge hidden",IF(AND(H1456&gt;=D1456-0.02,H1456&lt;=E1456+0.02),"yes","no"))</f>
        <v>yes</v>
      </c>
    </row>
    <row r="1457" customFormat="false" ht="15" hidden="false" customHeight="false" outlineLevel="0" collapsed="false">
      <c r="A1457" s="9" t="n">
        <v>45916</v>
      </c>
      <c r="B1457" s="10" t="n">
        <v>25239.1</v>
      </c>
      <c r="C1457" s="11" t="n">
        <v>20.6305</v>
      </c>
      <c r="D1457" s="11" t="n">
        <v>20.5183</v>
      </c>
      <c r="E1457" s="11" t="n">
        <v>20.7427</v>
      </c>
      <c r="F1457" s="12" t="n">
        <f aca="false">IF(C1457="","",B1457/C1457)</f>
        <v>1223.38770267323</v>
      </c>
      <c r="G1457" s="12" t="n">
        <f aca="false">MEDIAN(F1447:F1467)</f>
        <v>1221.15652271584</v>
      </c>
      <c r="H1457" s="13" t="n">
        <f aca="false">B1457/G1457</f>
        <v>20.6681940689048</v>
      </c>
      <c r="I1457" s="14" t="n">
        <f aca="false">B1457/Summary!$C$8*100</f>
        <v>252.919601968113</v>
      </c>
      <c r="J1457" s="14" t="n">
        <f aca="false">G1457/Summary!$E$8*100</f>
        <v>207.542662688166</v>
      </c>
      <c r="K1457" s="15" t="n">
        <f aca="false">Summary!$D$9</f>
        <v>16.9374488591431</v>
      </c>
      <c r="L1457" s="16" t="str">
        <f aca="false">IF(OR(D1457="",E1457=""),"edge hidden",IF(AND(H1457&gt;=D1457-0.02,H1457&lt;=E1457+0.02),"yes","no"))</f>
        <v>yes</v>
      </c>
    </row>
    <row r="1458" customFormat="false" ht="15" hidden="false" customHeight="false" outlineLevel="0" collapsed="false">
      <c r="A1458" s="9" t="n">
        <v>45917</v>
      </c>
      <c r="B1458" s="10" t="n">
        <v>25330.25</v>
      </c>
      <c r="C1458" s="11" t="n">
        <v>20.6344</v>
      </c>
      <c r="D1458" s="11" t="n">
        <v>20.5183</v>
      </c>
      <c r="E1458" s="11" t="n">
        <v>20.7506</v>
      </c>
      <c r="F1458" s="12" t="n">
        <f aca="false">IF(C1458="","",B1458/C1458)</f>
        <v>1227.57385724809</v>
      </c>
      <c r="G1458" s="12" t="n">
        <f aca="false">MEDIAN(F1448:F1468)</f>
        <v>1222.39190981757</v>
      </c>
      <c r="H1458" s="13" t="n">
        <f aca="false">B1458/G1458</f>
        <v>20.7218730724259</v>
      </c>
      <c r="I1458" s="14" t="n">
        <f aca="false">B1458/Summary!$C$8*100</f>
        <v>253.833010992975</v>
      </c>
      <c r="J1458" s="14" t="n">
        <f aca="false">G1458/Summary!$E$8*100</f>
        <v>207.752623920632</v>
      </c>
      <c r="K1458" s="15" t="n">
        <f aca="false">Summary!$D$9</f>
        <v>16.9374488591431</v>
      </c>
      <c r="L1458" s="16" t="str">
        <f aca="false">IF(OR(D1458="",E1458=""),"edge hidden",IF(AND(H1458&gt;=D1458-0.02,H1458&lt;=E1458+0.02),"yes","no"))</f>
        <v>yes</v>
      </c>
    </row>
    <row r="1459" customFormat="false" ht="15" hidden="false" customHeight="false" outlineLevel="0" collapsed="false">
      <c r="A1459" s="9" t="n">
        <v>45918</v>
      </c>
      <c r="B1459" s="10" t="n">
        <v>25423.6</v>
      </c>
      <c r="C1459" s="11" t="n">
        <v>20.6384</v>
      </c>
      <c r="D1459" s="11" t="n">
        <v>20.5262</v>
      </c>
      <c r="E1459" s="11" t="n">
        <v>20.7506</v>
      </c>
      <c r="F1459" s="12" t="n">
        <f aca="false">IF(C1459="","",B1459/C1459)</f>
        <v>1231.85905884177</v>
      </c>
      <c r="G1459" s="12" t="n">
        <f aca="false">MEDIAN(F1449:F1469)</f>
        <v>1222.39190981757</v>
      </c>
      <c r="H1459" s="13" t="n">
        <f aca="false">B1459/G1459</f>
        <v>20.7982397427632</v>
      </c>
      <c r="I1459" s="14" t="n">
        <f aca="false">B1459/Summary!$C$8*100</f>
        <v>254.768466094137</v>
      </c>
      <c r="J1459" s="14" t="n">
        <f aca="false">G1459/Summary!$E$8*100</f>
        <v>207.752623920632</v>
      </c>
      <c r="K1459" s="15" t="n">
        <f aca="false">Summary!$D$9</f>
        <v>16.9374488591431</v>
      </c>
      <c r="L1459" s="16" t="str">
        <f aca="false">IF(OR(D1459="",E1459=""),"edge hidden",IF(AND(H1459&gt;=D1459-0.02,H1459&lt;=E1459+0.02),"yes","no"))</f>
        <v>no</v>
      </c>
    </row>
    <row r="1460" customFormat="false" ht="15" hidden="false" customHeight="false" outlineLevel="0" collapsed="false">
      <c r="A1460" s="9" t="n">
        <v>45919</v>
      </c>
      <c r="B1460" s="10" t="n">
        <v>25327.05</v>
      </c>
      <c r="C1460" s="11" t="n">
        <v>20.6265</v>
      </c>
      <c r="D1460" s="11" t="n">
        <v>20.5104</v>
      </c>
      <c r="E1460" s="11" t="n">
        <v>20.7427</v>
      </c>
      <c r="F1460" s="12" t="n">
        <f aca="false">IF(C1460="","",B1460/C1460)</f>
        <v>1227.88888080867</v>
      </c>
      <c r="G1460" s="12" t="n">
        <f aca="false">MEDIAN(F1450:F1470)</f>
        <v>1223.38770267323</v>
      </c>
      <c r="H1460" s="13" t="n">
        <f aca="false">B1460/G1460</f>
        <v>20.7023905378956</v>
      </c>
      <c r="I1460" s="14" t="n">
        <f aca="false">B1460/Summary!$C$8*100</f>
        <v>253.800943972903</v>
      </c>
      <c r="J1460" s="14" t="n">
        <f aca="false">G1460/Summary!$E$8*100</f>
        <v>207.921864715652</v>
      </c>
      <c r="K1460" s="15" t="n">
        <f aca="false">Summary!$D$9</f>
        <v>16.9374488591431</v>
      </c>
      <c r="L1460" s="16" t="str">
        <f aca="false">IF(OR(D1460="",E1460=""),"edge hidden",IF(AND(H1460&gt;=D1460-0.02,H1460&lt;=E1460+0.02),"yes","no"))</f>
        <v>yes</v>
      </c>
    </row>
    <row r="1461" customFormat="false" ht="15" hidden="false" customHeight="false" outlineLevel="0" collapsed="false">
      <c r="A1461" s="9" t="n">
        <v>45922</v>
      </c>
      <c r="B1461" s="10" t="n">
        <v>25202.35</v>
      </c>
      <c r="C1461" s="11" t="n">
        <v>20.3864</v>
      </c>
      <c r="D1461" s="11" t="n">
        <v>20.1325</v>
      </c>
      <c r="E1461" s="11" t="n">
        <v>20.6403</v>
      </c>
      <c r="F1461" s="12" t="n">
        <f aca="false">IF(C1461="","",B1461/C1461)</f>
        <v>1236.23346937174</v>
      </c>
      <c r="G1461" s="12" t="n">
        <f aca="false">MEDIAN(F1451:F1471)</f>
        <v>1224.0998620609</v>
      </c>
      <c r="H1461" s="13" t="n">
        <f aca="false">B1461/G1461</f>
        <v>20.588475483993</v>
      </c>
      <c r="I1461" s="14" t="n">
        <f aca="false">B1461/Summary!$C$8*100</f>
        <v>252.551332284475</v>
      </c>
      <c r="J1461" s="14" t="n">
        <f aca="false">G1461/Summary!$E$8*100</f>
        <v>208.042900350992</v>
      </c>
      <c r="K1461" s="15" t="n">
        <f aca="false">Summary!$D$9</f>
        <v>16.9374488591431</v>
      </c>
      <c r="L1461" s="16" t="str">
        <f aca="false">IF(OR(D1461="",E1461=""),"edge hidden",IF(AND(H1461&gt;=D1461-0.02,H1461&lt;=E1461+0.02),"yes","no"))</f>
        <v>yes</v>
      </c>
    </row>
    <row r="1462" customFormat="false" ht="15" hidden="false" customHeight="false" outlineLevel="0" collapsed="false">
      <c r="A1462" s="9" t="n">
        <v>45923</v>
      </c>
      <c r="B1462" s="10" t="n">
        <v>25169.5</v>
      </c>
      <c r="C1462" s="11" t="n">
        <v>20.351</v>
      </c>
      <c r="D1462" s="11" t="n">
        <v>20.0852</v>
      </c>
      <c r="E1462" s="11" t="n">
        <v>20.6167</v>
      </c>
      <c r="F1462" s="12" t="n">
        <f aca="false">IF(C1462="","",B1462/C1462)</f>
        <v>1236.76969190703</v>
      </c>
      <c r="G1462" s="12" t="n">
        <f aca="false">MEDIAN(F1452:F1472)</f>
        <v>1224.0998620609</v>
      </c>
      <c r="H1462" s="13" t="n">
        <f aca="false">B1462/G1462</f>
        <v>20.561639438162</v>
      </c>
      <c r="I1462" s="14" t="n">
        <f aca="false">B1462/Summary!$C$8*100</f>
        <v>252.222144281548</v>
      </c>
      <c r="J1462" s="14" t="n">
        <f aca="false">G1462/Summary!$E$8*100</f>
        <v>208.042900350992</v>
      </c>
      <c r="K1462" s="15" t="n">
        <f aca="false">Summary!$D$9</f>
        <v>16.9374488591431</v>
      </c>
      <c r="L1462" s="16" t="str">
        <f aca="false">IF(OR(D1462="",E1462=""),"edge hidden",IF(AND(H1462&gt;=D1462-0.02,H1462&lt;=E1462+0.02),"yes","no"))</f>
        <v>yes</v>
      </c>
    </row>
    <row r="1463" customFormat="false" ht="15" hidden="false" customHeight="false" outlineLevel="0" collapsed="false">
      <c r="A1463" s="9" t="n">
        <v>45924</v>
      </c>
      <c r="B1463" s="10" t="n">
        <v>25056.9</v>
      </c>
      <c r="C1463" s="11" t="n">
        <v>20.3155</v>
      </c>
      <c r="D1463" s="11" t="n">
        <v>20.0773</v>
      </c>
      <c r="E1463" s="11" t="n">
        <v>20.5537</v>
      </c>
      <c r="F1463" s="12" t="n">
        <f aca="false">IF(C1463="","",B1463/C1463)</f>
        <v>1233.38829957422</v>
      </c>
      <c r="G1463" s="12" t="n">
        <f aca="false">MEDIAN(F1453:F1473)</f>
        <v>1225.61970949895</v>
      </c>
      <c r="H1463" s="13" t="n">
        <f aca="false">B1463/G1463</f>
        <v>20.4442697892346</v>
      </c>
      <c r="I1463" s="14" t="n">
        <f aca="false">B1463/Summary!$C$8*100</f>
        <v>251.093786012767</v>
      </c>
      <c r="J1463" s="14" t="n">
        <f aca="false">G1463/Summary!$E$8*100</f>
        <v>208.301207274229</v>
      </c>
      <c r="K1463" s="15" t="n">
        <f aca="false">Summary!$D$9</f>
        <v>16.9374488591431</v>
      </c>
      <c r="L1463" s="16" t="str">
        <f aca="false">IF(OR(D1463="",E1463=""),"edge hidden",IF(AND(H1463&gt;=D1463-0.02,H1463&lt;=E1463+0.02),"yes","no"))</f>
        <v>yes</v>
      </c>
    </row>
    <row r="1464" customFormat="false" ht="15" hidden="false" customHeight="false" outlineLevel="0" collapsed="false">
      <c r="A1464" s="9" t="n">
        <v>45925</v>
      </c>
      <c r="B1464" s="10" t="n">
        <v>24890.85</v>
      </c>
      <c r="C1464" s="11" t="n">
        <v>20.2643</v>
      </c>
      <c r="D1464" s="11" t="n">
        <v>20.0537</v>
      </c>
      <c r="E1464" s="11" t="n">
        <v>20.475</v>
      </c>
      <c r="F1464" s="12" t="n">
        <f aca="false">IF(C1464="","",B1464/C1464)</f>
        <v>1228.3103783501</v>
      </c>
      <c r="G1464" s="12" t="n">
        <f aca="false">MEDIAN(F1454:F1474)</f>
        <v>1226.17681387319</v>
      </c>
      <c r="H1464" s="13" t="n">
        <f aca="false">B1464/G1464</f>
        <v>20.2995601599869</v>
      </c>
      <c r="I1464" s="14" t="n">
        <f aca="false">B1464/Summary!$C$8*100</f>
        <v>249.429808299346</v>
      </c>
      <c r="J1464" s="14" t="n">
        <f aca="false">G1464/Summary!$E$8*100</f>
        <v>208.395890407041</v>
      </c>
      <c r="K1464" s="15" t="n">
        <f aca="false">Summary!$D$9</f>
        <v>16.9374488591431</v>
      </c>
      <c r="L1464" s="16" t="str">
        <f aca="false">IF(OR(D1464="",E1464=""),"edge hidden",IF(AND(H1464&gt;=D1464-0.02,H1464&lt;=E1464+0.02),"yes","no"))</f>
        <v>yes</v>
      </c>
    </row>
    <row r="1465" customFormat="false" ht="15" hidden="false" customHeight="false" outlineLevel="0" collapsed="false">
      <c r="A1465" s="9" t="n">
        <v>45926</v>
      </c>
      <c r="B1465" s="10" t="n">
        <v>24654.7</v>
      </c>
      <c r="C1465" s="11" t="n">
        <v>20.2486</v>
      </c>
      <c r="D1465" s="11" t="n">
        <v>20.0458</v>
      </c>
      <c r="E1465" s="11" t="n">
        <v>20.4514</v>
      </c>
      <c r="F1465" s="12" t="n">
        <f aca="false">IF(C1465="","",B1465/C1465)</f>
        <v>1217.60022915165</v>
      </c>
      <c r="G1465" s="12" t="n">
        <f aca="false">MEDIAN(F1455:F1475)</f>
        <v>1226.17681387319</v>
      </c>
      <c r="H1465" s="13" t="n">
        <f aca="false">B1465/G1465</f>
        <v>20.1069696646129</v>
      </c>
      <c r="I1465" s="14" t="n">
        <f aca="false">B1465/Summary!$C$8*100</f>
        <v>247.063362427473</v>
      </c>
      <c r="J1465" s="14" t="n">
        <f aca="false">G1465/Summary!$E$8*100</f>
        <v>208.395890407041</v>
      </c>
      <c r="K1465" s="15" t="n">
        <f aca="false">Summary!$D$9</f>
        <v>16.9374488591431</v>
      </c>
      <c r="L1465" s="16" t="str">
        <f aca="false">IF(OR(D1465="",E1465=""),"edge hidden",IF(AND(H1465&gt;=D1465-0.02,H1465&lt;=E1465+0.02),"yes","no"))</f>
        <v>yes</v>
      </c>
    </row>
    <row r="1466" customFormat="false" ht="15" hidden="false" customHeight="false" outlineLevel="0" collapsed="false">
      <c r="A1466" s="9" t="n">
        <v>45929</v>
      </c>
      <c r="B1466" s="10" t="n">
        <v>24634.9</v>
      </c>
      <c r="C1466" s="11" t="n">
        <v>20.1738</v>
      </c>
      <c r="D1466" s="11" t="n">
        <v>20.038</v>
      </c>
      <c r="E1466" s="11" t="n">
        <v>20.3096</v>
      </c>
      <c r="F1466" s="12" t="n">
        <f aca="false">IF(C1466="","",B1466/C1466)</f>
        <v>1221.13335117826</v>
      </c>
      <c r="G1466" s="12" t="n">
        <f aca="false">MEDIAN(F1456:F1476)</f>
        <v>1226.17681387319</v>
      </c>
      <c r="H1466" s="13" t="n">
        <f aca="false">B1466/G1466</f>
        <v>20.0908219118777</v>
      </c>
      <c r="I1466" s="14" t="n">
        <f aca="false">B1466/Summary!$C$8*100</f>
        <v>246.864947740778</v>
      </c>
      <c r="J1466" s="14" t="n">
        <f aca="false">G1466/Summary!$E$8*100</f>
        <v>208.395890407041</v>
      </c>
      <c r="K1466" s="15" t="n">
        <f aca="false">Summary!$D$9</f>
        <v>16.9374488591431</v>
      </c>
      <c r="L1466" s="16" t="str">
        <f aca="false">IF(OR(D1466="",E1466=""),"edge hidden",IF(AND(H1466&gt;=D1466-0.02,H1466&lt;=E1466+0.02),"yes","no"))</f>
        <v>yes</v>
      </c>
    </row>
    <row r="1467" customFormat="false" ht="15" hidden="false" customHeight="false" outlineLevel="0" collapsed="false">
      <c r="A1467" s="9" t="n">
        <v>45930</v>
      </c>
      <c r="B1467" s="10" t="n">
        <v>24611.1</v>
      </c>
      <c r="C1467" s="11" t="n">
        <v>20.1856</v>
      </c>
      <c r="D1467" s="11" t="n">
        <v>20.0458</v>
      </c>
      <c r="E1467" s="11" t="n">
        <v>20.3254</v>
      </c>
      <c r="F1467" s="12" t="n">
        <f aca="false">IF(C1467="","",B1467/C1467)</f>
        <v>1219.24044863665</v>
      </c>
      <c r="G1467" s="12" t="n">
        <f aca="false">MEDIAN(F1457:F1477)</f>
        <v>1226.77947709315</v>
      </c>
      <c r="H1467" s="13" t="n">
        <f aca="false">B1467/G1467</f>
        <v>20.061551778088</v>
      </c>
      <c r="I1467" s="14" t="n">
        <f aca="false">B1467/Summary!$C$8*100</f>
        <v>246.626449278993</v>
      </c>
      <c r="J1467" s="14" t="n">
        <f aca="false">G1467/Summary!$E$8*100</f>
        <v>208.498316531005</v>
      </c>
      <c r="K1467" s="15" t="n">
        <f aca="false">Summary!$D$9</f>
        <v>16.9374488591431</v>
      </c>
      <c r="L1467" s="16" t="str">
        <f aca="false">IF(OR(D1467="",E1467=""),"edge hidden",IF(AND(H1467&gt;=D1467-0.02,H1467&lt;=E1467+0.02),"yes","no"))</f>
        <v>yes</v>
      </c>
    </row>
    <row r="1468" customFormat="false" ht="15" hidden="false" customHeight="false" outlineLevel="0" collapsed="false">
      <c r="A1468" s="9" t="n">
        <v>45931</v>
      </c>
      <c r="B1468" s="10" t="n">
        <v>24836.3</v>
      </c>
      <c r="C1468" s="11" t="n">
        <v>20.2014</v>
      </c>
      <c r="D1468" s="11" t="n">
        <v>20.0616</v>
      </c>
      <c r="E1468" s="11" t="n">
        <v>20.3411</v>
      </c>
      <c r="F1468" s="12" t="n">
        <f aca="false">IF(C1468="","",B1468/C1468)</f>
        <v>1229.43459364202</v>
      </c>
      <c r="G1468" s="12" t="n">
        <f aca="false">MEDIAN(F1458:F1478)</f>
        <v>1227.57385724809</v>
      </c>
      <c r="H1468" s="13" t="n">
        <f aca="false">B1468/G1468</f>
        <v>20.2320209520238</v>
      </c>
      <c r="I1468" s="14" t="n">
        <f aca="false">B1468/Summary!$C$8*100</f>
        <v>248.883165816557</v>
      </c>
      <c r="J1468" s="14" t="n">
        <f aca="false">G1468/Summary!$E$8*100</f>
        <v>208.63332606457</v>
      </c>
      <c r="K1468" s="15" t="n">
        <f aca="false">Summary!$D$9</f>
        <v>16.9374488591431</v>
      </c>
      <c r="L1468" s="16" t="str">
        <f aca="false">IF(OR(D1468="",E1468=""),"edge hidden",IF(AND(H1468&gt;=D1468-0.02,H1468&lt;=E1468+0.02),"yes","no"))</f>
        <v>yes</v>
      </c>
    </row>
    <row r="1469" customFormat="false" ht="15" hidden="false" customHeight="false" outlineLevel="0" collapsed="false">
      <c r="A1469" s="9" t="n">
        <v>45933</v>
      </c>
      <c r="B1469" s="10" t="n">
        <v>24894.25</v>
      </c>
      <c r="C1469" s="11" t="n">
        <v>20.3943</v>
      </c>
      <c r="D1469" s="11" t="n">
        <v>20.2742</v>
      </c>
      <c r="E1469" s="11" t="n">
        <v>20.5143</v>
      </c>
      <c r="F1469" s="12" t="n">
        <f aca="false">IF(C1469="","",B1469/C1469)</f>
        <v>1220.64743580314</v>
      </c>
      <c r="G1469" s="12" t="n">
        <f aca="false">MEDIAN(F1459:F1479)</f>
        <v>1227.87735757056</v>
      </c>
      <c r="H1469" s="13" t="n">
        <f aca="false">B1469/G1469</f>
        <v>20.2742153738017</v>
      </c>
      <c r="I1469" s="14" t="n">
        <f aca="false">B1469/Summary!$C$8*100</f>
        <v>249.463879508172</v>
      </c>
      <c r="J1469" s="14" t="n">
        <f aca="false">G1469/Summary!$E$8*100</f>
        <v>208.684907711869</v>
      </c>
      <c r="K1469" s="15" t="n">
        <f aca="false">Summary!$D$9</f>
        <v>16.9374488591431</v>
      </c>
      <c r="L1469" s="16" t="str">
        <f aca="false">IF(OR(D1469="",E1469=""),"edge hidden",IF(AND(H1469&gt;=D1469-0.02,H1469&lt;=E1469+0.02),"yes","no"))</f>
        <v>yes</v>
      </c>
    </row>
    <row r="1470" customFormat="false" ht="15" hidden="false" customHeight="false" outlineLevel="0" collapsed="false">
      <c r="A1470" s="9" t="n">
        <v>45936</v>
      </c>
      <c r="B1470" s="10" t="n">
        <v>25077.65</v>
      </c>
      <c r="C1470" s="11" t="n">
        <v>20.4612</v>
      </c>
      <c r="D1470" s="11" t="n">
        <v>20.3451</v>
      </c>
      <c r="E1470" s="11" t="n">
        <v>20.5773</v>
      </c>
      <c r="F1470" s="12" t="n">
        <f aca="false">IF(C1470="","",B1470/C1470)</f>
        <v>1225.61970949895</v>
      </c>
      <c r="G1470" s="12" t="n">
        <f aca="false">MEDIAN(F1460:F1480)</f>
        <v>1227.87735757056</v>
      </c>
      <c r="H1470" s="13" t="n">
        <f aca="false">B1470/G1470</f>
        <v>20.4235788251833</v>
      </c>
      <c r="I1470" s="14" t="n">
        <f aca="false">B1470/Summary!$C$8*100</f>
        <v>251.301720596046</v>
      </c>
      <c r="J1470" s="14" t="n">
        <f aca="false">G1470/Summary!$E$8*100</f>
        <v>208.684907711869</v>
      </c>
      <c r="K1470" s="15" t="n">
        <f aca="false">Summary!$D$9</f>
        <v>16.9374488591431</v>
      </c>
      <c r="L1470" s="16" t="str">
        <f aca="false">IF(OR(D1470="",E1470=""),"edge hidden",IF(AND(H1470&gt;=D1470-0.02,H1470&lt;=E1470+0.02),"yes","no"))</f>
        <v>yes</v>
      </c>
    </row>
    <row r="1471" customFormat="false" ht="15" hidden="false" customHeight="false" outlineLevel="0" collapsed="false">
      <c r="A1471" s="9" t="n">
        <v>45937</v>
      </c>
      <c r="B1471" s="10" t="n">
        <v>25108.3</v>
      </c>
      <c r="C1471" s="11" t="n">
        <v>20.4769</v>
      </c>
      <c r="D1471" s="11" t="n">
        <v>20.3608</v>
      </c>
      <c r="E1471" s="11" t="n">
        <v>20.5931</v>
      </c>
      <c r="F1471" s="12" t="n">
        <f aca="false">IF(C1471="","",B1471/C1471)</f>
        <v>1226.17681387319</v>
      </c>
      <c r="G1471" s="12" t="n">
        <f aca="false">MEDIAN(F1461:F1481)</f>
        <v>1227.87735757056</v>
      </c>
      <c r="H1471" s="13" t="n">
        <f aca="false">B1471/G1471</f>
        <v>20.4485406015456</v>
      </c>
      <c r="I1471" s="14" t="n">
        <f aca="false">B1471/Summary!$C$8*100</f>
        <v>251.608862522672</v>
      </c>
      <c r="J1471" s="14" t="n">
        <f aca="false">G1471/Summary!$E$8*100</f>
        <v>208.684907711869</v>
      </c>
      <c r="K1471" s="15" t="n">
        <f aca="false">Summary!$D$9</f>
        <v>16.9374488591431</v>
      </c>
      <c r="L1471" s="16" t="str">
        <f aca="false">IF(OR(D1471="",E1471=""),"edge hidden",IF(AND(H1471&gt;=D1471-0.02,H1471&lt;=E1471+0.02),"yes","no"))</f>
        <v>yes</v>
      </c>
    </row>
    <row r="1472" customFormat="false" ht="15" hidden="false" customHeight="false" outlineLevel="0" collapsed="false">
      <c r="A1472" s="9" t="n">
        <v>45938</v>
      </c>
      <c r="B1472" s="10" t="n">
        <v>25046.15</v>
      </c>
      <c r="C1472" s="11" t="n">
        <v>20.5084</v>
      </c>
      <c r="D1472" s="11" t="n">
        <v>20.408</v>
      </c>
      <c r="E1472" s="11" t="n">
        <v>20.6088</v>
      </c>
      <c r="F1472" s="12" t="n">
        <f aca="false">IF(C1472="","",B1472/C1472)</f>
        <v>1221.26299467535</v>
      </c>
      <c r="G1472" s="12" t="n">
        <f aca="false">MEDIAN(F1462:F1482)</f>
        <v>1227.87735757056</v>
      </c>
      <c r="H1472" s="13" t="n">
        <f aca="false">B1472/G1472</f>
        <v>20.3979247972742</v>
      </c>
      <c r="I1472" s="14" t="n">
        <f aca="false">B1472/Summary!$C$8*100</f>
        <v>250.986060867213</v>
      </c>
      <c r="J1472" s="14" t="n">
        <f aca="false">G1472/Summary!$E$8*100</f>
        <v>208.684907711869</v>
      </c>
      <c r="K1472" s="15" t="n">
        <f aca="false">Summary!$D$9</f>
        <v>16.9374488591431</v>
      </c>
      <c r="L1472" s="16" t="str">
        <f aca="false">IF(OR(D1472="",E1472=""),"edge hidden",IF(AND(H1472&gt;=D1472-0.02,H1472&lt;=E1472+0.02),"yes","no"))</f>
        <v>yes</v>
      </c>
    </row>
    <row r="1473" customFormat="false" ht="15" hidden="false" customHeight="false" outlineLevel="0" collapsed="false">
      <c r="A1473" s="9" t="n">
        <v>45939</v>
      </c>
      <c r="B1473" s="10" t="n">
        <v>25181.8</v>
      </c>
      <c r="C1473" s="11" t="n">
        <v>20.5084</v>
      </c>
      <c r="D1473" s="11" t="n">
        <v>20.408</v>
      </c>
      <c r="E1473" s="11" t="n">
        <v>20.6088</v>
      </c>
      <c r="F1473" s="12" t="n">
        <f aca="false">IF(C1473="","",B1473/C1473)</f>
        <v>1227.87735757056</v>
      </c>
      <c r="G1473" s="12" t="n">
        <f aca="false">MEDIAN(F1463:F1483)</f>
        <v>1226.77947709315</v>
      </c>
      <c r="H1473" s="13" t="n">
        <f aca="false">B1473/G1473</f>
        <v>20.5267535610134</v>
      </c>
      <c r="I1473" s="14" t="n">
        <f aca="false">B1473/Summary!$C$8*100</f>
        <v>252.34540188995</v>
      </c>
      <c r="J1473" s="14" t="n">
        <f aca="false">G1473/Summary!$E$8*100</f>
        <v>208.498316531005</v>
      </c>
      <c r="K1473" s="15" t="n">
        <f aca="false">Summary!$D$9</f>
        <v>16.9374488591431</v>
      </c>
      <c r="L1473" s="16" t="str">
        <f aca="false">IF(OR(D1473="",E1473=""),"edge hidden",IF(AND(H1473&gt;=D1473-0.02,H1473&lt;=E1473+0.02),"yes","no"))</f>
        <v>yes</v>
      </c>
    </row>
    <row r="1474" customFormat="false" ht="15" hidden="false" customHeight="false" outlineLevel="0" collapsed="false">
      <c r="A1474" s="9" t="n">
        <v>45940</v>
      </c>
      <c r="B1474" s="10" t="n">
        <v>25285.35</v>
      </c>
      <c r="C1474" s="11" t="n">
        <v>20.5045</v>
      </c>
      <c r="D1474" s="11" t="n">
        <v>20.4002</v>
      </c>
      <c r="E1474" s="11" t="n">
        <v>20.6088</v>
      </c>
      <c r="F1474" s="12" t="n">
        <f aca="false">IF(C1474="","",B1474/C1474)</f>
        <v>1233.16101343607</v>
      </c>
      <c r="G1474" s="12" t="n">
        <f aca="false">MEDIAN(F1464:F1484)</f>
        <v>1226.17681387319</v>
      </c>
      <c r="H1474" s="13" t="n">
        <f aca="false">B1474/G1474</f>
        <v>20.6212919000888</v>
      </c>
      <c r="I1474" s="14" t="n">
        <f aca="false">B1474/Summary!$C$8*100</f>
        <v>253.383070617591</v>
      </c>
      <c r="J1474" s="14" t="n">
        <f aca="false">G1474/Summary!$E$8*100</f>
        <v>208.395890407041</v>
      </c>
      <c r="K1474" s="15" t="n">
        <f aca="false">Summary!$D$9</f>
        <v>16.9374488591431</v>
      </c>
      <c r="L1474" s="16" t="str">
        <f aca="false">IF(OR(D1474="",E1474=""),"edge hidden",IF(AND(H1474&gt;=D1474-0.02,H1474&lt;=E1474+0.02),"yes","no"))</f>
        <v>yes</v>
      </c>
    </row>
    <row r="1475" customFormat="false" ht="15" hidden="false" customHeight="false" outlineLevel="0" collapsed="false">
      <c r="A1475" s="9" t="n">
        <v>45943</v>
      </c>
      <c r="B1475" s="10" t="n">
        <v>25227.35</v>
      </c>
      <c r="C1475" s="11" t="n">
        <v>20.5793</v>
      </c>
      <c r="D1475" s="11" t="n">
        <v>20.3765</v>
      </c>
      <c r="E1475" s="11" t="n">
        <v>20.7821</v>
      </c>
      <c r="F1475" s="12" t="n">
        <f aca="false">IF(C1475="","",B1475/C1475)</f>
        <v>1225.8604520076</v>
      </c>
      <c r="G1475" s="12" t="n">
        <f aca="false">MEDIAN(F1465:F1485)</f>
        <v>1225.8604520076</v>
      </c>
      <c r="H1475" s="13" t="n">
        <f aca="false">B1475/G1475</f>
        <v>20.5793</v>
      </c>
      <c r="I1475" s="14" t="n">
        <f aca="false">B1475/Summary!$C$8*100</f>
        <v>252.801855878787</v>
      </c>
      <c r="J1475" s="14" t="n">
        <f aca="false">G1475/Summary!$E$8*100</f>
        <v>208.342122865586</v>
      </c>
      <c r="K1475" s="15" t="n">
        <f aca="false">Summary!$D$9</f>
        <v>16.9374488591431</v>
      </c>
      <c r="L1475" s="16" t="str">
        <f aca="false">IF(OR(D1475="",E1475=""),"edge hidden",IF(AND(H1475&gt;=D1475-0.02,H1475&lt;=E1475+0.02),"yes","no"))</f>
        <v>yes</v>
      </c>
    </row>
    <row r="1476" customFormat="false" ht="15" hidden="false" customHeight="false" outlineLevel="0" collapsed="false">
      <c r="A1476" s="9" t="n">
        <v>45944</v>
      </c>
      <c r="B1476" s="10" t="n">
        <v>25145.5</v>
      </c>
      <c r="C1476" s="11" t="n">
        <v>20.6187</v>
      </c>
      <c r="D1476" s="11" t="n">
        <v>20.3844</v>
      </c>
      <c r="E1476" s="11" t="n">
        <v>20.8529</v>
      </c>
      <c r="F1476" s="12" t="n">
        <f aca="false">IF(C1476="","",B1476/C1476)</f>
        <v>1219.54827413949</v>
      </c>
      <c r="G1476" s="12" t="n">
        <f aca="false">MEDIAN(F1466:F1486)</f>
        <v>1226.17681387319</v>
      </c>
      <c r="H1476" s="13" t="n">
        <f aca="false">B1476/G1476</f>
        <v>20.5072382021085</v>
      </c>
      <c r="I1476" s="14" t="n">
        <f aca="false">B1476/Summary!$C$8*100</f>
        <v>251.981641631009</v>
      </c>
      <c r="J1476" s="14" t="n">
        <f aca="false">G1476/Summary!$E$8*100</f>
        <v>208.395890407041</v>
      </c>
      <c r="K1476" s="15" t="n">
        <f aca="false">Summary!$D$9</f>
        <v>16.9374488591431</v>
      </c>
      <c r="L1476" s="16" t="str">
        <f aca="false">IF(OR(D1476="",E1476=""),"edge hidden",IF(AND(H1476&gt;=D1476-0.02,H1476&lt;=E1476+0.02),"yes","no"))</f>
        <v>yes</v>
      </c>
    </row>
    <row r="1477" customFormat="false" ht="15" hidden="false" customHeight="false" outlineLevel="0" collapsed="false">
      <c r="A1477" s="9" t="n">
        <v>45945</v>
      </c>
      <c r="B1477" s="10" t="n">
        <v>25323.55</v>
      </c>
      <c r="C1477" s="11" t="n">
        <v>20.6423</v>
      </c>
      <c r="D1477" s="11" t="n">
        <v>20.3923</v>
      </c>
      <c r="E1477" s="11" t="n">
        <v>20.8923</v>
      </c>
      <c r="F1477" s="12" t="n">
        <f aca="false">IF(C1477="","",B1477/C1477)</f>
        <v>1226.77947709315</v>
      </c>
      <c r="G1477" s="12" t="n">
        <f aca="false">MEDIAN(F1467:F1487)</f>
        <v>1226.17681387319</v>
      </c>
      <c r="H1477" s="13" t="n">
        <f aca="false">B1477/G1477</f>
        <v>20.6524456452647</v>
      </c>
      <c r="I1477" s="14" t="n">
        <f aca="false">B1477/Summary!$C$8*100</f>
        <v>253.7658706697</v>
      </c>
      <c r="J1477" s="14" t="n">
        <f aca="false">G1477/Summary!$E$8*100</f>
        <v>208.395890407041</v>
      </c>
      <c r="K1477" s="15" t="n">
        <f aca="false">Summary!$D$9</f>
        <v>16.9374488591431</v>
      </c>
      <c r="L1477" s="16" t="str">
        <f aca="false">IF(OR(D1477="",E1477=""),"edge hidden",IF(AND(H1477&gt;=D1477-0.02,H1477&lt;=E1477+0.02),"yes","no"))</f>
        <v>yes</v>
      </c>
    </row>
    <row r="1478" customFormat="false" ht="15" hidden="false" customHeight="false" outlineLevel="0" collapsed="false">
      <c r="A1478" s="9" t="n">
        <v>45946</v>
      </c>
      <c r="B1478" s="10" t="n">
        <v>25585.3</v>
      </c>
      <c r="C1478" s="11" t="n">
        <v>20.6817</v>
      </c>
      <c r="D1478" s="11" t="n">
        <v>20.4002</v>
      </c>
      <c r="E1478" s="11" t="n">
        <v>20.9632</v>
      </c>
      <c r="F1478" s="12" t="n">
        <f aca="false">IF(C1478="","",B1478/C1478)</f>
        <v>1237.0984977057</v>
      </c>
      <c r="G1478" s="12" t="n">
        <f aca="false">MEDIAN(F1468:F1488)</f>
        <v>1226.17681387319</v>
      </c>
      <c r="H1478" s="13" t="n">
        <f aca="false">B1478/G1478</f>
        <v>20.865914043165</v>
      </c>
      <c r="I1478" s="14" t="n">
        <f aca="false">B1478/Summary!$C$8*100</f>
        <v>256.388852702147</v>
      </c>
      <c r="J1478" s="14" t="n">
        <f aca="false">G1478/Summary!$E$8*100</f>
        <v>208.395890407041</v>
      </c>
      <c r="K1478" s="15" t="n">
        <f aca="false">Summary!$D$9</f>
        <v>16.9374488591431</v>
      </c>
      <c r="L1478" s="16" t="str">
        <f aca="false">IF(OR(D1478="",E1478=""),"edge hidden",IF(AND(H1478&gt;=D1478-0.02,H1478&lt;=E1478+0.02),"yes","no"))</f>
        <v>yes</v>
      </c>
    </row>
    <row r="1479" customFormat="false" ht="15" hidden="false" customHeight="false" outlineLevel="0" collapsed="false">
      <c r="A1479" s="9" t="n">
        <v>45947</v>
      </c>
      <c r="B1479" s="10" t="n">
        <v>25709.85</v>
      </c>
      <c r="C1479" s="11" t="n">
        <v>20.8116</v>
      </c>
      <c r="D1479" s="11" t="n">
        <v>20.597</v>
      </c>
      <c r="E1479" s="11" t="n">
        <v>21.0262</v>
      </c>
      <c r="F1479" s="12" t="n">
        <f aca="false">IF(C1479="","",B1479/C1479)</f>
        <v>1235.36152914721</v>
      </c>
      <c r="G1479" s="12" t="n">
        <f aca="false">MEDIAN(F1469:F1489)</f>
        <v>1225.8604520076</v>
      </c>
      <c r="H1479" s="13" t="n">
        <f aca="false">B1479/G1479</f>
        <v>20.9729010817625</v>
      </c>
      <c r="I1479" s="14" t="n">
        <f aca="false">B1479/Summary!$C$8*100</f>
        <v>257.63696124901</v>
      </c>
      <c r="J1479" s="14" t="n">
        <f aca="false">G1479/Summary!$E$8*100</f>
        <v>208.342122865586</v>
      </c>
      <c r="K1479" s="15" t="n">
        <f aca="false">Summary!$D$9</f>
        <v>16.9374488591431</v>
      </c>
      <c r="L1479" s="16" t="str">
        <f aca="false">IF(OR(D1479="",E1479=""),"edge hidden",IF(AND(H1479&gt;=D1479-0.02,H1479&lt;=E1479+0.02),"yes","no"))</f>
        <v>yes</v>
      </c>
    </row>
    <row r="1480" customFormat="false" ht="15" hidden="false" customHeight="false" outlineLevel="0" collapsed="false">
      <c r="A1480" s="9" t="n">
        <v>45950</v>
      </c>
      <c r="B1480" s="10" t="n">
        <v>25843.15</v>
      </c>
      <c r="C1480" s="11" t="n">
        <v>20.9612</v>
      </c>
      <c r="D1480" s="11" t="n">
        <v>20.8647</v>
      </c>
      <c r="E1480" s="11" t="n">
        <v>21.0576</v>
      </c>
      <c r="F1480" s="12" t="n">
        <f aca="false">IF(C1480="","",B1480/C1480)</f>
        <v>1232.90412762628</v>
      </c>
      <c r="G1480" s="12" t="n">
        <f aca="false">MEDIAN(F1470:F1490)</f>
        <v>1225.8604520076</v>
      </c>
      <c r="H1480" s="13" t="n">
        <f aca="false">B1480/G1480</f>
        <v>21.0816410282887</v>
      </c>
      <c r="I1480" s="14" t="n">
        <f aca="false">B1480/Summary!$C$8*100</f>
        <v>258.972753053883</v>
      </c>
      <c r="J1480" s="14" t="n">
        <f aca="false">G1480/Summary!$E$8*100</f>
        <v>208.342122865586</v>
      </c>
      <c r="K1480" s="15" t="n">
        <f aca="false">Summary!$D$9</f>
        <v>16.9374488591431</v>
      </c>
      <c r="L1480" s="16" t="str">
        <f aca="false">IF(OR(D1480="",E1480=""),"edge hidden",IF(AND(H1480&gt;=D1480-0.02,H1480&lt;=E1480+0.02),"yes","no"))</f>
        <v>no</v>
      </c>
    </row>
    <row r="1481" customFormat="false" ht="15" hidden="false" customHeight="false" outlineLevel="0" collapsed="false">
      <c r="A1481" s="9" t="n">
        <v>45951</v>
      </c>
      <c r="B1481" s="10" t="n">
        <v>25868.6</v>
      </c>
      <c r="C1481" s="11" t="n">
        <v>20.9888</v>
      </c>
      <c r="D1481" s="11" t="n">
        <v>20.912</v>
      </c>
      <c r="E1481" s="11" t="n">
        <v>21.0655</v>
      </c>
      <c r="F1481" s="12" t="n">
        <f aca="false">IF(C1481="","",B1481/C1481)</f>
        <v>1232.49542613203</v>
      </c>
      <c r="G1481" s="12" t="n">
        <f aca="false">MEDIAN(F1471:F1491)</f>
        <v>1225.8604520076</v>
      </c>
      <c r="H1481" s="13" t="n">
        <f aca="false">B1481/G1481</f>
        <v>21.1024019558138</v>
      </c>
      <c r="I1481" s="14" t="n">
        <f aca="false">B1481/Summary!$C$8*100</f>
        <v>259.227786072892</v>
      </c>
      <c r="J1481" s="14" t="n">
        <f aca="false">G1481/Summary!$E$8*100</f>
        <v>208.342122865586</v>
      </c>
      <c r="K1481" s="15" t="n">
        <f aca="false">Summary!$D$9</f>
        <v>16.9374488591431</v>
      </c>
      <c r="L1481" s="16" t="str">
        <f aca="false">IF(OR(D1481="",E1481=""),"edge hidden",IF(AND(H1481&gt;=D1481-0.02,H1481&lt;=E1481+0.02),"yes","no"))</f>
        <v>no</v>
      </c>
    </row>
    <row r="1482" customFormat="false" ht="15" hidden="false" customHeight="false" outlineLevel="0" collapsed="false">
      <c r="A1482" s="9" t="n">
        <v>45953</v>
      </c>
      <c r="B1482" s="10" t="n">
        <v>25891.4</v>
      </c>
      <c r="C1482" s="11" t="n">
        <v>21.0045</v>
      </c>
      <c r="D1482" s="11" t="n">
        <v>20.9199</v>
      </c>
      <c r="E1482" s="11" t="n">
        <v>21.0891</v>
      </c>
      <c r="F1482" s="12" t="n">
        <f aca="false">IF(C1482="","",B1482/C1482)</f>
        <v>1232.65966816635</v>
      </c>
      <c r="G1482" s="12" t="n">
        <f aca="false">MEDIAN(F1472:F1492)</f>
        <v>1225.64619364096</v>
      </c>
      <c r="H1482" s="13" t="n">
        <f aca="false">B1482/G1482</f>
        <v>21.1246933530514</v>
      </c>
      <c r="I1482" s="14" t="n">
        <f aca="false">B1482/Summary!$C$8*100</f>
        <v>259.456263590905</v>
      </c>
      <c r="J1482" s="14" t="n">
        <f aca="false">G1482/Summary!$E$8*100</f>
        <v>208.305708408399</v>
      </c>
      <c r="K1482" s="15" t="n">
        <f aca="false">Summary!$D$9</f>
        <v>16.9374488591431</v>
      </c>
      <c r="L1482" s="16" t="str">
        <f aca="false">IF(OR(D1482="",E1482=""),"edge hidden",IF(AND(H1482&gt;=D1482-0.02,H1482&lt;=E1482+0.02),"yes","no"))</f>
        <v>no</v>
      </c>
    </row>
    <row r="1483" customFormat="false" ht="15" hidden="false" customHeight="false" outlineLevel="0" collapsed="false">
      <c r="A1483" s="9" t="n">
        <v>45954</v>
      </c>
      <c r="B1483" s="10" t="n">
        <v>25795.15</v>
      </c>
      <c r="C1483" s="11" t="n">
        <v>21.0478</v>
      </c>
      <c r="D1483" s="11" t="n">
        <v>20.9199</v>
      </c>
      <c r="E1483" s="11" t="n">
        <v>21.1758</v>
      </c>
      <c r="F1483" s="12" t="n">
        <f aca="false">IF(C1483="","",B1483/C1483)</f>
        <v>1225.55088892901</v>
      </c>
      <c r="G1483" s="12" t="n">
        <f aca="false">MEDIAN(F1473:F1493)</f>
        <v>1225.64619364096</v>
      </c>
      <c r="H1483" s="13" t="n">
        <f aca="false">B1483/G1483</f>
        <v>21.0461633494505</v>
      </c>
      <c r="I1483" s="14" t="n">
        <f aca="false">B1483/Summary!$C$8*100</f>
        <v>258.491747752803</v>
      </c>
      <c r="J1483" s="14" t="n">
        <f aca="false">G1483/Summary!$E$8*100</f>
        <v>208.305708408399</v>
      </c>
      <c r="K1483" s="15" t="n">
        <f aca="false">Summary!$D$9</f>
        <v>16.9374488591431</v>
      </c>
      <c r="L1483" s="16" t="str">
        <f aca="false">IF(OR(D1483="",E1483=""),"edge hidden",IF(AND(H1483&gt;=D1483-0.02,H1483&lt;=E1483+0.02),"yes","no"))</f>
        <v>yes</v>
      </c>
    </row>
    <row r="1484" customFormat="false" ht="15" hidden="false" customHeight="false" outlineLevel="0" collapsed="false">
      <c r="A1484" s="9" t="n">
        <v>45957</v>
      </c>
      <c r="B1484" s="10" t="n">
        <v>25966.05</v>
      </c>
      <c r="C1484" s="11" t="n">
        <v>21.1856</v>
      </c>
      <c r="D1484" s="11" t="n">
        <v>20.9356</v>
      </c>
      <c r="E1484" s="11" t="n">
        <v>21.4356</v>
      </c>
      <c r="F1484" s="12" t="n">
        <f aca="false">IF(C1484="","",B1484/C1484)</f>
        <v>1225.64619364096</v>
      </c>
      <c r="G1484" s="12" t="n">
        <f aca="false">MEDIAN(F1474:F1494)</f>
        <v>1225.55088892901</v>
      </c>
      <c r="H1484" s="13" t="n">
        <f aca="false">B1484/G1484</f>
        <v>21.1872474938118</v>
      </c>
      <c r="I1484" s="14" t="n">
        <f aca="false">B1484/Summary!$C$8*100</f>
        <v>260.204327043521</v>
      </c>
      <c r="J1484" s="14" t="n">
        <f aca="false">G1484/Summary!$E$8*100</f>
        <v>208.289510817576</v>
      </c>
      <c r="K1484" s="15" t="n">
        <f aca="false">Summary!$D$9</f>
        <v>16.9374488591431</v>
      </c>
      <c r="L1484" s="16" t="str">
        <f aca="false">IF(OR(D1484="",E1484=""),"edge hidden",IF(AND(H1484&gt;=D1484-0.02,H1484&lt;=E1484+0.02),"yes","no"))</f>
        <v>yes</v>
      </c>
    </row>
    <row r="1485" customFormat="false" ht="15" hidden="false" customHeight="false" outlineLevel="0" collapsed="false">
      <c r="A1485" s="9" t="n">
        <v>45958</v>
      </c>
      <c r="B1485" s="10" t="n">
        <v>25936.2</v>
      </c>
      <c r="C1485" s="11" t="n">
        <v>21.1935</v>
      </c>
      <c r="D1485" s="11" t="n">
        <v>20.9513</v>
      </c>
      <c r="E1485" s="11" t="n">
        <v>21.4356</v>
      </c>
      <c r="F1485" s="12" t="n">
        <f aca="false">IF(C1485="","",B1485/C1485)</f>
        <v>1223.78087621205</v>
      </c>
      <c r="G1485" s="12" t="n">
        <f aca="false">MEDIAN(F1475:F1495)</f>
        <v>1225.55088892901</v>
      </c>
      <c r="H1485" s="13" t="n">
        <f aca="false">B1485/G1485</f>
        <v>21.1628911000711</v>
      </c>
      <c r="I1485" s="14" t="n">
        <f aca="false">B1485/Summary!$C$8*100</f>
        <v>259.905201871912</v>
      </c>
      <c r="J1485" s="14" t="n">
        <f aca="false">G1485/Summary!$E$8*100</f>
        <v>208.289510817576</v>
      </c>
      <c r="K1485" s="15" t="n">
        <f aca="false">Summary!$D$9</f>
        <v>16.9374488591431</v>
      </c>
      <c r="L1485" s="16" t="str">
        <f aca="false">IF(OR(D1485="",E1485=""),"edge hidden",IF(AND(H1485&gt;=D1485-0.02,H1485&lt;=E1485+0.02),"yes","no"))</f>
        <v>yes</v>
      </c>
    </row>
    <row r="1486" customFormat="false" ht="15" hidden="false" customHeight="false" outlineLevel="0" collapsed="false">
      <c r="A1486" s="9" t="n">
        <v>45959</v>
      </c>
      <c r="B1486" s="10" t="n">
        <v>26053.9</v>
      </c>
      <c r="C1486" s="11" t="n">
        <v>21.2407</v>
      </c>
      <c r="D1486" s="11" t="n">
        <v>21.0458</v>
      </c>
      <c r="E1486" s="11" t="n">
        <v>21.4356</v>
      </c>
      <c r="F1486" s="12" t="n">
        <f aca="false">IF(C1486="","",B1486/C1486)</f>
        <v>1226.60270141756</v>
      </c>
      <c r="G1486" s="12" t="n">
        <f aca="false">MEDIAN(F1476:F1496)</f>
        <v>1223.78087621205</v>
      </c>
      <c r="H1486" s="13" t="n">
        <f aca="false">B1486/G1486</f>
        <v>21.2896773486478</v>
      </c>
      <c r="I1486" s="14" t="n">
        <f aca="false">B1486/Summary!$C$8*100</f>
        <v>261.084666953934</v>
      </c>
      <c r="J1486" s="14" t="n">
        <f aca="false">G1486/Summary!$E$8*100</f>
        <v>207.988686848301</v>
      </c>
      <c r="K1486" s="15" t="n">
        <f aca="false">Summary!$D$9</f>
        <v>16.9374488591431</v>
      </c>
      <c r="L1486" s="16" t="str">
        <f aca="false">IF(OR(D1486="",E1486=""),"edge hidden",IF(AND(H1486&gt;=D1486-0.02,H1486&lt;=E1486+0.02),"yes","no"))</f>
        <v>yes</v>
      </c>
    </row>
    <row r="1487" customFormat="false" ht="15" hidden="false" customHeight="false" outlineLevel="0" collapsed="false">
      <c r="A1487" s="9" t="n">
        <v>45960</v>
      </c>
      <c r="B1487" s="10" t="n">
        <v>25877.85</v>
      </c>
      <c r="C1487" s="11" t="n">
        <v>21.2407</v>
      </c>
      <c r="D1487" s="11" t="n">
        <v>21.0537</v>
      </c>
      <c r="E1487" s="11" t="n">
        <v>21.4277</v>
      </c>
      <c r="F1487" s="12" t="n">
        <f aca="false">IF(C1487="","",B1487/C1487)</f>
        <v>1218.31436817054</v>
      </c>
      <c r="G1487" s="12" t="n">
        <f aca="false">MEDIAN(F1477:F1497)</f>
        <v>1223.78087621205</v>
      </c>
      <c r="H1487" s="13" t="n">
        <f aca="false">B1487/G1487</f>
        <v>21.1458198955514</v>
      </c>
      <c r="I1487" s="14" t="n">
        <f aca="false">B1487/Summary!$C$8*100</f>
        <v>259.320479802788</v>
      </c>
      <c r="J1487" s="14" t="n">
        <f aca="false">G1487/Summary!$E$8*100</f>
        <v>207.988686848301</v>
      </c>
      <c r="K1487" s="15" t="n">
        <f aca="false">Summary!$D$9</f>
        <v>16.9374488591431</v>
      </c>
      <c r="L1487" s="16" t="str">
        <f aca="false">IF(OR(D1487="",E1487=""),"edge hidden",IF(AND(H1487&gt;=D1487-0.02,H1487&lt;=E1487+0.02),"yes","no"))</f>
        <v>yes</v>
      </c>
    </row>
    <row r="1488" customFormat="false" ht="15" hidden="false" customHeight="false" outlineLevel="0" collapsed="false">
      <c r="A1488" s="9" t="n">
        <v>45961</v>
      </c>
      <c r="B1488" s="10" t="n">
        <v>25722.1</v>
      </c>
      <c r="C1488" s="11" t="n">
        <v>21.2289</v>
      </c>
      <c r="D1488" s="11" t="n">
        <v>21.0537</v>
      </c>
      <c r="E1488" s="11" t="n">
        <v>21.4041</v>
      </c>
      <c r="F1488" s="12" t="n">
        <f aca="false">IF(C1488="","",B1488/C1488)</f>
        <v>1211.65486671471</v>
      </c>
      <c r="G1488" s="12" t="n">
        <f aca="false">MEDIAN(F1478:F1498)</f>
        <v>1222.89545508485</v>
      </c>
      <c r="H1488" s="13" t="n">
        <f aca="false">B1488/G1488</f>
        <v>21.033768580173</v>
      </c>
      <c r="I1488" s="14" t="n">
        <f aca="false">B1488/Summary!$C$8*100</f>
        <v>257.759717810223</v>
      </c>
      <c r="J1488" s="14" t="n">
        <f aca="false">G1488/Summary!$E$8*100</f>
        <v>207.838204371303</v>
      </c>
      <c r="K1488" s="15" t="n">
        <f aca="false">Summary!$D$9</f>
        <v>16.9374488591431</v>
      </c>
      <c r="L1488" s="16" t="str">
        <f aca="false">IF(OR(D1488="",E1488=""),"edge hidden",IF(AND(H1488&gt;=D1488-0.02,H1488&lt;=E1488+0.02),"yes","no"))</f>
        <v>yes</v>
      </c>
    </row>
    <row r="1489" customFormat="false" ht="15" hidden="false" customHeight="false" outlineLevel="0" collapsed="false">
      <c r="A1489" s="9" t="n">
        <v>45964</v>
      </c>
      <c r="B1489" s="10" t="n">
        <v>25763.35</v>
      </c>
      <c r="C1489" s="11" t="n">
        <v>21.0675</v>
      </c>
      <c r="D1489" s="11" t="n">
        <v>20.9513</v>
      </c>
      <c r="E1489" s="11" t="n">
        <v>21.1836</v>
      </c>
      <c r="F1489" s="12" t="n">
        <f aca="false">IF(C1489="","",B1489/C1489)</f>
        <v>1222.89545508485</v>
      </c>
      <c r="G1489" s="12" t="n">
        <f aca="false">MEDIAN(F1479:F1499)</f>
        <v>1222.62006157126</v>
      </c>
      <c r="H1489" s="13" t="n">
        <f aca="false">B1489/G1489</f>
        <v>21.0722454258522</v>
      </c>
      <c r="I1489" s="14" t="n">
        <f aca="false">B1489/Summary!$C$8*100</f>
        <v>258.173081740838</v>
      </c>
      <c r="J1489" s="14" t="n">
        <f aca="false">G1489/Summary!$E$8*100</f>
        <v>207.791399639859</v>
      </c>
      <c r="K1489" s="15" t="n">
        <f aca="false">Summary!$D$9</f>
        <v>16.9374488591431</v>
      </c>
      <c r="L1489" s="16" t="str">
        <f aca="false">IF(OR(D1489="",E1489=""),"edge hidden",IF(AND(H1489&gt;=D1489-0.02,H1489&lt;=E1489+0.02),"yes","no"))</f>
        <v>yes</v>
      </c>
    </row>
    <row r="1490" customFormat="false" ht="15" hidden="false" customHeight="false" outlineLevel="0" collapsed="false">
      <c r="A1490" s="9" t="n">
        <v>45965</v>
      </c>
      <c r="B1490" s="10" t="n">
        <v>25597.65</v>
      </c>
      <c r="C1490" s="11" t="n">
        <v>21.0557</v>
      </c>
      <c r="D1490" s="11" t="n">
        <v>20.9356</v>
      </c>
      <c r="E1490" s="11" t="n">
        <v>21.1758</v>
      </c>
      <c r="F1490" s="12" t="n">
        <f aca="false">IF(C1490="","",B1490/C1490)</f>
        <v>1215.71118509477</v>
      </c>
      <c r="G1490" s="12" t="n">
        <f aca="false">MEDIAN(F1480:F1500)</f>
        <v>1221.64202327292</v>
      </c>
      <c r="H1490" s="13" t="n">
        <f aca="false">B1490/G1490</f>
        <v>20.9534786069498</v>
      </c>
      <c r="I1490" s="14" t="n">
        <f aca="false">B1490/Summary!$C$8*100</f>
        <v>256.512611357738</v>
      </c>
      <c r="J1490" s="14" t="n">
        <f aca="false">G1490/Summary!$E$8*100</f>
        <v>207.625176335252</v>
      </c>
      <c r="K1490" s="15" t="n">
        <f aca="false">Summary!$D$9</f>
        <v>16.9374488591431</v>
      </c>
      <c r="L1490" s="16" t="str">
        <f aca="false">IF(OR(D1490="",E1490=""),"edge hidden",IF(AND(H1490&gt;=D1490-0.02,H1490&lt;=E1490+0.02),"yes","no"))</f>
        <v>yes</v>
      </c>
    </row>
    <row r="1491" customFormat="false" ht="15" hidden="false" customHeight="false" outlineLevel="0" collapsed="false">
      <c r="A1491" s="9" t="n">
        <v>45967</v>
      </c>
      <c r="B1491" s="10" t="n">
        <v>25509.7</v>
      </c>
      <c r="C1491" s="11" t="n">
        <v>20.9848</v>
      </c>
      <c r="D1491" s="11" t="n">
        <v>20.912</v>
      </c>
      <c r="E1491" s="11" t="n">
        <v>21.0576</v>
      </c>
      <c r="F1491" s="12" t="n">
        <f aca="false">IF(C1491="","",B1491/C1491)</f>
        <v>1215.62750181083</v>
      </c>
      <c r="G1491" s="12" t="n">
        <f aca="false">MEDIAN(F1481:F1501)</f>
        <v>1221.64202327292</v>
      </c>
      <c r="H1491" s="13" t="n">
        <f aca="false">B1491/G1491</f>
        <v>20.8814853402444</v>
      </c>
      <c r="I1491" s="14" t="n">
        <f aca="false">B1491/Summary!$C$8*100</f>
        <v>255.631269352948</v>
      </c>
      <c r="J1491" s="14" t="n">
        <f aca="false">G1491/Summary!$E$8*100</f>
        <v>207.625176335252</v>
      </c>
      <c r="K1491" s="15" t="n">
        <f aca="false">Summary!$D$9</f>
        <v>16.9374488591431</v>
      </c>
      <c r="L1491" s="16" t="str">
        <f aca="false">IF(OR(D1491="",E1491=""),"edge hidden",IF(AND(H1491&gt;=D1491-0.02,H1491&lt;=E1491+0.02),"yes","no"))</f>
        <v>no</v>
      </c>
    </row>
    <row r="1492" customFormat="false" ht="15" hidden="false" customHeight="false" outlineLevel="0" collapsed="false">
      <c r="A1492" s="9" t="n">
        <v>45968</v>
      </c>
      <c r="B1492" s="10" t="n">
        <v>25492.3</v>
      </c>
      <c r="C1492" s="11" t="n">
        <v>20.9809</v>
      </c>
      <c r="D1492" s="11" t="n">
        <v>20.912</v>
      </c>
      <c r="E1492" s="11" t="n">
        <v>21.0498</v>
      </c>
      <c r="F1492" s="12" t="n">
        <f aca="false">IF(C1492="","",B1492/C1492)</f>
        <v>1215.02414100444</v>
      </c>
      <c r="G1492" s="12" t="n">
        <f aca="false">MEDIAN(F1482:F1502)</f>
        <v>1220.86435128837</v>
      </c>
      <c r="H1492" s="13" t="n">
        <f aca="false">B1492/G1492</f>
        <v>20.8805343305325</v>
      </c>
      <c r="I1492" s="14" t="n">
        <f aca="false">B1492/Summary!$C$8*100</f>
        <v>255.456904931306</v>
      </c>
      <c r="J1492" s="14" t="n">
        <f aca="false">G1492/Summary!$E$8*100</f>
        <v>207.493006452547</v>
      </c>
      <c r="K1492" s="15" t="n">
        <f aca="false">Summary!$D$9</f>
        <v>16.9374488591431</v>
      </c>
      <c r="L1492" s="16" t="str">
        <f aca="false">IF(OR(D1492="",E1492=""),"edge hidden",IF(AND(H1492&gt;=D1492-0.02,H1492&lt;=E1492+0.02),"yes","no"))</f>
        <v>no</v>
      </c>
    </row>
    <row r="1493" customFormat="false" ht="15" hidden="false" customHeight="false" outlineLevel="0" collapsed="false">
      <c r="A1493" s="9" t="n">
        <v>45971</v>
      </c>
      <c r="B1493" s="10" t="n">
        <v>25574.35</v>
      </c>
      <c r="C1493" s="11" t="n">
        <v>21.0045</v>
      </c>
      <c r="D1493" s="11" t="n">
        <v>20.9199</v>
      </c>
      <c r="E1493" s="11" t="n">
        <v>21.0891</v>
      </c>
      <c r="F1493" s="12" t="n">
        <f aca="false">IF(C1493="","",B1493/C1493)</f>
        <v>1217.5652836297</v>
      </c>
      <c r="G1493" s="12" t="n">
        <f aca="false">MEDIAN(F1483:F1503)</f>
        <v>1219.9485072737</v>
      </c>
      <c r="H1493" s="13" t="n">
        <f aca="false">B1493/G1493</f>
        <v>20.9634667754565</v>
      </c>
      <c r="I1493" s="14" t="n">
        <f aca="false">B1493/Summary!$C$8*100</f>
        <v>256.279123367839</v>
      </c>
      <c r="J1493" s="14" t="n">
        <f aca="false">G1493/Summary!$E$8*100</f>
        <v>207.337353428651</v>
      </c>
      <c r="K1493" s="15" t="n">
        <f aca="false">Summary!$D$9</f>
        <v>16.9374488591431</v>
      </c>
      <c r="L1493" s="16" t="str">
        <f aca="false">IF(OR(D1493="",E1493=""),"edge hidden",IF(AND(H1493&gt;=D1493-0.02,H1493&lt;=E1493+0.02),"yes","no"))</f>
        <v>yes</v>
      </c>
    </row>
    <row r="1494" customFormat="false" ht="15" hidden="false" customHeight="false" outlineLevel="0" collapsed="false">
      <c r="A1494" s="9" t="n">
        <v>45972</v>
      </c>
      <c r="B1494" s="10" t="n">
        <v>25694.95</v>
      </c>
      <c r="C1494" s="11" t="n">
        <v>21.0163</v>
      </c>
      <c r="D1494" s="11" t="n">
        <v>20.9277</v>
      </c>
      <c r="E1494" s="11" t="n">
        <v>21.1049</v>
      </c>
      <c r="F1494" s="12" t="n">
        <f aca="false">IF(C1494="","",B1494/C1494)</f>
        <v>1222.62006157126</v>
      </c>
      <c r="G1494" s="12" t="n">
        <f aca="false">MEDIAN(F1484:F1504)</f>
        <v>1218.31436817054</v>
      </c>
      <c r="H1494" s="13" t="n">
        <f aca="false">B1494/G1494</f>
        <v>21.0905745440599</v>
      </c>
      <c r="I1494" s="14" t="n">
        <f aca="false">B1494/Summary!$C$8*100</f>
        <v>257.4876491868</v>
      </c>
      <c r="J1494" s="14" t="n">
        <f aca="false">G1494/Summary!$E$8*100</f>
        <v>207.059621971329</v>
      </c>
      <c r="K1494" s="15" t="n">
        <f aca="false">Summary!$D$9</f>
        <v>16.9374488591431</v>
      </c>
      <c r="L1494" s="16" t="str">
        <f aca="false">IF(OR(D1494="",E1494=""),"edge hidden",IF(AND(H1494&gt;=D1494-0.02,H1494&lt;=E1494+0.02),"yes","no"))</f>
        <v>yes</v>
      </c>
    </row>
    <row r="1495" customFormat="false" ht="15" hidden="false" customHeight="false" outlineLevel="0" collapsed="false">
      <c r="A1495" s="9" t="n">
        <v>45973</v>
      </c>
      <c r="B1495" s="10" t="n">
        <v>25875.8</v>
      </c>
      <c r="C1495" s="11" t="n">
        <v>21.0557</v>
      </c>
      <c r="D1495" s="11" t="n">
        <v>20.9828</v>
      </c>
      <c r="E1495" s="11" t="n">
        <v>21.1285</v>
      </c>
      <c r="F1495" s="12" t="n">
        <f aca="false">IF(C1495="","",B1495/C1495)</f>
        <v>1228.92138470818</v>
      </c>
      <c r="G1495" s="12" t="n">
        <f aca="false">MEDIAN(F1485:F1505)</f>
        <v>1218.31436817054</v>
      </c>
      <c r="H1495" s="13" t="n">
        <f aca="false">B1495/G1495</f>
        <v>21.239017347268</v>
      </c>
      <c r="I1495" s="14" t="n">
        <f aca="false">B1495/Summary!$C$8*100</f>
        <v>259.299936868054</v>
      </c>
      <c r="J1495" s="14" t="n">
        <f aca="false">G1495/Summary!$E$8*100</f>
        <v>207.059621971329</v>
      </c>
      <c r="K1495" s="15" t="n">
        <f aca="false">Summary!$D$9</f>
        <v>16.9374488591431</v>
      </c>
      <c r="L1495" s="16" t="str">
        <f aca="false">IF(OR(D1495="",E1495=""),"edge hidden",IF(AND(H1495&gt;=D1495-0.02,H1495&lt;=E1495+0.02),"yes","no"))</f>
        <v>no</v>
      </c>
    </row>
    <row r="1496" customFormat="false" ht="15" hidden="false" customHeight="false" outlineLevel="0" collapsed="false">
      <c r="A1496" s="9" t="n">
        <v>45974</v>
      </c>
      <c r="B1496" s="10" t="n">
        <v>25879.15</v>
      </c>
      <c r="C1496" s="11" t="n">
        <v>21.1974</v>
      </c>
      <c r="D1496" s="11" t="n">
        <v>21.0458</v>
      </c>
      <c r="E1496" s="11" t="n">
        <v>21.349</v>
      </c>
      <c r="F1496" s="12" t="n">
        <f aca="false">IF(C1496="","",B1496/C1496)</f>
        <v>1220.86435128837</v>
      </c>
      <c r="G1496" s="12" t="n">
        <f aca="false">MEDIAN(F1486:F1506)</f>
        <v>1218.31436817054</v>
      </c>
      <c r="H1496" s="13" t="n">
        <f aca="false">B1496/G1496</f>
        <v>21.2417670480739</v>
      </c>
      <c r="I1496" s="14" t="n">
        <f aca="false">B1496/Summary!$C$8*100</f>
        <v>259.333507029692</v>
      </c>
      <c r="J1496" s="14" t="n">
        <f aca="false">G1496/Summary!$E$8*100</f>
        <v>207.059621971329</v>
      </c>
      <c r="K1496" s="15" t="n">
        <f aca="false">Summary!$D$9</f>
        <v>16.9374488591431</v>
      </c>
      <c r="L1496" s="16" t="str">
        <f aca="false">IF(OR(D1496="",E1496=""),"edge hidden",IF(AND(H1496&gt;=D1496-0.02,H1496&lt;=E1496+0.02),"yes","no"))</f>
        <v>yes</v>
      </c>
    </row>
    <row r="1497" customFormat="false" ht="15" hidden="false" customHeight="false" outlineLevel="0" collapsed="false">
      <c r="A1497" s="9" t="n">
        <v>45975</v>
      </c>
      <c r="B1497" s="10" t="n">
        <v>25910.05</v>
      </c>
      <c r="C1497" s="11" t="n">
        <v>21.2092</v>
      </c>
      <c r="D1497" s="11" t="n">
        <v>21.0537</v>
      </c>
      <c r="E1497" s="11" t="n">
        <v>21.3647</v>
      </c>
      <c r="F1497" s="12" t="n">
        <f aca="false">IF(C1497="","",B1497/C1497)</f>
        <v>1221.64202327292</v>
      </c>
      <c r="G1497" s="12" t="n">
        <f aca="false">MEDIAN(F1487:F1507)</f>
        <v>1218.31436817054</v>
      </c>
      <c r="H1497" s="13" t="n">
        <f aca="false">B1497/G1497</f>
        <v>21.2671299599851</v>
      </c>
      <c r="I1497" s="14" t="n">
        <f aca="false">B1497/Summary!$C$8*100</f>
        <v>259.643154192262</v>
      </c>
      <c r="J1497" s="14" t="n">
        <f aca="false">G1497/Summary!$E$8*100</f>
        <v>207.059621971329</v>
      </c>
      <c r="K1497" s="15" t="n">
        <f aca="false">Summary!$D$9</f>
        <v>16.9374488591431</v>
      </c>
      <c r="L1497" s="16" t="str">
        <f aca="false">IF(OR(D1497="",E1497=""),"edge hidden",IF(AND(H1497&gt;=D1497-0.02,H1497&lt;=E1497+0.02),"yes","no"))</f>
        <v>yes</v>
      </c>
    </row>
    <row r="1498" customFormat="false" ht="15" hidden="false" customHeight="false" outlineLevel="0" collapsed="false">
      <c r="A1498" s="9" t="n">
        <v>45978</v>
      </c>
      <c r="B1498" s="10" t="n">
        <v>26013.45</v>
      </c>
      <c r="C1498" s="11" t="n">
        <v>21.3234</v>
      </c>
      <c r="D1498" s="11" t="n">
        <v>21.1325</v>
      </c>
      <c r="E1498" s="11" t="n">
        <v>21.5143</v>
      </c>
      <c r="F1498" s="12" t="n">
        <f aca="false">IF(C1498="","",B1498/C1498)</f>
        <v>1219.9485072737</v>
      </c>
      <c r="G1498" s="12" t="n">
        <f aca="false">MEDIAN(F1488:F1508)</f>
        <v>1219.9485072737</v>
      </c>
      <c r="H1498" s="13" t="n">
        <f aca="false">B1498/G1498</f>
        <v>21.3234</v>
      </c>
      <c r="I1498" s="14" t="n">
        <f aca="false">B1498/Summary!$C$8*100</f>
        <v>260.679319778337</v>
      </c>
      <c r="J1498" s="14" t="n">
        <f aca="false">G1498/Summary!$E$8*100</f>
        <v>207.337353428651</v>
      </c>
      <c r="K1498" s="15" t="n">
        <f aca="false">Summary!$D$9</f>
        <v>16.9374488591431</v>
      </c>
      <c r="L1498" s="16" t="str">
        <f aca="false">IF(OR(D1498="",E1498=""),"edge hidden",IF(AND(H1498&gt;=D1498-0.02,H1498&lt;=E1498+0.02),"yes","no"))</f>
        <v>yes</v>
      </c>
    </row>
    <row r="1499" customFormat="false" ht="15" hidden="false" customHeight="false" outlineLevel="0" collapsed="false">
      <c r="A1499" s="9" t="n">
        <v>45979</v>
      </c>
      <c r="B1499" s="10" t="n">
        <v>25910.05</v>
      </c>
      <c r="C1499" s="11" t="n">
        <v>21.3431</v>
      </c>
      <c r="D1499" s="11" t="n">
        <v>21.1639</v>
      </c>
      <c r="E1499" s="11" t="n">
        <v>21.5222</v>
      </c>
      <c r="F1499" s="12" t="n">
        <f aca="false">IF(C1499="","",B1499/C1499)</f>
        <v>1213.9778195295</v>
      </c>
      <c r="G1499" s="12" t="n">
        <f aca="false">MEDIAN(F1489:F1509)</f>
        <v>1219.9485072737</v>
      </c>
      <c r="H1499" s="13" t="n">
        <f aca="false">B1499/G1499</f>
        <v>21.2386423242592</v>
      </c>
      <c r="I1499" s="14" t="n">
        <f aca="false">B1499/Summary!$C$8*100</f>
        <v>259.643154192262</v>
      </c>
      <c r="J1499" s="14" t="n">
        <f aca="false">G1499/Summary!$E$8*100</f>
        <v>207.337353428651</v>
      </c>
      <c r="K1499" s="15" t="n">
        <f aca="false">Summary!$D$9</f>
        <v>16.9374488591431</v>
      </c>
      <c r="L1499" s="16" t="str">
        <f aca="false">IF(OR(D1499="",E1499=""),"edge hidden",IF(AND(H1499&gt;=D1499-0.02,H1499&lt;=E1499+0.02),"yes","no"))</f>
        <v>yes</v>
      </c>
    </row>
    <row r="1500" customFormat="false" ht="15" hidden="false" customHeight="false" outlineLevel="0" collapsed="false">
      <c r="A1500" s="9" t="n">
        <v>45980</v>
      </c>
      <c r="B1500" s="10" t="n">
        <v>26052.65</v>
      </c>
      <c r="C1500" s="11" t="n">
        <v>21.4021</v>
      </c>
      <c r="D1500" s="11" t="n">
        <v>21.2821</v>
      </c>
      <c r="E1500" s="11" t="n">
        <v>21.5222</v>
      </c>
      <c r="F1500" s="12" t="n">
        <f aca="false">IF(C1500="","",B1500/C1500)</f>
        <v>1217.29409730821</v>
      </c>
      <c r="G1500" s="12" t="n">
        <f aca="false">MEDIAN(F1490:F1510)</f>
        <v>1218.01832530453</v>
      </c>
      <c r="H1500" s="13" t="n">
        <f aca="false">B1500/G1500</f>
        <v>21.3893744114945</v>
      </c>
      <c r="I1500" s="14" t="n">
        <f aca="false">B1500/Summary!$C$8*100</f>
        <v>261.072140774218</v>
      </c>
      <c r="J1500" s="14" t="n">
        <f aca="false">G1500/Summary!$E$8*100</f>
        <v>207.009307762184</v>
      </c>
      <c r="K1500" s="15" t="n">
        <f aca="false">Summary!$D$9</f>
        <v>16.9374488591431</v>
      </c>
      <c r="L1500" s="16" t="str">
        <f aca="false">IF(OR(D1500="",E1500=""),"edge hidden",IF(AND(H1500&gt;=D1500-0.02,H1500&lt;=E1500+0.02),"yes","no"))</f>
        <v>yes</v>
      </c>
    </row>
    <row r="1501" customFormat="false" ht="15" hidden="false" customHeight="false" outlineLevel="0" collapsed="false">
      <c r="A1501" s="9" t="n">
        <v>45981</v>
      </c>
      <c r="B1501" s="10" t="n">
        <v>26192.15</v>
      </c>
      <c r="C1501" s="11" t="n">
        <v>21.4061</v>
      </c>
      <c r="D1501" s="11" t="n">
        <v>21.2899</v>
      </c>
      <c r="E1501" s="11" t="n">
        <v>21.5222</v>
      </c>
      <c r="F1501" s="12" t="n">
        <f aca="false">IF(C1501="","",B1501/C1501)</f>
        <v>1223.58346452647</v>
      </c>
      <c r="G1501" s="12" t="n">
        <f aca="false">MEDIAN(F1491:F1511)</f>
        <v>1219.0995977504</v>
      </c>
      <c r="H1501" s="13" t="n">
        <f aca="false">B1501/G1501</f>
        <v>21.4848319598598</v>
      </c>
      <c r="I1501" s="14" t="n">
        <f aca="false">B1501/Summary!$C$8*100</f>
        <v>262.47006243048</v>
      </c>
      <c r="J1501" s="14" t="n">
        <f aca="false">G1501/Summary!$E$8*100</f>
        <v>207.193076311369</v>
      </c>
      <c r="K1501" s="15" t="n">
        <f aca="false">Summary!$D$9</f>
        <v>16.9374488591431</v>
      </c>
      <c r="L1501" s="16" t="str">
        <f aca="false">IF(OR(D1501="",E1501=""),"edge hidden",IF(AND(H1501&gt;=D1501-0.02,H1501&lt;=E1501+0.02),"yes","no"))</f>
        <v>yes</v>
      </c>
    </row>
    <row r="1502" customFormat="false" ht="15" hidden="false" customHeight="false" outlineLevel="0" collapsed="false">
      <c r="A1502" s="9" t="n">
        <v>45982</v>
      </c>
      <c r="B1502" s="10" t="n">
        <v>26068.15</v>
      </c>
      <c r="C1502" s="11" t="n">
        <v>21.4021</v>
      </c>
      <c r="D1502" s="11" t="n">
        <v>21.2821</v>
      </c>
      <c r="E1502" s="11" t="n">
        <v>21.5222</v>
      </c>
      <c r="F1502" s="12" t="n">
        <f aca="false">IF(C1502="","",B1502/C1502)</f>
        <v>1218.01832530453</v>
      </c>
      <c r="G1502" s="12" t="n">
        <f aca="false">MEDIAN(F1492:F1512)</f>
        <v>1219.9485072737</v>
      </c>
      <c r="H1502" s="13" t="n">
        <f aca="false">B1502/G1502</f>
        <v>21.3682379580563</v>
      </c>
      <c r="I1502" s="14" t="n">
        <f aca="false">B1502/Summary!$C$8*100</f>
        <v>261.227465402692</v>
      </c>
      <c r="J1502" s="14" t="n">
        <f aca="false">G1502/Summary!$E$8*100</f>
        <v>207.337353428651</v>
      </c>
      <c r="K1502" s="15" t="n">
        <f aca="false">Summary!$D$9</f>
        <v>16.9374488591431</v>
      </c>
      <c r="L1502" s="16" t="str">
        <f aca="false">IF(OR(D1502="",E1502=""),"edge hidden",IF(AND(H1502&gt;=D1502-0.02,H1502&lt;=E1502+0.02),"yes","no"))</f>
        <v>yes</v>
      </c>
    </row>
    <row r="1503" customFormat="false" ht="15" hidden="false" customHeight="false" outlineLevel="0" collapsed="false">
      <c r="A1503" s="9" t="n">
        <v>45985</v>
      </c>
      <c r="B1503" s="10" t="n">
        <v>25959.5</v>
      </c>
      <c r="C1503" s="11" t="n">
        <v>21.3943</v>
      </c>
      <c r="D1503" s="11" t="n">
        <v>21.2663</v>
      </c>
      <c r="E1503" s="11" t="n">
        <v>21.5222</v>
      </c>
      <c r="F1503" s="12" t="n">
        <f aca="false">IF(C1503="","",B1503/C1503)</f>
        <v>1213.38393871265</v>
      </c>
      <c r="G1503" s="12" t="n">
        <f aca="false">MEDIAN(F1493:F1513)</f>
        <v>1220.86435128837</v>
      </c>
      <c r="H1503" s="13" t="n">
        <f aca="false">B1503/G1503</f>
        <v>21.2632140275086</v>
      </c>
      <c r="I1503" s="14" t="n">
        <f aca="false">B1503/Summary!$C$8*100</f>
        <v>260.138689861811</v>
      </c>
      <c r="J1503" s="14" t="n">
        <f aca="false">G1503/Summary!$E$8*100</f>
        <v>207.493006452547</v>
      </c>
      <c r="K1503" s="15" t="n">
        <f aca="false">Summary!$D$9</f>
        <v>16.9374488591431</v>
      </c>
      <c r="L1503" s="16" t="str">
        <f aca="false">IF(OR(D1503="",E1503=""),"edge hidden",IF(AND(H1503&gt;=D1503-0.02,H1503&lt;=E1503+0.02),"yes","no"))</f>
        <v>yes</v>
      </c>
    </row>
    <row r="1504" customFormat="false" ht="15" hidden="false" customHeight="false" outlineLevel="0" collapsed="false">
      <c r="A1504" s="9" t="n">
        <v>45986</v>
      </c>
      <c r="B1504" s="10" t="n">
        <v>25884.8</v>
      </c>
      <c r="C1504" s="11" t="n">
        <v>21.3982</v>
      </c>
      <c r="D1504" s="11" t="n">
        <v>21.2742</v>
      </c>
      <c r="E1504" s="11" t="n">
        <v>21.5222</v>
      </c>
      <c r="F1504" s="12" t="n">
        <f aca="false">IF(C1504="","",B1504/C1504)</f>
        <v>1209.67184155677</v>
      </c>
      <c r="G1504" s="12" t="n">
        <f aca="false">MEDIAN(F1494:F1514)</f>
        <v>1220.86435128837</v>
      </c>
      <c r="H1504" s="13" t="n">
        <f aca="false">B1504/G1504</f>
        <v>21.2020278687669</v>
      </c>
      <c r="I1504" s="14" t="n">
        <f aca="false">B1504/Summary!$C$8*100</f>
        <v>259.390125362007</v>
      </c>
      <c r="J1504" s="14" t="n">
        <f aca="false">G1504/Summary!$E$8*100</f>
        <v>207.493006452547</v>
      </c>
      <c r="K1504" s="15" t="n">
        <f aca="false">Summary!$D$9</f>
        <v>16.9374488591431</v>
      </c>
      <c r="L1504" s="16" t="str">
        <f aca="false">IF(OR(D1504="",E1504=""),"edge hidden",IF(AND(H1504&gt;=D1504-0.02,H1504&lt;=E1504+0.02),"yes","no"))</f>
        <v>no</v>
      </c>
    </row>
    <row r="1505" customFormat="false" ht="15" hidden="false" customHeight="false" outlineLevel="0" collapsed="false">
      <c r="A1505" s="9" t="n">
        <v>45987</v>
      </c>
      <c r="B1505" s="10" t="n">
        <v>26205.3</v>
      </c>
      <c r="C1505" s="11" t="n">
        <v>21.3982</v>
      </c>
      <c r="D1505" s="11" t="n">
        <v>21.2742</v>
      </c>
      <c r="E1505" s="11" t="n">
        <v>21.5222</v>
      </c>
      <c r="F1505" s="12" t="n">
        <f aca="false">IF(C1505="","",B1505/C1505)</f>
        <v>1224.64973689376</v>
      </c>
      <c r="G1505" s="12" t="n">
        <f aca="false">MEDIAN(F1495:F1515)</f>
        <v>1219.9485072737</v>
      </c>
      <c r="H1505" s="13" t="n">
        <f aca="false">B1505/G1505</f>
        <v>21.4806607358886</v>
      </c>
      <c r="I1505" s="14" t="n">
        <f aca="false">B1505/Summary!$C$8*100</f>
        <v>262.601837841088</v>
      </c>
      <c r="J1505" s="14" t="n">
        <f aca="false">G1505/Summary!$E$8*100</f>
        <v>207.337353428651</v>
      </c>
      <c r="K1505" s="15" t="n">
        <f aca="false">Summary!$D$9</f>
        <v>16.9374488591431</v>
      </c>
      <c r="L1505" s="16" t="str">
        <f aca="false">IF(OR(D1505="",E1505=""),"edge hidden",IF(AND(H1505&gt;=D1505-0.02,H1505&lt;=E1505+0.02),"yes","no"))</f>
        <v>yes</v>
      </c>
    </row>
    <row r="1506" customFormat="false" ht="15" hidden="false" customHeight="false" outlineLevel="0" collapsed="false">
      <c r="A1506" s="9" t="n">
        <v>45988</v>
      </c>
      <c r="B1506" s="10" t="n">
        <v>26215.55</v>
      </c>
      <c r="C1506" s="11" t="n">
        <v>21.4021</v>
      </c>
      <c r="D1506" s="11" t="n">
        <v>21.2899</v>
      </c>
      <c r="E1506" s="11" t="n">
        <v>21.5143</v>
      </c>
      <c r="F1506" s="12" t="n">
        <f aca="false">IF(C1506="","",B1506/C1506)</f>
        <v>1224.90549992758</v>
      </c>
      <c r="G1506" s="12" t="n">
        <f aca="false">MEDIAN(F1496:F1516)</f>
        <v>1219.9485072737</v>
      </c>
      <c r="H1506" s="13" t="n">
        <f aca="false">B1506/G1506</f>
        <v>21.4890627298571</v>
      </c>
      <c r="I1506" s="14" t="n">
        <f aca="false">B1506/Summary!$C$8*100</f>
        <v>262.704552514756</v>
      </c>
      <c r="J1506" s="14" t="n">
        <f aca="false">G1506/Summary!$E$8*100</f>
        <v>207.337353428651</v>
      </c>
      <c r="K1506" s="15" t="n">
        <f aca="false">Summary!$D$9</f>
        <v>16.9374488591431</v>
      </c>
      <c r="L1506" s="16" t="str">
        <f aca="false">IF(OR(D1506="",E1506=""),"edge hidden",IF(AND(H1506&gt;=D1506-0.02,H1506&lt;=E1506+0.02),"yes","no"))</f>
        <v>yes</v>
      </c>
    </row>
    <row r="1507" customFormat="false" ht="15" hidden="false" customHeight="false" outlineLevel="0" collapsed="false">
      <c r="A1507" s="9" t="n">
        <v>45989</v>
      </c>
      <c r="B1507" s="10" t="n">
        <v>26202.95</v>
      </c>
      <c r="C1507" s="11" t="n">
        <v>21.41</v>
      </c>
      <c r="D1507" s="11" t="n">
        <v>21.3057</v>
      </c>
      <c r="E1507" s="11" t="n">
        <v>21.5143</v>
      </c>
      <c r="F1507" s="12" t="n">
        <f aca="false">IF(C1507="","",B1507/C1507)</f>
        <v>1223.8650163475</v>
      </c>
      <c r="G1507" s="12" t="n">
        <f aca="false">MEDIAN(F1497:F1517)</f>
        <v>1219.9485072737</v>
      </c>
      <c r="H1507" s="13" t="n">
        <f aca="false">B1507/G1507</f>
        <v>21.4787344250763</v>
      </c>
      <c r="I1507" s="14" t="n">
        <f aca="false">B1507/Summary!$C$8*100</f>
        <v>262.578288623223</v>
      </c>
      <c r="J1507" s="14" t="n">
        <f aca="false">G1507/Summary!$E$8*100</f>
        <v>207.337353428651</v>
      </c>
      <c r="K1507" s="15" t="n">
        <f aca="false">Summary!$D$9</f>
        <v>16.9374488591431</v>
      </c>
      <c r="L1507" s="16" t="str">
        <f aca="false">IF(OR(D1507="",E1507=""),"edge hidden",IF(AND(H1507&gt;=D1507-0.02,H1507&lt;=E1507+0.02),"yes","no"))</f>
        <v>yes</v>
      </c>
    </row>
    <row r="1508" customFormat="false" ht="15" hidden="false" customHeight="false" outlineLevel="0" collapsed="false">
      <c r="A1508" s="9" t="n">
        <v>45992</v>
      </c>
      <c r="B1508" s="10" t="n">
        <v>26175.75</v>
      </c>
      <c r="C1508" s="11" t="n">
        <v>21.3943</v>
      </c>
      <c r="D1508" s="11" t="n">
        <v>21.3057</v>
      </c>
      <c r="E1508" s="11" t="n">
        <v>21.4828</v>
      </c>
      <c r="F1508" s="12" t="n">
        <f aca="false">IF(C1508="","",B1508/C1508)</f>
        <v>1223.4917711727</v>
      </c>
      <c r="G1508" s="12" t="n">
        <f aca="false">MEDIAN(F1498:F1518)</f>
        <v>1219.9485072737</v>
      </c>
      <c r="H1508" s="13" t="n">
        <f aca="false">B1508/G1508</f>
        <v>21.4564384020574</v>
      </c>
      <c r="I1508" s="14" t="n">
        <f aca="false">B1508/Summary!$C$8*100</f>
        <v>262.305718952611</v>
      </c>
      <c r="J1508" s="14" t="n">
        <f aca="false">G1508/Summary!$E$8*100</f>
        <v>207.337353428651</v>
      </c>
      <c r="K1508" s="15" t="n">
        <f aca="false">Summary!$D$9</f>
        <v>16.9374488591431</v>
      </c>
      <c r="L1508" s="16" t="str">
        <f aca="false">IF(OR(D1508="",E1508=""),"edge hidden",IF(AND(H1508&gt;=D1508-0.02,H1508&lt;=E1508+0.02),"yes","no"))</f>
        <v>yes</v>
      </c>
    </row>
    <row r="1509" customFormat="false" ht="15" hidden="false" customHeight="false" outlineLevel="0" collapsed="false">
      <c r="A1509" s="9" t="n">
        <v>45993</v>
      </c>
      <c r="B1509" s="10" t="n">
        <v>26032.2</v>
      </c>
      <c r="C1509" s="11" t="n">
        <v>21.3746</v>
      </c>
      <c r="D1509" s="11" t="n">
        <v>21.2978</v>
      </c>
      <c r="E1509" s="11" t="n">
        <v>21.4513</v>
      </c>
      <c r="F1509" s="12" t="n">
        <f aca="false">IF(C1509="","",B1509/C1509)</f>
        <v>1217.90349293086</v>
      </c>
      <c r="G1509" s="12" t="n">
        <f aca="false">MEDIAN(F1499:F1519)</f>
        <v>1222.20783684154</v>
      </c>
      <c r="H1509" s="13" t="n">
        <f aca="false">B1509/G1509</f>
        <v>21.299323417262</v>
      </c>
      <c r="I1509" s="14" t="n">
        <f aca="false">B1509/Summary!$C$8*100</f>
        <v>260.867212474071</v>
      </c>
      <c r="J1509" s="14" t="n">
        <f aca="false">G1509/Summary!$E$8*100</f>
        <v>207.721339646368</v>
      </c>
      <c r="K1509" s="15" t="n">
        <f aca="false">Summary!$D$9</f>
        <v>16.9374488591431</v>
      </c>
      <c r="L1509" s="16" t="str">
        <f aca="false">IF(OR(D1509="",E1509=""),"edge hidden",IF(AND(H1509&gt;=D1509-0.02,H1509&lt;=E1509+0.02),"yes","no"))</f>
        <v>yes</v>
      </c>
    </row>
    <row r="1510" customFormat="false" ht="15" hidden="false" customHeight="false" outlineLevel="0" collapsed="false">
      <c r="A1510" s="9" t="n">
        <v>45994</v>
      </c>
      <c r="B1510" s="10" t="n">
        <v>25986</v>
      </c>
      <c r="C1510" s="11" t="n">
        <v>21.3667</v>
      </c>
      <c r="D1510" s="11" t="n">
        <v>21.2899</v>
      </c>
      <c r="E1510" s="11" t="n">
        <v>21.4435</v>
      </c>
      <c r="F1510" s="12" t="n">
        <f aca="false">IF(C1510="","",B1510/C1510)</f>
        <v>1216.1915504032</v>
      </c>
      <c r="G1510" s="12" t="n">
        <f aca="false">MEDIAN(F1500:F1520)</f>
        <v>1222.20783684154</v>
      </c>
      <c r="H1510" s="13" t="n">
        <f aca="false">B1510/G1510</f>
        <v>21.2615229723561</v>
      </c>
      <c r="I1510" s="14" t="n">
        <f aca="false">B1510/Summary!$C$8*100</f>
        <v>260.404244871782</v>
      </c>
      <c r="J1510" s="14" t="n">
        <f aca="false">G1510/Summary!$E$8*100</f>
        <v>207.721339646368</v>
      </c>
      <c r="K1510" s="15" t="n">
        <f aca="false">Summary!$D$9</f>
        <v>16.9374488591431</v>
      </c>
      <c r="L1510" s="16" t="str">
        <f aca="false">IF(OR(D1510="",E1510=""),"edge hidden",IF(AND(H1510&gt;=D1510-0.02,H1510&lt;=E1510+0.02),"yes","no"))</f>
        <v>no</v>
      </c>
    </row>
    <row r="1511" customFormat="false" ht="15" hidden="false" customHeight="false" outlineLevel="0" collapsed="false">
      <c r="A1511" s="9" t="n">
        <v>45995</v>
      </c>
      <c r="B1511" s="10" t="n">
        <v>26033.75</v>
      </c>
      <c r="C1511" s="11" t="n">
        <v>21.3549</v>
      </c>
      <c r="D1511" s="11" t="n">
        <v>21.2742</v>
      </c>
      <c r="E1511" s="11" t="n">
        <v>21.4356</v>
      </c>
      <c r="F1511" s="12" t="n">
        <f aca="false">IF(C1511="","",B1511/C1511)</f>
        <v>1219.0995977504</v>
      </c>
      <c r="G1511" s="12" t="n">
        <f aca="false">MEDIAN(F1501:F1521)</f>
        <v>1222.20783684154</v>
      </c>
      <c r="H1511" s="13" t="n">
        <f aca="false">B1511/G1511</f>
        <v>21.3005916140066</v>
      </c>
      <c r="I1511" s="14" t="n">
        <f aca="false">B1511/Summary!$C$8*100</f>
        <v>260.882744936918</v>
      </c>
      <c r="J1511" s="14" t="n">
        <f aca="false">G1511/Summary!$E$8*100</f>
        <v>207.721339646368</v>
      </c>
      <c r="K1511" s="15" t="n">
        <f aca="false">Summary!$D$9</f>
        <v>16.9374488591431</v>
      </c>
      <c r="L1511" s="16" t="str">
        <f aca="false">IF(OR(D1511="",E1511=""),"edge hidden",IF(AND(H1511&gt;=D1511-0.02,H1511&lt;=E1511+0.02),"yes","no"))</f>
        <v>yes</v>
      </c>
    </row>
    <row r="1512" customFormat="false" ht="15" hidden="false" customHeight="false" outlineLevel="0" collapsed="false">
      <c r="A1512" s="9" t="n">
        <v>45996</v>
      </c>
      <c r="B1512" s="10" t="n">
        <v>26186.45</v>
      </c>
      <c r="C1512" s="11" t="n">
        <v>21.2919</v>
      </c>
      <c r="D1512" s="11" t="n">
        <v>21.1561</v>
      </c>
      <c r="E1512" s="11" t="n">
        <v>21.4277</v>
      </c>
      <c r="F1512" s="12" t="n">
        <f aca="false">IF(C1512="","",B1512/C1512)</f>
        <v>1229.8784983961</v>
      </c>
      <c r="G1512" s="12" t="n">
        <f aca="false">MEDIAN(F1502:F1522)</f>
        <v>1222.20783684154</v>
      </c>
      <c r="H1512" s="13" t="n">
        <f aca="false">B1512/G1512</f>
        <v>21.4255294481434</v>
      </c>
      <c r="I1512" s="14" t="n">
        <f aca="false">B1512/Summary!$C$8*100</f>
        <v>262.412943050977</v>
      </c>
      <c r="J1512" s="14" t="n">
        <f aca="false">G1512/Summary!$E$8*100</f>
        <v>207.721339646368</v>
      </c>
      <c r="K1512" s="15" t="n">
        <f aca="false">Summary!$D$9</f>
        <v>16.9374488591431</v>
      </c>
      <c r="L1512" s="16" t="str">
        <f aca="false">IF(OR(D1512="",E1512=""),"edge hidden",IF(AND(H1512&gt;=D1512-0.02,H1512&lt;=E1512+0.02),"yes","no"))</f>
        <v>yes</v>
      </c>
    </row>
    <row r="1513" customFormat="false" ht="15" hidden="false" customHeight="false" outlineLevel="0" collapsed="false">
      <c r="A1513" s="9" t="n">
        <v>45999</v>
      </c>
      <c r="B1513" s="10" t="n">
        <v>25960.55</v>
      </c>
      <c r="C1513" s="11" t="n">
        <v>21.2407</v>
      </c>
      <c r="D1513" s="11" t="n">
        <v>21.0695</v>
      </c>
      <c r="E1513" s="11" t="n">
        <v>21.412</v>
      </c>
      <c r="F1513" s="12" t="n">
        <f aca="false">IF(C1513="","",B1513/C1513)</f>
        <v>1222.20783684154</v>
      </c>
      <c r="G1513" s="12" t="n">
        <f aca="false">MEDIAN(F1503:F1523)</f>
        <v>1223.14506936331</v>
      </c>
      <c r="H1513" s="13" t="n">
        <f aca="false">B1513/G1513</f>
        <v>21.2244243550876</v>
      </c>
      <c r="I1513" s="14" t="n">
        <f aca="false">B1513/Summary!$C$8*100</f>
        <v>260.149211852772</v>
      </c>
      <c r="J1513" s="14" t="n">
        <f aca="false">G1513/Summary!$E$8*100</f>
        <v>207.880627771608</v>
      </c>
      <c r="K1513" s="15" t="n">
        <f aca="false">Summary!$D$9</f>
        <v>16.9374488591431</v>
      </c>
      <c r="L1513" s="16" t="str">
        <f aca="false">IF(OR(D1513="",E1513=""),"edge hidden",IF(AND(H1513&gt;=D1513-0.02,H1513&lt;=E1513+0.02),"yes","no"))</f>
        <v>yes</v>
      </c>
    </row>
    <row r="1514" customFormat="false" ht="15" hidden="false" customHeight="false" outlineLevel="0" collapsed="false">
      <c r="A1514" s="9" t="n">
        <v>46000</v>
      </c>
      <c r="B1514" s="10" t="n">
        <v>25839.65</v>
      </c>
      <c r="C1514" s="11" t="n">
        <v>21.2289</v>
      </c>
      <c r="D1514" s="11" t="n">
        <v>21.0616</v>
      </c>
      <c r="E1514" s="11" t="n">
        <v>21.3962</v>
      </c>
      <c r="F1514" s="12" t="n">
        <f aca="false">IF(C1514="","",B1514/C1514)</f>
        <v>1217.19212959692</v>
      </c>
      <c r="G1514" s="12" t="n">
        <f aca="false">MEDIAN(F1504:F1524)</f>
        <v>1223.36666682412</v>
      </c>
      <c r="H1514" s="13" t="n">
        <f aca="false">B1514/G1514</f>
        <v>21.121754172917</v>
      </c>
      <c r="I1514" s="14" t="n">
        <f aca="false">B1514/Summary!$C$8*100</f>
        <v>258.937679750679</v>
      </c>
      <c r="J1514" s="14" t="n">
        <f aca="false">G1514/Summary!$E$8*100</f>
        <v>207.918289550591</v>
      </c>
      <c r="K1514" s="15" t="n">
        <f aca="false">Summary!$D$9</f>
        <v>16.9374488591431</v>
      </c>
      <c r="L1514" s="16" t="str">
        <f aca="false">IF(OR(D1514="",E1514=""),"edge hidden",IF(AND(H1514&gt;=D1514-0.02,H1514&lt;=E1514+0.02),"yes","no"))</f>
        <v>yes</v>
      </c>
    </row>
    <row r="1515" customFormat="false" ht="15" hidden="false" customHeight="false" outlineLevel="0" collapsed="false">
      <c r="A1515" s="9" t="n">
        <v>46001</v>
      </c>
      <c r="B1515" s="10" t="n">
        <v>25758</v>
      </c>
      <c r="C1515" s="11" t="n">
        <v>21.1974</v>
      </c>
      <c r="D1515" s="11" t="n">
        <v>21.0616</v>
      </c>
      <c r="E1515" s="11" t="n">
        <v>21.3332</v>
      </c>
      <c r="F1515" s="12" t="n">
        <f aca="false">IF(C1515="","",B1515/C1515)</f>
        <v>1215.14902771095</v>
      </c>
      <c r="G1515" s="12" t="n">
        <f aca="false">MEDIAN(F1505:F1525)</f>
        <v>1223.4917711727</v>
      </c>
      <c r="H1515" s="13" t="n">
        <f aca="false">B1515/G1515</f>
        <v>21.0528592074726</v>
      </c>
      <c r="I1515" s="14" t="n">
        <f aca="false">B1515/Summary!$C$8*100</f>
        <v>258.119469691656</v>
      </c>
      <c r="J1515" s="14" t="n">
        <f aca="false">G1515/Summary!$E$8*100</f>
        <v>207.939551763201</v>
      </c>
      <c r="K1515" s="15" t="n">
        <f aca="false">Summary!$D$9</f>
        <v>16.9374488591431</v>
      </c>
      <c r="L1515" s="16" t="str">
        <f aca="false">IF(OR(D1515="",E1515=""),"edge hidden",IF(AND(H1515&gt;=D1515-0.02,H1515&lt;=E1515+0.02),"yes","no"))</f>
        <v>yes</v>
      </c>
    </row>
    <row r="1516" customFormat="false" ht="15" hidden="false" customHeight="false" outlineLevel="0" collapsed="false">
      <c r="A1516" s="9" t="n">
        <v>46002</v>
      </c>
      <c r="B1516" s="10" t="n">
        <v>25898.55</v>
      </c>
      <c r="C1516" s="11" t="n">
        <v>21.1699</v>
      </c>
      <c r="D1516" s="11" t="n">
        <v>21.0695</v>
      </c>
      <c r="E1516" s="11" t="n">
        <v>21.2702</v>
      </c>
      <c r="F1516" s="12" t="n">
        <f aca="false">IF(C1516="","",B1516/C1516)</f>
        <v>1223.36666682412</v>
      </c>
      <c r="G1516" s="12" t="n">
        <f aca="false">MEDIAN(F1506:F1526)</f>
        <v>1223.4917711727</v>
      </c>
      <c r="H1516" s="13" t="n">
        <f aca="false">B1516/G1516</f>
        <v>21.1677353376694</v>
      </c>
      <c r="I1516" s="14" t="n">
        <f aca="false">B1516/Summary!$C$8*100</f>
        <v>259.527913338878</v>
      </c>
      <c r="J1516" s="14" t="n">
        <f aca="false">G1516/Summary!$E$8*100</f>
        <v>207.939551763201</v>
      </c>
      <c r="K1516" s="15" t="n">
        <f aca="false">Summary!$D$9</f>
        <v>16.9374488591431</v>
      </c>
      <c r="L1516" s="16" t="str">
        <f aca="false">IF(OR(D1516="",E1516=""),"edge hidden",IF(AND(H1516&gt;=D1516-0.02,H1516&lt;=E1516+0.02),"yes","no"))</f>
        <v>yes</v>
      </c>
    </row>
    <row r="1517" customFormat="false" ht="15" hidden="false" customHeight="false" outlineLevel="0" collapsed="false">
      <c r="A1517" s="9" t="n">
        <v>46003</v>
      </c>
      <c r="B1517" s="10" t="n">
        <v>26046.95</v>
      </c>
      <c r="C1517" s="11" t="n">
        <v>21.1659</v>
      </c>
      <c r="D1517" s="11" t="n">
        <v>21.0695</v>
      </c>
      <c r="E1517" s="11" t="n">
        <v>21.2624</v>
      </c>
      <c r="F1517" s="12" t="n">
        <f aca="false">IF(C1517="","",B1517/C1517)</f>
        <v>1230.60914017358</v>
      </c>
      <c r="G1517" s="12" t="n">
        <f aca="false">MEDIAN(F1507:F1527)</f>
        <v>1223.4917711727</v>
      </c>
      <c r="H1517" s="13" t="n">
        <f aca="false">B1517/G1517</f>
        <v>21.2890275306343</v>
      </c>
      <c r="I1517" s="14" t="n">
        <f aca="false">B1517/Summary!$C$8*100</f>
        <v>261.015021394715</v>
      </c>
      <c r="J1517" s="14" t="n">
        <f aca="false">G1517/Summary!$E$8*100</f>
        <v>207.939551763201</v>
      </c>
      <c r="K1517" s="15" t="n">
        <f aca="false">Summary!$D$9</f>
        <v>16.9374488591431</v>
      </c>
      <c r="L1517" s="16" t="str">
        <f aca="false">IF(OR(D1517="",E1517=""),"edge hidden",IF(AND(H1517&gt;=D1517-0.02,H1517&lt;=E1517+0.02),"yes","no"))</f>
        <v>no</v>
      </c>
    </row>
    <row r="1518" customFormat="false" ht="15" hidden="false" customHeight="false" outlineLevel="0" collapsed="false">
      <c r="A1518" s="9" t="n">
        <v>46006</v>
      </c>
      <c r="B1518" s="10" t="n">
        <v>26027.3</v>
      </c>
      <c r="C1518" s="11" t="n">
        <v>21.1502</v>
      </c>
      <c r="D1518" s="11" t="n">
        <v>21.0537</v>
      </c>
      <c r="E1518" s="11" t="n">
        <v>21.2466</v>
      </c>
      <c r="F1518" s="12" t="n">
        <f aca="false">IF(C1518="","",B1518/C1518)</f>
        <v>1230.59356412705</v>
      </c>
      <c r="G1518" s="12" t="n">
        <f aca="false">MEDIAN(F1508:F1528)</f>
        <v>1223.4917711727</v>
      </c>
      <c r="H1518" s="13" t="n">
        <f aca="false">B1518/G1518</f>
        <v>21.2729669403933</v>
      </c>
      <c r="I1518" s="14" t="n">
        <f aca="false">B1518/Summary!$C$8*100</f>
        <v>260.818109849586</v>
      </c>
      <c r="J1518" s="14" t="n">
        <f aca="false">G1518/Summary!$E$8*100</f>
        <v>207.939551763201</v>
      </c>
      <c r="K1518" s="15" t="n">
        <f aca="false">Summary!$D$9</f>
        <v>16.9374488591431</v>
      </c>
      <c r="L1518" s="16" t="str">
        <f aca="false">IF(OR(D1518="",E1518=""),"edge hidden",IF(AND(H1518&gt;=D1518-0.02,H1518&lt;=E1518+0.02),"yes","no"))</f>
        <v>no</v>
      </c>
    </row>
    <row r="1519" customFormat="false" ht="15" hidden="false" customHeight="false" outlineLevel="0" collapsed="false">
      <c r="A1519" s="9" t="n">
        <v>46007</v>
      </c>
      <c r="B1519" s="10" t="n">
        <v>25860.1</v>
      </c>
      <c r="C1519" s="11" t="n">
        <v>21.1423</v>
      </c>
      <c r="D1519" s="11" t="n">
        <v>21.0458</v>
      </c>
      <c r="E1519" s="11" t="n">
        <v>21.2388</v>
      </c>
      <c r="F1519" s="12" t="n">
        <f aca="false">IF(C1519="","",B1519/C1519)</f>
        <v>1223.14506936331</v>
      </c>
      <c r="G1519" s="12" t="n">
        <f aca="false">MEDIAN(F1509:F1529)</f>
        <v>1226.34576693839</v>
      </c>
      <c r="H1519" s="13" t="n">
        <f aca="false">B1519/G1519</f>
        <v>21.0871197154785</v>
      </c>
      <c r="I1519" s="14" t="n">
        <f aca="false">B1519/Summary!$C$8*100</f>
        <v>259.142608050826</v>
      </c>
      <c r="J1519" s="14" t="n">
        <f aca="false">G1519/Summary!$E$8*100</f>
        <v>208.424604964403</v>
      </c>
      <c r="K1519" s="15" t="n">
        <f aca="false">Summary!$D$9</f>
        <v>16.9374488591431</v>
      </c>
      <c r="L1519" s="16" t="str">
        <f aca="false">IF(OR(D1519="",E1519=""),"edge hidden",IF(AND(H1519&gt;=D1519-0.02,H1519&lt;=E1519+0.02),"yes","no"))</f>
        <v>yes</v>
      </c>
    </row>
    <row r="1520" customFormat="false" ht="15" hidden="false" customHeight="false" outlineLevel="0" collapsed="false">
      <c r="A1520" s="9" t="n">
        <v>46008</v>
      </c>
      <c r="B1520" s="10" t="n">
        <v>25818.55</v>
      </c>
      <c r="C1520" s="11" t="n">
        <v>21.1423</v>
      </c>
      <c r="D1520" s="11" t="n">
        <v>21.0458</v>
      </c>
      <c r="E1520" s="11" t="n">
        <v>21.2388</v>
      </c>
      <c r="F1520" s="12" t="n">
        <f aca="false">IF(C1520="","",B1520/C1520)</f>
        <v>1221.1798148735</v>
      </c>
      <c r="G1520" s="12" t="n">
        <f aca="false">MEDIAN(F1510:F1530)</f>
        <v>1226.86982967794</v>
      </c>
      <c r="H1520" s="13" t="n">
        <f aca="false">B1520/G1520</f>
        <v>21.0442455877959</v>
      </c>
      <c r="I1520" s="14" t="n">
        <f aca="false">B1520/Summary!$C$8*100</f>
        <v>258.726237837079</v>
      </c>
      <c r="J1520" s="14" t="n">
        <f aca="false">G1520/Summary!$E$8*100</f>
        <v>208.513672478977</v>
      </c>
      <c r="K1520" s="15" t="n">
        <f aca="false">Summary!$D$9</f>
        <v>16.9374488591431</v>
      </c>
      <c r="L1520" s="16" t="str">
        <f aca="false">IF(OR(D1520="",E1520=""),"edge hidden",IF(AND(H1520&gt;=D1520-0.02,H1520&lt;=E1520+0.02),"yes","no"))</f>
        <v>yes</v>
      </c>
    </row>
    <row r="1521" customFormat="false" ht="15" hidden="false" customHeight="false" outlineLevel="0" collapsed="false">
      <c r="A1521" s="9" t="n">
        <v>46009</v>
      </c>
      <c r="B1521" s="10" t="n">
        <v>25815.55</v>
      </c>
      <c r="C1521" s="11" t="n">
        <v>21.1541</v>
      </c>
      <c r="D1521" s="11" t="n">
        <v>21.0537</v>
      </c>
      <c r="E1521" s="11" t="n">
        <v>21.2545</v>
      </c>
      <c r="F1521" s="12" t="n">
        <f aca="false">IF(C1521="","",B1521/C1521)</f>
        <v>1220.35681026373</v>
      </c>
      <c r="G1521" s="12" t="n">
        <f aca="false">MEDIAN(F1511:F1531)</f>
        <v>1227.70876221575</v>
      </c>
      <c r="H1521" s="13" t="n">
        <f aca="false">B1521/G1521</f>
        <v>21.0274218076023</v>
      </c>
      <c r="I1521" s="14" t="n">
        <f aca="false">B1521/Summary!$C$8*100</f>
        <v>258.696175005762</v>
      </c>
      <c r="J1521" s="14" t="n">
        <f aca="false">G1521/Summary!$E$8*100</f>
        <v>208.656253949471</v>
      </c>
      <c r="K1521" s="15" t="n">
        <f aca="false">Summary!$D$9</f>
        <v>16.9374488591431</v>
      </c>
      <c r="L1521" s="16" t="str">
        <f aca="false">IF(OR(D1521="",E1521=""),"edge hidden",IF(AND(H1521&gt;=D1521-0.02,H1521&lt;=E1521+0.02),"yes","no"))</f>
        <v>no</v>
      </c>
    </row>
    <row r="1522" customFormat="false" ht="15" hidden="false" customHeight="false" outlineLevel="0" collapsed="false">
      <c r="A1522" s="9" t="n">
        <v>46010</v>
      </c>
      <c r="B1522" s="10" t="n">
        <v>25966.4</v>
      </c>
      <c r="C1522" s="11" t="n">
        <v>21.1738</v>
      </c>
      <c r="D1522" s="11" t="n">
        <v>21.0616</v>
      </c>
      <c r="E1522" s="11" t="n">
        <v>21.286</v>
      </c>
      <c r="F1522" s="12" t="n">
        <f aca="false">IF(C1522="","",B1522/C1522)</f>
        <v>1226.34576693839</v>
      </c>
      <c r="G1522" s="12" t="n">
        <f aca="false">MEDIAN(F1512:F1532)</f>
        <v>1229.8784983961</v>
      </c>
      <c r="H1522" s="13" t="n">
        <f aca="false">B1522/G1522</f>
        <v>21.1129798869263</v>
      </c>
      <c r="I1522" s="14" t="n">
        <f aca="false">B1522/Summary!$C$8*100</f>
        <v>260.207834373841</v>
      </c>
      <c r="J1522" s="14" t="n">
        <f aca="false">G1522/Summary!$E$8*100</f>
        <v>209.02501324922</v>
      </c>
      <c r="K1522" s="15" t="n">
        <f aca="false">Summary!$D$9</f>
        <v>16.9374488591431</v>
      </c>
      <c r="L1522" s="16" t="str">
        <f aca="false">IF(OR(D1522="",E1522=""),"edge hidden",IF(AND(H1522&gt;=D1522-0.02,H1522&lt;=E1522+0.02),"yes","no"))</f>
        <v>yes</v>
      </c>
    </row>
    <row r="1523" customFormat="false" ht="15" hidden="false" customHeight="false" outlineLevel="0" collapsed="false">
      <c r="A1523" s="9" t="n">
        <v>46013</v>
      </c>
      <c r="B1523" s="10" t="n">
        <v>26172.4</v>
      </c>
      <c r="C1523" s="11" t="n">
        <v>21.2171</v>
      </c>
      <c r="D1523" s="11" t="n">
        <v>21.1403</v>
      </c>
      <c r="E1523" s="11" t="n">
        <v>21.2939</v>
      </c>
      <c r="F1523" s="12" t="n">
        <f aca="false">IF(C1523="","",B1523/C1523)</f>
        <v>1233.55218196643</v>
      </c>
      <c r="G1523" s="12" t="n">
        <f aca="false">MEDIAN(F1513:F1533)</f>
        <v>1230.59356412705</v>
      </c>
      <c r="H1523" s="13" t="n">
        <f aca="false">B1523/G1523</f>
        <v>21.2681105792764</v>
      </c>
      <c r="I1523" s="14" t="n">
        <f aca="false">B1523/Summary!$C$8*100</f>
        <v>262.272148790973</v>
      </c>
      <c r="J1523" s="14" t="n">
        <f aca="false">G1523/Summary!$E$8*100</f>
        <v>209.146542834525</v>
      </c>
      <c r="K1523" s="15" t="n">
        <f aca="false">Summary!$D$9</f>
        <v>16.9374488591431</v>
      </c>
      <c r="L1523" s="16" t="str">
        <f aca="false">IF(OR(D1523="",E1523=""),"edge hidden",IF(AND(H1523&gt;=D1523-0.02,H1523&lt;=E1523+0.02),"yes","no"))</f>
        <v>yes</v>
      </c>
    </row>
    <row r="1524" customFormat="false" ht="15" hidden="false" customHeight="false" outlineLevel="0" collapsed="false">
      <c r="A1524" s="9" t="n">
        <v>46014</v>
      </c>
      <c r="B1524" s="10" t="n">
        <v>26177.15</v>
      </c>
      <c r="C1524" s="11" t="n">
        <v>21.2171</v>
      </c>
      <c r="D1524" s="11" t="n">
        <v>21.1482</v>
      </c>
      <c r="E1524" s="11" t="n">
        <v>21.286</v>
      </c>
      <c r="F1524" s="12" t="n">
        <f aca="false">IF(C1524="","",B1524/C1524)</f>
        <v>1233.77605799096</v>
      </c>
      <c r="G1524" s="12" t="n">
        <f aca="false">MEDIAN(F1514:F1534)</f>
        <v>1230.60914017358</v>
      </c>
      <c r="H1524" s="13" t="n">
        <f aca="false">B1524/G1524</f>
        <v>21.271701261952</v>
      </c>
      <c r="I1524" s="14" t="n">
        <f aca="false">B1524/Summary!$C$8*100</f>
        <v>262.319748273892</v>
      </c>
      <c r="J1524" s="14" t="n">
        <f aca="false">G1524/Summary!$E$8*100</f>
        <v>209.149190074343</v>
      </c>
      <c r="K1524" s="15" t="n">
        <f aca="false">Summary!$D$9</f>
        <v>16.9374488591431</v>
      </c>
      <c r="L1524" s="16" t="str">
        <f aca="false">IF(OR(D1524="",E1524=""),"edge hidden",IF(AND(H1524&gt;=D1524-0.02,H1524&lt;=E1524+0.02),"yes","no"))</f>
        <v>yes</v>
      </c>
    </row>
    <row r="1525" customFormat="false" ht="15" hidden="false" customHeight="false" outlineLevel="0" collapsed="false">
      <c r="A1525" s="9" t="n">
        <v>46015</v>
      </c>
      <c r="B1525" s="10" t="n">
        <v>26142.1</v>
      </c>
      <c r="C1525" s="11" t="n">
        <v>21.2013</v>
      </c>
      <c r="D1525" s="11" t="n">
        <v>21.1325</v>
      </c>
      <c r="E1525" s="11" t="n">
        <v>21.2702</v>
      </c>
      <c r="F1525" s="12" t="n">
        <f aca="false">IF(C1525="","",B1525/C1525)</f>
        <v>1233.04231344304</v>
      </c>
      <c r="G1525" s="12" t="n">
        <f aca="false">MEDIAN(F1515:F1535)</f>
        <v>1231.53568962745</v>
      </c>
      <c r="H1525" s="13" t="n">
        <f aca="false">B1525/G1525</f>
        <v>21.2272370343633</v>
      </c>
      <c r="I1525" s="14" t="n">
        <f aca="false">B1525/Summary!$C$8*100</f>
        <v>261.968514194667</v>
      </c>
      <c r="J1525" s="14" t="n">
        <f aca="false">G1525/Summary!$E$8*100</f>
        <v>209.306662549977</v>
      </c>
      <c r="K1525" s="15" t="n">
        <f aca="false">Summary!$D$9</f>
        <v>16.9374488591431</v>
      </c>
      <c r="L1525" s="16" t="str">
        <f aca="false">IF(OR(D1525="",E1525=""),"edge hidden",IF(AND(H1525&gt;=D1525-0.02,H1525&lt;=E1525+0.02),"yes","no"))</f>
        <v>yes</v>
      </c>
    </row>
    <row r="1526" customFormat="false" ht="15" hidden="false" customHeight="false" outlineLevel="0" collapsed="false">
      <c r="A1526" s="9" t="n">
        <v>46017</v>
      </c>
      <c r="B1526" s="10" t="n">
        <v>26042.3</v>
      </c>
      <c r="C1526" s="11" t="n">
        <v>21.1462</v>
      </c>
      <c r="D1526" s="11" t="n">
        <v>21.0458</v>
      </c>
      <c r="E1526" s="11" t="n">
        <v>21.2466</v>
      </c>
      <c r="F1526" s="12" t="n">
        <f aca="false">IF(C1526="","",B1526/C1526)</f>
        <v>1231.53568962745</v>
      </c>
      <c r="G1526" s="12" t="n">
        <f aca="false">MEDIAN(F1516:F1536)</f>
        <v>1231.53568962745</v>
      </c>
      <c r="H1526" s="13" t="n">
        <f aca="false">B1526/G1526</f>
        <v>21.1462</v>
      </c>
      <c r="I1526" s="14" t="n">
        <f aca="false">B1526/Summary!$C$8*100</f>
        <v>260.968424006173</v>
      </c>
      <c r="J1526" s="14" t="n">
        <f aca="false">G1526/Summary!$E$8*100</f>
        <v>209.306662549977</v>
      </c>
      <c r="K1526" s="15" t="n">
        <f aca="false">Summary!$D$9</f>
        <v>16.9374488591431</v>
      </c>
      <c r="L1526" s="16" t="str">
        <f aca="false">IF(OR(D1526="",E1526=""),"edge hidden",IF(AND(H1526&gt;=D1526-0.02,H1526&lt;=E1526+0.02),"yes","no"))</f>
        <v>yes</v>
      </c>
    </row>
    <row r="1527" customFormat="false" ht="15" hidden="false" customHeight="false" outlineLevel="0" collapsed="false">
      <c r="A1527" s="9" t="n">
        <v>46020</v>
      </c>
      <c r="B1527" s="10" t="n">
        <v>25942.1</v>
      </c>
      <c r="C1527" s="11" t="n">
        <v>21.1305</v>
      </c>
      <c r="D1527" s="11" t="n">
        <v>21.0222</v>
      </c>
      <c r="E1527" s="11" t="n">
        <v>21.2388</v>
      </c>
      <c r="F1527" s="12" t="n">
        <f aca="false">IF(C1527="","",B1527/C1527)</f>
        <v>1227.70876221575</v>
      </c>
      <c r="G1527" s="12" t="n">
        <f aca="false">MEDIAN(F1517:F1537)</f>
        <v>1233.04231344304</v>
      </c>
      <c r="H1527" s="13" t="n">
        <f aca="false">B1527/G1527</f>
        <v>21.0390995646868</v>
      </c>
      <c r="I1527" s="14" t="n">
        <f aca="false">B1527/Summary!$C$8*100</f>
        <v>259.96432544017</v>
      </c>
      <c r="J1527" s="14" t="n">
        <f aca="false">G1527/Summary!$E$8*100</f>
        <v>209.562722041566</v>
      </c>
      <c r="K1527" s="15" t="n">
        <f aca="false">Summary!$D$9</f>
        <v>16.9374488591431</v>
      </c>
      <c r="L1527" s="16" t="str">
        <f aca="false">IF(OR(D1527="",E1527=""),"edge hidden",IF(AND(H1527&gt;=D1527-0.02,H1527&lt;=E1527+0.02),"yes","no"))</f>
        <v>yes</v>
      </c>
    </row>
    <row r="1528" customFormat="false" ht="15" hidden="false" customHeight="false" outlineLevel="0" collapsed="false">
      <c r="A1528" s="9" t="n">
        <v>46021</v>
      </c>
      <c r="B1528" s="10" t="n">
        <v>25938.85</v>
      </c>
      <c r="C1528" s="11" t="n">
        <v>21.1423</v>
      </c>
      <c r="D1528" s="11" t="n">
        <v>21.0222</v>
      </c>
      <c r="E1528" s="11" t="n">
        <v>21.2624</v>
      </c>
      <c r="F1528" s="12" t="n">
        <f aca="false">IF(C1528="","",B1528/C1528)</f>
        <v>1226.86982967794</v>
      </c>
      <c r="G1528" s="12" t="n">
        <f aca="false">MEDIAN(F1518:F1538)</f>
        <v>1233.55218196643</v>
      </c>
      <c r="H1528" s="13" t="n">
        <f aca="false">B1528/G1528</f>
        <v>21.0277687309914</v>
      </c>
      <c r="I1528" s="14" t="n">
        <f aca="false">B1528/Summary!$C$8*100</f>
        <v>259.931757372909</v>
      </c>
      <c r="J1528" s="14" t="n">
        <f aca="false">G1528/Summary!$E$8*100</f>
        <v>209.649377166439</v>
      </c>
      <c r="K1528" s="15" t="n">
        <f aca="false">Summary!$D$9</f>
        <v>16.9374488591431</v>
      </c>
      <c r="L1528" s="16" t="str">
        <f aca="false">IF(OR(D1528="",E1528=""),"edge hidden",IF(AND(H1528&gt;=D1528-0.02,H1528&lt;=E1528+0.02),"yes","no"))</f>
        <v>yes</v>
      </c>
    </row>
    <row r="1529" customFormat="false" ht="15" hidden="false" customHeight="false" outlineLevel="0" collapsed="false">
      <c r="A1529" s="9" t="n">
        <v>46022</v>
      </c>
      <c r="B1529" s="10" t="n">
        <v>26129.6</v>
      </c>
      <c r="C1529" s="11" t="n">
        <v>21.1502</v>
      </c>
      <c r="D1529" s="11" t="n">
        <v>21.0301</v>
      </c>
      <c r="E1529" s="11" t="n">
        <v>21.2702</v>
      </c>
      <c r="F1529" s="12" t="n">
        <f aca="false">IF(C1529="","",B1529/C1529)</f>
        <v>1235.4303978213</v>
      </c>
      <c r="G1529" s="12" t="n">
        <f aca="false">MEDIAN(F1519:F1539)</f>
        <v>1233.77605799096</v>
      </c>
      <c r="H1529" s="13" t="n">
        <f aca="false">B1529/G1529</f>
        <v>21.178559780572</v>
      </c>
      <c r="I1529" s="14" t="n">
        <f aca="false">B1529/Summary!$C$8*100</f>
        <v>261.843252397511</v>
      </c>
      <c r="J1529" s="14" t="n">
        <f aca="false">G1529/Summary!$E$8*100</f>
        <v>209.687426200595</v>
      </c>
      <c r="K1529" s="15" t="n">
        <f aca="false">Summary!$D$9</f>
        <v>16.9374488591431</v>
      </c>
      <c r="L1529" s="16" t="str">
        <f aca="false">IF(OR(D1529="",E1529=""),"edge hidden",IF(AND(H1529&gt;=D1529-0.02,H1529&lt;=E1529+0.02),"yes","no"))</f>
        <v>yes</v>
      </c>
    </row>
    <row r="1530" customFormat="false" ht="15" hidden="false" customHeight="false" outlineLevel="0" collapsed="false">
      <c r="A1530" s="9" t="n">
        <v>46023</v>
      </c>
      <c r="B1530" s="10" t="n">
        <v>26146.55</v>
      </c>
      <c r="C1530" s="11" t="n">
        <v>21.158</v>
      </c>
      <c r="D1530" s="11" t="n">
        <v>21.038</v>
      </c>
      <c r="E1530" s="11" t="n">
        <v>21.2781</v>
      </c>
      <c r="F1530" s="12" t="n">
        <f aca="false">IF(C1530="","",B1530/C1530)</f>
        <v>1235.77606579072</v>
      </c>
      <c r="G1530" s="12" t="n">
        <f aca="false">MEDIAN(F1520:F1540)</f>
        <v>1234.28221186639</v>
      </c>
      <c r="H1530" s="13" t="n">
        <f aca="false">B1530/G1530</f>
        <v>21.1836075644833</v>
      </c>
      <c r="I1530" s="14" t="n">
        <f aca="false">B1530/Summary!$C$8*100</f>
        <v>262.013107394454</v>
      </c>
      <c r="J1530" s="14" t="n">
        <f aca="false">G1530/Summary!$E$8*100</f>
        <v>209.773449999413</v>
      </c>
      <c r="K1530" s="15" t="n">
        <f aca="false">Summary!$D$9</f>
        <v>16.9374488591431</v>
      </c>
      <c r="L1530" s="16" t="str">
        <f aca="false">IF(OR(D1530="",E1530=""),"edge hidden",IF(AND(H1530&gt;=D1530-0.02,H1530&lt;=E1530+0.02),"yes","no"))</f>
        <v>yes</v>
      </c>
    </row>
    <row r="1531" customFormat="false" ht="15" hidden="false" customHeight="false" outlineLevel="0" collapsed="false">
      <c r="A1531" s="9" t="n">
        <v>46024</v>
      </c>
      <c r="B1531" s="10" t="n">
        <v>26328.55</v>
      </c>
      <c r="C1531" s="11" t="n">
        <v>21.162</v>
      </c>
      <c r="D1531" s="11" t="n">
        <v>21.0458</v>
      </c>
      <c r="E1531" s="11" t="n">
        <v>21.2781</v>
      </c>
      <c r="F1531" s="12" t="n">
        <f aca="false">IF(C1531="","",B1531/C1531)</f>
        <v>1244.1428031377</v>
      </c>
      <c r="G1531" s="12" t="n">
        <f aca="false">MEDIAN(F1521:F1541)</f>
        <v>1235.4303978213</v>
      </c>
      <c r="H1531" s="13" t="n">
        <f aca="false">B1531/G1531</f>
        <v>21.3112369959739</v>
      </c>
      <c r="I1531" s="14" t="n">
        <f aca="false">B1531/Summary!$C$8*100</f>
        <v>263.836919161047</v>
      </c>
      <c r="J1531" s="14" t="n">
        <f aca="false">G1531/Summary!$E$8*100</f>
        <v>209.968590889144</v>
      </c>
      <c r="K1531" s="15" t="n">
        <f aca="false">Summary!$D$9</f>
        <v>16.9374488591431</v>
      </c>
      <c r="L1531" s="16" t="str">
        <f aca="false">IF(OR(D1531="",E1531=""),"edge hidden",IF(AND(H1531&gt;=D1531-0.02,H1531&lt;=E1531+0.02),"yes","no"))</f>
        <v>no</v>
      </c>
    </row>
    <row r="1532" customFormat="false" ht="15" hidden="false" customHeight="false" outlineLevel="0" collapsed="false">
      <c r="A1532" s="9" t="n">
        <v>46027</v>
      </c>
      <c r="B1532" s="10" t="n">
        <v>26250.3</v>
      </c>
      <c r="C1532" s="11" t="n">
        <v>21.0439</v>
      </c>
      <c r="D1532" s="11" t="n">
        <v>20.8175</v>
      </c>
      <c r="E1532" s="11" t="n">
        <v>21.2702</v>
      </c>
      <c r="F1532" s="12" t="n">
        <f aca="false">IF(C1532="","",B1532/C1532)</f>
        <v>1247.40661189228</v>
      </c>
      <c r="G1532" s="12" t="n">
        <f aca="false">MEDIAN(F1522:F1542)</f>
        <v>1235.4303978213</v>
      </c>
      <c r="H1532" s="13" t="n">
        <f aca="false">B1532/G1532</f>
        <v>21.2478987454841</v>
      </c>
      <c r="I1532" s="14" t="n">
        <f aca="false">B1532/Summary!$C$8*100</f>
        <v>263.05278031085</v>
      </c>
      <c r="J1532" s="14" t="n">
        <f aca="false">G1532/Summary!$E$8*100</f>
        <v>209.968590889144</v>
      </c>
      <c r="K1532" s="15" t="n">
        <f aca="false">Summary!$D$9</f>
        <v>16.9374488591431</v>
      </c>
      <c r="L1532" s="16" t="str">
        <f aca="false">IF(OR(D1532="",E1532=""),"edge hidden",IF(AND(H1532&gt;=D1532-0.02,H1532&lt;=E1532+0.02),"yes","no"))</f>
        <v>yes</v>
      </c>
    </row>
    <row r="1533" customFormat="false" ht="15" hidden="false" customHeight="false" outlineLevel="0" collapsed="false">
      <c r="A1533" s="9" t="n">
        <v>46028</v>
      </c>
      <c r="B1533" s="10" t="n">
        <v>26178.7</v>
      </c>
      <c r="C1533" s="11" t="n">
        <v>21.036</v>
      </c>
      <c r="D1533" s="11" t="n">
        <v>20.8017</v>
      </c>
      <c r="E1533" s="11" t="n">
        <v>21.2702</v>
      </c>
      <c r="F1533" s="12" t="n">
        <f aca="false">IF(C1533="","",B1533/C1533)</f>
        <v>1244.47138239209</v>
      </c>
      <c r="G1533" s="12" t="n">
        <f aca="false">MEDIAN(F1523:F1543)</f>
        <v>1235.4303978213</v>
      </c>
      <c r="H1533" s="13" t="n">
        <f aca="false">B1533/G1533</f>
        <v>21.1899432344927</v>
      </c>
      <c r="I1533" s="14" t="n">
        <f aca="false">B1533/Summary!$C$8*100</f>
        <v>262.33528073674</v>
      </c>
      <c r="J1533" s="14" t="n">
        <f aca="false">G1533/Summary!$E$8*100</f>
        <v>209.968590889144</v>
      </c>
      <c r="K1533" s="15" t="n">
        <f aca="false">Summary!$D$9</f>
        <v>16.9374488591431</v>
      </c>
      <c r="L1533" s="16" t="str">
        <f aca="false">IF(OR(D1533="",E1533=""),"edge hidden",IF(AND(H1533&gt;=D1533-0.02,H1533&lt;=E1533+0.02),"yes","no"))</f>
        <v>yes</v>
      </c>
    </row>
    <row r="1534" customFormat="false" ht="15" hidden="false" customHeight="false" outlineLevel="0" collapsed="false">
      <c r="A1534" s="9" t="n">
        <v>46029</v>
      </c>
      <c r="B1534" s="10" t="n">
        <v>26140.75</v>
      </c>
      <c r="C1534" s="11" t="n">
        <v>21.0006</v>
      </c>
      <c r="D1534" s="11" t="n">
        <v>20.786</v>
      </c>
      <c r="E1534" s="11" t="n">
        <v>21.2151</v>
      </c>
      <c r="F1534" s="12" t="n">
        <f aca="false">IF(C1534="","",B1534/C1534)</f>
        <v>1244.76205441749</v>
      </c>
      <c r="G1534" s="12" t="n">
        <f aca="false">MEDIAN(F1524:F1544)</f>
        <v>1235.77606579072</v>
      </c>
      <c r="H1534" s="13" t="n">
        <f aca="false">B1534/G1534</f>
        <v>21.1533065930304</v>
      </c>
      <c r="I1534" s="14" t="n">
        <f aca="false">B1534/Summary!$C$8*100</f>
        <v>261.954985920574</v>
      </c>
      <c r="J1534" s="14" t="n">
        <f aca="false">G1534/Summary!$E$8*100</f>
        <v>210.027339173614</v>
      </c>
      <c r="K1534" s="15" t="n">
        <f aca="false">Summary!$D$9</f>
        <v>16.9374488591431</v>
      </c>
      <c r="L1534" s="16" t="str">
        <f aca="false">IF(OR(D1534="",E1534=""),"edge hidden",IF(AND(H1534&gt;=D1534-0.02,H1534&lt;=E1534+0.02),"yes","no"))</f>
        <v>yes</v>
      </c>
    </row>
    <row r="1535" customFormat="false" ht="15" hidden="false" customHeight="false" outlineLevel="0" collapsed="false">
      <c r="A1535" s="9" t="n">
        <v>46030</v>
      </c>
      <c r="B1535" s="10" t="n">
        <v>25876.85</v>
      </c>
      <c r="C1535" s="11" t="n">
        <v>20.9651</v>
      </c>
      <c r="D1535" s="11" t="n">
        <v>20.7781</v>
      </c>
      <c r="E1535" s="11" t="n">
        <v>21.1521</v>
      </c>
      <c r="F1535" s="12" t="n">
        <f aca="false">IF(C1535="","",B1535/C1535)</f>
        <v>1234.28221186639</v>
      </c>
      <c r="G1535" s="12" t="n">
        <f aca="false">MEDIAN(F1525:F1545)</f>
        <v>1235.77606579072</v>
      </c>
      <c r="H1535" s="13" t="n">
        <f aca="false">B1535/G1535</f>
        <v>20.9397565759154</v>
      </c>
      <c r="I1535" s="14" t="n">
        <f aca="false">B1535/Summary!$C$8*100</f>
        <v>259.310458859015</v>
      </c>
      <c r="J1535" s="14" t="n">
        <f aca="false">G1535/Summary!$E$8*100</f>
        <v>210.027339173614</v>
      </c>
      <c r="K1535" s="15" t="n">
        <f aca="false">Summary!$D$9</f>
        <v>16.9374488591431</v>
      </c>
      <c r="L1535" s="16" t="str">
        <f aca="false">IF(OR(D1535="",E1535=""),"edge hidden",IF(AND(H1535&gt;=D1535-0.02,H1535&lt;=E1535+0.02),"yes","no"))</f>
        <v>yes</v>
      </c>
    </row>
    <row r="1536" customFormat="false" ht="15" hidden="false" customHeight="false" outlineLevel="0" collapsed="false">
      <c r="A1536" s="9" t="n">
        <v>46031</v>
      </c>
      <c r="B1536" s="10" t="n">
        <v>25683.3</v>
      </c>
      <c r="C1536" s="11" t="n">
        <v>20.9454</v>
      </c>
      <c r="D1536" s="11" t="n">
        <v>20.7702</v>
      </c>
      <c r="E1536" s="11" t="n">
        <v>21.1206</v>
      </c>
      <c r="F1536" s="12" t="n">
        <f aca="false">IF(C1536="","",B1536/C1536)</f>
        <v>1226.20241198545</v>
      </c>
      <c r="G1536" s="12" t="n">
        <f aca="false">MEDIAN(F1526:F1546)</f>
        <v>1235.77606579072</v>
      </c>
      <c r="H1536" s="13" t="n">
        <f aca="false">B1536/G1536</f>
        <v>20.7831343485087</v>
      </c>
      <c r="I1536" s="14" t="n">
        <f aca="false">B1536/Summary!$C$8*100</f>
        <v>257.370905191851</v>
      </c>
      <c r="J1536" s="14" t="n">
        <f aca="false">G1536/Summary!$E$8*100</f>
        <v>210.027339173614</v>
      </c>
      <c r="K1536" s="15" t="n">
        <f aca="false">Summary!$D$9</f>
        <v>16.9374488591431</v>
      </c>
      <c r="L1536" s="16" t="str">
        <f aca="false">IF(OR(D1536="",E1536=""),"edge hidden",IF(AND(H1536&gt;=D1536-0.02,H1536&lt;=E1536+0.02),"yes","no"))</f>
        <v>yes</v>
      </c>
    </row>
    <row r="1537" customFormat="false" ht="15" hidden="false" customHeight="false" outlineLevel="0" collapsed="false">
      <c r="A1537" s="9" t="n">
        <v>46034</v>
      </c>
      <c r="B1537" s="10" t="n">
        <v>25790.25</v>
      </c>
      <c r="C1537" s="11" t="n">
        <v>20.784</v>
      </c>
      <c r="D1537" s="11" t="n">
        <v>20.7309</v>
      </c>
      <c r="E1537" s="11" t="n">
        <v>20.8372</v>
      </c>
      <c r="F1537" s="12" t="n">
        <f aca="false">IF(C1537="","",B1537/C1537)</f>
        <v>1240.87038106236</v>
      </c>
      <c r="G1537" s="12" t="n">
        <f aca="false">MEDIAN(F1527:F1547)</f>
        <v>1235.77606579072</v>
      </c>
      <c r="H1537" s="13" t="n">
        <f aca="false">B1537/G1537</f>
        <v>20.8696791546112</v>
      </c>
      <c r="I1537" s="14" t="n">
        <f aca="false">B1537/Summary!$C$8*100</f>
        <v>258.442645128318</v>
      </c>
      <c r="J1537" s="14" t="n">
        <f aca="false">G1537/Summary!$E$8*100</f>
        <v>210.027339173614</v>
      </c>
      <c r="K1537" s="15" t="n">
        <f aca="false">Summary!$D$9</f>
        <v>16.9374488591431</v>
      </c>
      <c r="L1537" s="16" t="str">
        <f aca="false">IF(OR(D1537="",E1537=""),"edge hidden",IF(AND(H1537&gt;=D1537-0.02,H1537&lt;=E1537+0.02),"yes","no"))</f>
        <v>no</v>
      </c>
    </row>
    <row r="1538" customFormat="false" ht="15" hidden="false" customHeight="false" outlineLevel="0" collapsed="false">
      <c r="A1538" s="9" t="n">
        <v>46035</v>
      </c>
      <c r="B1538" s="10" t="n">
        <v>25732.3</v>
      </c>
      <c r="C1538" s="11" t="n">
        <v>20.7683</v>
      </c>
      <c r="D1538" s="11" t="n">
        <v>20.7151</v>
      </c>
      <c r="E1538" s="11" t="n">
        <v>20.8214</v>
      </c>
      <c r="F1538" s="12" t="n">
        <f aca="false">IF(C1538="","",B1538/C1538)</f>
        <v>1239.01811896015</v>
      </c>
      <c r="G1538" s="12" t="n">
        <f aca="false">MEDIAN(F1528:F1548)</f>
        <v>1236.27675767326</v>
      </c>
      <c r="H1538" s="13" t="n">
        <f aca="false">B1538/G1538</f>
        <v>20.8143523206159</v>
      </c>
      <c r="I1538" s="14" t="n">
        <f aca="false">B1538/Summary!$C$8*100</f>
        <v>257.861931436703</v>
      </c>
      <c r="J1538" s="14" t="n">
        <f aca="false">G1538/Summary!$E$8*100</f>
        <v>210.112434674934</v>
      </c>
      <c r="K1538" s="15" t="n">
        <f aca="false">Summary!$D$9</f>
        <v>16.9374488591431</v>
      </c>
      <c r="L1538" s="16" t="str">
        <f aca="false">IF(OR(D1538="",E1538=""),"edge hidden",IF(AND(H1538&gt;=D1538-0.02,H1538&lt;=E1538+0.02),"yes","no"))</f>
        <v>yes</v>
      </c>
    </row>
    <row r="1539" customFormat="false" ht="15" hidden="false" customHeight="false" outlineLevel="0" collapsed="false">
      <c r="A1539" s="9" t="n">
        <v>46036</v>
      </c>
      <c r="B1539" s="10" t="n">
        <v>25665.6</v>
      </c>
      <c r="C1539" s="11" t="n">
        <v>20.7604</v>
      </c>
      <c r="D1539" s="11" t="n">
        <v>20.7073</v>
      </c>
      <c r="E1539" s="11" t="n">
        <v>20.8136</v>
      </c>
      <c r="F1539" s="12" t="n">
        <f aca="false">IF(C1539="","",B1539/C1539)</f>
        <v>1236.27675767326</v>
      </c>
      <c r="G1539" s="12" t="n">
        <f aca="false">MEDIAN(F1529:F1549)</f>
        <v>1236.27675767326</v>
      </c>
      <c r="H1539" s="13" t="n">
        <f aca="false">B1539/G1539</f>
        <v>20.7604</v>
      </c>
      <c r="I1539" s="14" t="n">
        <f aca="false">B1539/Summary!$C$8*100</f>
        <v>257.193534487078</v>
      </c>
      <c r="J1539" s="14" t="n">
        <f aca="false">G1539/Summary!$E$8*100</f>
        <v>210.112434674934</v>
      </c>
      <c r="K1539" s="15" t="n">
        <f aca="false">Summary!$D$9</f>
        <v>16.9374488591431</v>
      </c>
      <c r="L1539" s="16" t="str">
        <f aca="false">IF(OR(D1539="",E1539=""),"edge hidden",IF(AND(H1539&gt;=D1539-0.02,H1539&lt;=E1539+0.02),"yes","no"))</f>
        <v>yes</v>
      </c>
    </row>
    <row r="1540" customFormat="false" ht="15" hidden="false" customHeight="false" outlineLevel="0" collapsed="false">
      <c r="A1540" s="9" t="n">
        <v>46038</v>
      </c>
      <c r="B1540" s="10" t="n">
        <v>25694.35</v>
      </c>
      <c r="C1540" s="11" t="n">
        <v>20.5321</v>
      </c>
      <c r="D1540" s="11" t="n">
        <v>20.3293</v>
      </c>
      <c r="E1540" s="11" t="n">
        <v>20.7348</v>
      </c>
      <c r="F1540" s="12" t="n">
        <f aca="false">IF(C1540="","",B1540/C1540)</f>
        <v>1251.42338094983</v>
      </c>
      <c r="G1540" s="12" t="n">
        <f aca="false">MEDIAN(F1530:F1550)</f>
        <v>1236.27675767326</v>
      </c>
      <c r="H1540" s="13" t="n">
        <f aca="false">B1540/G1540</f>
        <v>20.7836553106103</v>
      </c>
      <c r="I1540" s="14" t="n">
        <f aca="false">B1540/Summary!$C$8*100</f>
        <v>257.481636620537</v>
      </c>
      <c r="J1540" s="14" t="n">
        <f aca="false">G1540/Summary!$E$8*100</f>
        <v>210.112434674934</v>
      </c>
      <c r="K1540" s="15" t="n">
        <f aca="false">Summary!$D$9</f>
        <v>16.9374488591431</v>
      </c>
      <c r="L1540" s="16" t="str">
        <f aca="false">IF(OR(D1540="",E1540=""),"edge hidden",IF(AND(H1540&gt;=D1540-0.02,H1540&lt;=E1540+0.02),"yes","no"))</f>
        <v>no</v>
      </c>
    </row>
    <row r="1541" customFormat="false" ht="15" hidden="false" customHeight="false" outlineLevel="0" collapsed="false">
      <c r="A1541" s="9" t="n">
        <v>46041</v>
      </c>
      <c r="B1541" s="10" t="n">
        <v>25585.5</v>
      </c>
      <c r="C1541" s="11" t="n">
        <v>20.4927</v>
      </c>
      <c r="D1541" s="11" t="n">
        <v>20.2742</v>
      </c>
      <c r="E1541" s="11" t="n">
        <v>20.7112</v>
      </c>
      <c r="F1541" s="12" t="n">
        <f aca="false">IF(C1541="","",B1541/C1541)</f>
        <v>1248.51776486261</v>
      </c>
      <c r="G1541" s="12" t="n">
        <f aca="false">MEDIAN(F1531:F1551)</f>
        <v>1237.42024503856</v>
      </c>
      <c r="H1541" s="13" t="n">
        <f aca="false">B1541/G1541</f>
        <v>20.6764840825784</v>
      </c>
      <c r="I1541" s="14" t="n">
        <f aca="false">B1541/Summary!$C$8*100</f>
        <v>256.390856890902</v>
      </c>
      <c r="J1541" s="14" t="n">
        <f aca="false">G1541/Summary!$E$8*100</f>
        <v>210.306777011996</v>
      </c>
      <c r="K1541" s="15" t="n">
        <f aca="false">Summary!$D$9</f>
        <v>16.9374488591431</v>
      </c>
      <c r="L1541" s="16" t="str">
        <f aca="false">IF(OR(D1541="",E1541=""),"edge hidden",IF(AND(H1541&gt;=D1541-0.02,H1541&lt;=E1541+0.02),"yes","no"))</f>
        <v>yes</v>
      </c>
    </row>
    <row r="1542" customFormat="false" ht="15" hidden="false" customHeight="false" outlineLevel="0" collapsed="false">
      <c r="A1542" s="9" t="n">
        <v>46042</v>
      </c>
      <c r="B1542" s="10" t="n">
        <v>25232.5</v>
      </c>
      <c r="C1542" s="11" t="n">
        <v>20.4848</v>
      </c>
      <c r="D1542" s="11" t="n">
        <v>20.2742</v>
      </c>
      <c r="E1542" s="11" t="n">
        <v>20.6954</v>
      </c>
      <c r="F1542" s="12" t="n">
        <f aca="false">IF(C1542="","",B1542/C1542)</f>
        <v>1231.76696867922</v>
      </c>
      <c r="G1542" s="12" t="n">
        <f aca="false">MEDIAN(F1532:F1552)</f>
        <v>1237.42024503856</v>
      </c>
      <c r="H1542" s="13" t="n">
        <f aca="false">B1542/G1542</f>
        <v>20.3912131720568</v>
      </c>
      <c r="I1542" s="14" t="n">
        <f aca="false">B1542/Summary!$C$8*100</f>
        <v>252.853463739215</v>
      </c>
      <c r="J1542" s="14" t="n">
        <f aca="false">G1542/Summary!$E$8*100</f>
        <v>210.306777011996</v>
      </c>
      <c r="K1542" s="15" t="n">
        <f aca="false">Summary!$D$9</f>
        <v>16.9374488591431</v>
      </c>
      <c r="L1542" s="16" t="str">
        <f aca="false">IF(OR(D1542="",E1542=""),"edge hidden",IF(AND(H1542&gt;=D1542-0.02,H1542&lt;=E1542+0.02),"yes","no"))</f>
        <v>yes</v>
      </c>
    </row>
    <row r="1543" customFormat="false" ht="15" hidden="false" customHeight="false" outlineLevel="0" collapsed="false">
      <c r="A1543" s="9" t="n">
        <v>46043</v>
      </c>
      <c r="B1543" s="10" t="n">
        <v>25157.5</v>
      </c>
      <c r="C1543" s="11" t="n">
        <v>20.4415</v>
      </c>
      <c r="D1543" s="11" t="n">
        <v>20.2742</v>
      </c>
      <c r="E1543" s="11" t="n">
        <v>20.6088</v>
      </c>
      <c r="F1543" s="12" t="n">
        <f aca="false">IF(C1543="","",B1543/C1543)</f>
        <v>1230.70713988699</v>
      </c>
      <c r="G1543" s="12" t="n">
        <f aca="false">MEDIAN(F1533:F1553)</f>
        <v>1236.27675767326</v>
      </c>
      <c r="H1543" s="13" t="n">
        <f aca="false">B1543/G1543</f>
        <v>20.3494078844835</v>
      </c>
      <c r="I1543" s="14" t="n">
        <f aca="false">B1543/Summary!$C$8*100</f>
        <v>252.101892956279</v>
      </c>
      <c r="J1543" s="14" t="n">
        <f aca="false">G1543/Summary!$E$8*100</f>
        <v>210.112434674934</v>
      </c>
      <c r="K1543" s="15" t="n">
        <f aca="false">Summary!$D$9</f>
        <v>16.9374488591431</v>
      </c>
      <c r="L1543" s="16" t="str">
        <f aca="false">IF(OR(D1543="",E1543=""),"edge hidden",IF(AND(H1543&gt;=D1543-0.02,H1543&lt;=E1543+0.02),"yes","no"))</f>
        <v>yes</v>
      </c>
    </row>
    <row r="1544" customFormat="false" ht="15" hidden="false" customHeight="false" outlineLevel="0" collapsed="false">
      <c r="A1544" s="9" t="n">
        <v>46044</v>
      </c>
      <c r="B1544" s="10" t="n">
        <v>25289.9</v>
      </c>
      <c r="C1544" s="11" t="n">
        <v>20.4376</v>
      </c>
      <c r="D1544" s="11" t="n">
        <v>20.2821</v>
      </c>
      <c r="E1544" s="11" t="n">
        <v>20.5931</v>
      </c>
      <c r="F1544" s="12" t="n">
        <f aca="false">IF(C1544="","",B1544/C1544)</f>
        <v>1237.42024503856</v>
      </c>
      <c r="G1544" s="12" t="n">
        <f aca="false">MEDIAN(F1534:F1554)</f>
        <v>1234.29897575017</v>
      </c>
      <c r="H1544" s="13" t="n">
        <f aca="false">B1544/G1544</f>
        <v>20.4892821730081</v>
      </c>
      <c r="I1544" s="14" t="n">
        <f aca="false">B1544/Summary!$C$8*100</f>
        <v>253.428665911756</v>
      </c>
      <c r="J1544" s="14" t="n">
        <f aca="false">G1544/Summary!$E$8*100</f>
        <v>209.776299119089</v>
      </c>
      <c r="K1544" s="15" t="n">
        <f aca="false">Summary!$D$9</f>
        <v>16.9374488591431</v>
      </c>
      <c r="L1544" s="16" t="str">
        <f aca="false">IF(OR(D1544="",E1544=""),"edge hidden",IF(AND(H1544&gt;=D1544-0.02,H1544&lt;=E1544+0.02),"yes","no"))</f>
        <v>yes</v>
      </c>
    </row>
    <row r="1545" customFormat="false" ht="15" hidden="false" customHeight="false" outlineLevel="0" collapsed="false">
      <c r="A1545" s="9" t="n">
        <v>46045</v>
      </c>
      <c r="B1545" s="10" t="n">
        <v>25048.65</v>
      </c>
      <c r="C1545" s="11" t="n">
        <v>20.4415</v>
      </c>
      <c r="D1545" s="11" t="n">
        <v>20.2899</v>
      </c>
      <c r="E1545" s="11" t="n">
        <v>20.5931</v>
      </c>
      <c r="F1545" s="12" t="n">
        <f aca="false">IF(C1545="","",B1545/C1545)</f>
        <v>1225.38218819558</v>
      </c>
      <c r="G1545" s="12" t="n">
        <f aca="false">MEDIAN(F1535:F1555)</f>
        <v>1234.29897575017</v>
      </c>
      <c r="H1545" s="13" t="n">
        <f aca="false">B1545/G1545</f>
        <v>20.2938270970988</v>
      </c>
      <c r="I1545" s="14" t="n">
        <f aca="false">B1545/Summary!$C$8*100</f>
        <v>251.011113226644</v>
      </c>
      <c r="J1545" s="14" t="n">
        <f aca="false">G1545/Summary!$E$8*100</f>
        <v>209.776299119089</v>
      </c>
      <c r="K1545" s="15" t="n">
        <f aca="false">Summary!$D$9</f>
        <v>16.9374488591431</v>
      </c>
      <c r="L1545" s="16" t="str">
        <f aca="false">IF(OR(D1545="",E1545=""),"edge hidden",IF(AND(H1545&gt;=D1545-0.02,H1545&lt;=E1545+0.02),"yes","no"))</f>
        <v>yes</v>
      </c>
    </row>
    <row r="1546" customFormat="false" ht="15" hidden="false" customHeight="false" outlineLevel="0" collapsed="false">
      <c r="A1546" s="9" t="n">
        <v>46049</v>
      </c>
      <c r="B1546" s="10" t="n">
        <v>25175.4</v>
      </c>
      <c r="C1546" s="11" t="n">
        <v>20.5399</v>
      </c>
      <c r="D1546" s="11" t="n">
        <v>20.3057</v>
      </c>
      <c r="E1546" s="11" t="n">
        <v>20.7742</v>
      </c>
      <c r="F1546" s="12" t="n">
        <f aca="false">IF(C1546="","",B1546/C1546)</f>
        <v>1225.68269563143</v>
      </c>
      <c r="G1546" s="12" t="n">
        <f aca="false">MEDIAN(F1536:F1556)</f>
        <v>1236.27675767326</v>
      </c>
      <c r="H1546" s="13" t="n">
        <f aca="false">B1546/G1546</f>
        <v>20.3638868430896</v>
      </c>
      <c r="I1546" s="14" t="n">
        <f aca="false">B1546/Summary!$C$8*100</f>
        <v>252.281267849806</v>
      </c>
      <c r="J1546" s="14" t="n">
        <f aca="false">G1546/Summary!$E$8*100</f>
        <v>210.112434674934</v>
      </c>
      <c r="K1546" s="15" t="n">
        <f aca="false">Summary!$D$9</f>
        <v>16.9374488591431</v>
      </c>
      <c r="L1546" s="16" t="str">
        <f aca="false">IF(OR(D1546="",E1546=""),"edge hidden",IF(AND(H1546&gt;=D1546-0.02,H1546&lt;=E1546+0.02),"yes","no"))</f>
        <v>yes</v>
      </c>
    </row>
    <row r="1547" customFormat="false" ht="15" hidden="false" customHeight="false" outlineLevel="0" collapsed="false">
      <c r="A1547" s="9" t="n">
        <v>46050</v>
      </c>
      <c r="B1547" s="10" t="n">
        <v>25342.75</v>
      </c>
      <c r="C1547" s="11" t="n">
        <v>20.5321</v>
      </c>
      <c r="D1547" s="11" t="n">
        <v>20.2821</v>
      </c>
      <c r="E1547" s="11" t="n">
        <v>20.7821</v>
      </c>
      <c r="F1547" s="12" t="n">
        <f aca="false">IF(C1547="","",B1547/C1547)</f>
        <v>1234.29897575017</v>
      </c>
      <c r="G1547" s="12" t="n">
        <f aca="false">MEDIAN(F1537:F1557)</f>
        <v>1237.42024503856</v>
      </c>
      <c r="H1547" s="13" t="n">
        <f aca="false">B1547/G1547</f>
        <v>20.4803098232891</v>
      </c>
      <c r="I1547" s="14" t="n">
        <f aca="false">B1547/Summary!$C$8*100</f>
        <v>253.958272790131</v>
      </c>
      <c r="J1547" s="14" t="n">
        <f aca="false">G1547/Summary!$E$8*100</f>
        <v>210.306777011996</v>
      </c>
      <c r="K1547" s="15" t="n">
        <f aca="false">Summary!$D$9</f>
        <v>16.9374488591431</v>
      </c>
      <c r="L1547" s="16" t="str">
        <f aca="false">IF(OR(D1547="",E1547=""),"edge hidden",IF(AND(H1547&gt;=D1547-0.02,H1547&lt;=E1547+0.02),"yes","no"))</f>
        <v>yes</v>
      </c>
    </row>
    <row r="1548" customFormat="false" ht="15" hidden="false" customHeight="false" outlineLevel="0" collapsed="false">
      <c r="A1548" s="9" t="n">
        <v>46051</v>
      </c>
      <c r="B1548" s="10" t="n">
        <v>25418.9</v>
      </c>
      <c r="C1548" s="11" t="n">
        <v>20.5242</v>
      </c>
      <c r="D1548" s="11" t="n">
        <v>20.2584</v>
      </c>
      <c r="E1548" s="11" t="n">
        <v>20.7899</v>
      </c>
      <c r="F1548" s="12" t="n">
        <f aca="false">IF(C1548="","",B1548/C1548)</f>
        <v>1238.48432582025</v>
      </c>
      <c r="G1548" s="12" t="n">
        <f aca="false">MEDIAN(F1538:F1558)</f>
        <v>1237.42024503856</v>
      </c>
      <c r="H1548" s="13" t="n">
        <f aca="false">B1548/G1548</f>
        <v>20.5418491429385</v>
      </c>
      <c r="I1548" s="14" t="n">
        <f aca="false">B1548/Summary!$C$8*100</f>
        <v>254.721367658406</v>
      </c>
      <c r="J1548" s="14" t="n">
        <f aca="false">G1548/Summary!$E$8*100</f>
        <v>210.306777011996</v>
      </c>
      <c r="K1548" s="15" t="n">
        <f aca="false">Summary!$D$9</f>
        <v>16.9374488591431</v>
      </c>
      <c r="L1548" s="16" t="str">
        <f aca="false">IF(OR(D1548="",E1548=""),"edge hidden",IF(AND(H1548&gt;=D1548-0.02,H1548&lt;=E1548+0.02),"yes","no"))</f>
        <v>yes</v>
      </c>
    </row>
    <row r="1549" customFormat="false" ht="15" hidden="false" customHeight="false" outlineLevel="0" collapsed="false">
      <c r="A1549" s="9" t="n">
        <v>46052</v>
      </c>
      <c r="B1549" s="10" t="n">
        <v>25320.65</v>
      </c>
      <c r="C1549" s="11" t="n">
        <v>20.5242</v>
      </c>
      <c r="D1549" s="11" t="n">
        <v>20.2506</v>
      </c>
      <c r="E1549" s="11" t="n">
        <v>20.7978</v>
      </c>
      <c r="F1549" s="12" t="n">
        <f aca="false">IF(C1549="","",B1549/C1549)</f>
        <v>1233.69729392619</v>
      </c>
      <c r="G1549" s="12" t="n">
        <f aca="false">MEDIAN(F1539:F1559)</f>
        <v>1236.27675767326</v>
      </c>
      <c r="H1549" s="13" t="n">
        <f aca="false">B1549/G1549</f>
        <v>20.4813767166947</v>
      </c>
      <c r="I1549" s="14" t="n">
        <f aca="false">B1549/Summary!$C$8*100</f>
        <v>253.736809932759</v>
      </c>
      <c r="J1549" s="14" t="n">
        <f aca="false">G1549/Summary!$E$8*100</f>
        <v>210.112434674934</v>
      </c>
      <c r="K1549" s="15" t="n">
        <f aca="false">Summary!$D$9</f>
        <v>16.9374488591431</v>
      </c>
      <c r="L1549" s="16" t="str">
        <f aca="false">IF(OR(D1549="",E1549=""),"edge hidden",IF(AND(H1549&gt;=D1549-0.02,H1549&lt;=E1549+0.02),"yes","no"))</f>
        <v>yes</v>
      </c>
    </row>
    <row r="1550" customFormat="false" ht="15" hidden="false" customHeight="false" outlineLevel="0" collapsed="false">
      <c r="A1550" s="9" t="n">
        <v>46055</v>
      </c>
      <c r="B1550" s="10" t="n">
        <v>25088.4</v>
      </c>
      <c r="C1550" s="11" t="n">
        <v>20.5557</v>
      </c>
      <c r="D1550" s="11" t="n">
        <v>20.2506</v>
      </c>
      <c r="E1550" s="11" t="n">
        <v>20.8608</v>
      </c>
      <c r="F1550" s="12" t="n">
        <f aca="false">IF(C1550="","",B1550/C1550)</f>
        <v>1220.50818021279</v>
      </c>
      <c r="G1550" s="12" t="n">
        <f aca="false">MEDIAN(F1540:F1560)</f>
        <v>1237.42024503856</v>
      </c>
      <c r="H1550" s="13" t="n">
        <f aca="false">B1550/G1550</f>
        <v>20.2747612224643</v>
      </c>
      <c r="I1550" s="14" t="n">
        <f aca="false">B1550/Summary!$C$8*100</f>
        <v>251.4094457416</v>
      </c>
      <c r="J1550" s="14" t="n">
        <f aca="false">G1550/Summary!$E$8*100</f>
        <v>210.306777011996</v>
      </c>
      <c r="K1550" s="15" t="n">
        <f aca="false">Summary!$D$9</f>
        <v>16.9374488591431</v>
      </c>
      <c r="L1550" s="16" t="str">
        <f aca="false">IF(OR(D1550="",E1550=""),"edge hidden",IF(AND(H1550&gt;=D1550-0.02,H1550&lt;=E1550+0.02),"yes","no"))</f>
        <v>yes</v>
      </c>
    </row>
    <row r="1551" customFormat="false" ht="15" hidden="false" customHeight="false" outlineLevel="0" collapsed="false">
      <c r="A1551" s="9" t="n">
        <v>46056</v>
      </c>
      <c r="B1551" s="10" t="n">
        <v>25727.55</v>
      </c>
      <c r="C1551" s="11" t="n">
        <v>20.5596</v>
      </c>
      <c r="D1551" s="11" t="n">
        <v>20.2584</v>
      </c>
      <c r="E1551" s="11" t="n">
        <v>20.8608</v>
      </c>
      <c r="F1551" s="12" t="n">
        <f aca="false">IF(C1551="","",B1551/C1551)</f>
        <v>1251.36432615421</v>
      </c>
      <c r="G1551" s="12" t="n">
        <f aca="false">MEDIAN(F1541:F1561)</f>
        <v>1237.42024503856</v>
      </c>
      <c r="H1551" s="13" t="n">
        <f aca="false">B1551/G1551</f>
        <v>20.7912793597444</v>
      </c>
      <c r="I1551" s="14" t="n">
        <f aca="false">B1551/Summary!$C$8*100</f>
        <v>257.814331953783</v>
      </c>
      <c r="J1551" s="14" t="n">
        <f aca="false">G1551/Summary!$E$8*100</f>
        <v>210.306777011996</v>
      </c>
      <c r="K1551" s="15" t="n">
        <f aca="false">Summary!$D$9</f>
        <v>16.9374488591431</v>
      </c>
      <c r="L1551" s="16" t="str">
        <f aca="false">IF(OR(D1551="",E1551=""),"edge hidden",IF(AND(H1551&gt;=D1551-0.02,H1551&lt;=E1551+0.02),"yes","no"))</f>
        <v>yes</v>
      </c>
    </row>
    <row r="1552" customFormat="false" ht="15" hidden="false" customHeight="false" outlineLevel="0" collapsed="false">
      <c r="A1552" s="9" t="n">
        <v>46057</v>
      </c>
      <c r="B1552" s="10" t="n">
        <v>25776</v>
      </c>
      <c r="C1552" s="11" t="n">
        <v>20.6305</v>
      </c>
      <c r="D1552" s="11" t="n">
        <v>20.3844</v>
      </c>
      <c r="E1552" s="11" t="n">
        <v>20.8765</v>
      </c>
      <c r="F1552" s="12" t="n">
        <f aca="false">IF(C1552="","",B1552/C1552)</f>
        <v>1249.412277938</v>
      </c>
      <c r="G1552" s="12" t="n">
        <f aca="false">MEDIAN(F1542:F1562)</f>
        <v>1237.42024503856</v>
      </c>
      <c r="H1552" s="13" t="n">
        <f aca="false">B1552/G1552</f>
        <v>20.8304333983132</v>
      </c>
      <c r="I1552" s="14" t="n">
        <f aca="false">B1552/Summary!$C$8*100</f>
        <v>258.29984667956</v>
      </c>
      <c r="J1552" s="14" t="n">
        <f aca="false">G1552/Summary!$E$8*100</f>
        <v>210.306777011996</v>
      </c>
      <c r="K1552" s="15" t="n">
        <f aca="false">Summary!$D$9</f>
        <v>16.9374488591431</v>
      </c>
      <c r="L1552" s="16" t="str">
        <f aca="false">IF(OR(D1552="",E1552=""),"edge hidden",IF(AND(H1552&gt;=D1552-0.02,H1552&lt;=E1552+0.02),"yes","no"))</f>
        <v>yes</v>
      </c>
    </row>
    <row r="1553" customFormat="false" ht="15" hidden="false" customHeight="false" outlineLevel="0" collapsed="false">
      <c r="A1553" s="9" t="n">
        <v>46058</v>
      </c>
      <c r="B1553" s="10" t="n">
        <v>25642.8</v>
      </c>
      <c r="C1553" s="11" t="n">
        <v>20.8037</v>
      </c>
      <c r="D1553" s="11" t="n">
        <v>20.7309</v>
      </c>
      <c r="E1553" s="11" t="n">
        <v>20.8765</v>
      </c>
      <c r="F1553" s="12" t="n">
        <f aca="false">IF(C1553="","",B1553/C1553)</f>
        <v>1232.6076611372</v>
      </c>
      <c r="G1553" s="12" t="n">
        <f aca="false">MEDIAN(F1543:F1563)</f>
        <v>1237.42024503856</v>
      </c>
      <c r="H1553" s="13" t="n">
        <f aca="false">B1553/G1553</f>
        <v>20.7227900972325</v>
      </c>
      <c r="I1553" s="14" t="n">
        <f aca="false">B1553/Summary!$C$8*100</f>
        <v>256.965056969065</v>
      </c>
      <c r="J1553" s="14" t="n">
        <f aca="false">G1553/Summary!$E$8*100</f>
        <v>210.306777011996</v>
      </c>
      <c r="K1553" s="15" t="n">
        <f aca="false">Summary!$D$9</f>
        <v>16.9374488591431</v>
      </c>
      <c r="L1553" s="16" t="str">
        <f aca="false">IF(OR(D1553="",E1553=""),"edge hidden",IF(AND(H1553&gt;=D1553-0.02,H1553&lt;=E1553+0.02),"yes","no"))</f>
        <v>yes</v>
      </c>
    </row>
    <row r="1554" customFormat="false" ht="15" hidden="false" customHeight="false" outlineLevel="0" collapsed="false">
      <c r="A1554" s="9" t="n">
        <v>46059</v>
      </c>
      <c r="B1554" s="10" t="n">
        <v>25693.7</v>
      </c>
      <c r="C1554" s="11" t="n">
        <v>20.8352</v>
      </c>
      <c r="D1554" s="11" t="n">
        <v>20.7545</v>
      </c>
      <c r="E1554" s="11" t="n">
        <v>20.9159</v>
      </c>
      <c r="F1554" s="12" t="n">
        <f aca="false">IF(C1554="","",B1554/C1554)</f>
        <v>1233.18710643526</v>
      </c>
      <c r="G1554" s="12" t="n">
        <f aca="false">MEDIAN(F1544:F1564)</f>
        <v>1238.48432582025</v>
      </c>
      <c r="H1554" s="13" t="n">
        <f aca="false">B1554/G1554</f>
        <v>20.7460841161498</v>
      </c>
      <c r="I1554" s="14" t="n">
        <f aca="false">B1554/Summary!$C$8*100</f>
        <v>257.475123007085</v>
      </c>
      <c r="J1554" s="14" t="n">
        <f aca="false">G1554/Summary!$E$8*100</f>
        <v>210.487623737735</v>
      </c>
      <c r="K1554" s="15" t="n">
        <f aca="false">Summary!$D$9</f>
        <v>16.9374488591431</v>
      </c>
      <c r="L1554" s="16" t="str">
        <f aca="false">IF(OR(D1554="",E1554=""),"edge hidden",IF(AND(H1554&gt;=D1554-0.02,H1554&lt;=E1554+0.02),"yes","no"))</f>
        <v>yes</v>
      </c>
    </row>
    <row r="1555" customFormat="false" ht="15" hidden="false" customHeight="false" outlineLevel="0" collapsed="false">
      <c r="A1555" s="9" t="n">
        <v>46062</v>
      </c>
      <c r="B1555" s="10" t="n">
        <v>25867.3</v>
      </c>
      <c r="C1555" s="11" t="n">
        <v>20.7565</v>
      </c>
      <c r="D1555" s="11" t="n">
        <v>20.5498</v>
      </c>
      <c r="E1555" s="11" t="n">
        <v>20.9632</v>
      </c>
      <c r="F1555" s="12" t="n">
        <f aca="false">IF(C1555="","",B1555/C1555)</f>
        <v>1246.2264832703</v>
      </c>
      <c r="G1555" s="12" t="n">
        <f aca="false">MEDIAN(F1545:F1565)</f>
        <v>1244.27815840353</v>
      </c>
      <c r="H1555" s="13" t="n">
        <f aca="false">B1555/G1555</f>
        <v>20.7890010969807</v>
      </c>
      <c r="I1555" s="14" t="n">
        <f aca="false">B1555/Summary!$C$8*100</f>
        <v>259.214758845988</v>
      </c>
      <c r="J1555" s="14" t="n">
        <f aca="false">G1555/Summary!$E$8*100</f>
        <v>211.472319326821</v>
      </c>
      <c r="K1555" s="15" t="n">
        <f aca="false">Summary!$D$9</f>
        <v>16.9374488591431</v>
      </c>
      <c r="L1555" s="16" t="str">
        <f aca="false">IF(OR(D1555="",E1555=""),"edge hidden",IF(AND(H1555&gt;=D1555-0.02,H1555&lt;=E1555+0.02),"yes","no"))</f>
        <v>yes</v>
      </c>
    </row>
    <row r="1556" customFormat="false" ht="15" hidden="false" customHeight="false" outlineLevel="0" collapsed="false">
      <c r="A1556" s="9" t="n">
        <v>46063</v>
      </c>
      <c r="B1556" s="10" t="n">
        <v>25935.15</v>
      </c>
      <c r="C1556" s="11" t="n">
        <v>20.7525</v>
      </c>
      <c r="D1556" s="11" t="n">
        <v>20.5419</v>
      </c>
      <c r="E1556" s="11" t="n">
        <v>20.9632</v>
      </c>
      <c r="F1556" s="12" t="n">
        <f aca="false">IF(C1556="","",B1556/C1556)</f>
        <v>1249.73617636429</v>
      </c>
      <c r="G1556" s="12" t="n">
        <f aca="false">MEDIAN(F1546:F1566)</f>
        <v>1246.2264832703</v>
      </c>
      <c r="H1556" s="13" t="n">
        <f aca="false">B1556/G1556</f>
        <v>20.8109443573547</v>
      </c>
      <c r="I1556" s="14" t="n">
        <f aca="false">B1556/Summary!$C$8*100</f>
        <v>259.894679880951</v>
      </c>
      <c r="J1556" s="14" t="n">
        <f aca="false">G1556/Summary!$E$8*100</f>
        <v>211.803448484395</v>
      </c>
      <c r="K1556" s="15" t="n">
        <f aca="false">Summary!$D$9</f>
        <v>16.9374488591431</v>
      </c>
      <c r="L1556" s="16" t="str">
        <f aca="false">IF(OR(D1556="",E1556=""),"edge hidden",IF(AND(H1556&gt;=D1556-0.02,H1556&lt;=E1556+0.02),"yes","no"))</f>
        <v>yes</v>
      </c>
    </row>
    <row r="1557" customFormat="false" ht="15" hidden="false" customHeight="false" outlineLevel="0" collapsed="false">
      <c r="A1557" s="9" t="n">
        <v>46064</v>
      </c>
      <c r="B1557" s="10" t="n">
        <v>25953.85</v>
      </c>
      <c r="C1557" s="11" t="n">
        <v>20.7486</v>
      </c>
      <c r="D1557" s="11" t="n">
        <v>20.534</v>
      </c>
      <c r="E1557" s="11" t="n">
        <v>20.9632</v>
      </c>
      <c r="F1557" s="12" t="n">
        <f aca="false">IF(C1557="","",B1557/C1557)</f>
        <v>1250.87234801384</v>
      </c>
      <c r="G1557" s="12" t="n">
        <f aca="false">MEDIAN(F1547:F1567)</f>
        <v>1246.79596096898</v>
      </c>
      <c r="H1557" s="13" t="n">
        <f aca="false">B1557/G1557</f>
        <v>20.8164373421849</v>
      </c>
      <c r="I1557" s="14" t="n">
        <f aca="false">B1557/Summary!$C$8*100</f>
        <v>260.082071529497</v>
      </c>
      <c r="J1557" s="14" t="n">
        <f aca="false">G1557/Summary!$E$8*100</f>
        <v>211.900234535754</v>
      </c>
      <c r="K1557" s="15" t="n">
        <f aca="false">Summary!$D$9</f>
        <v>16.9374488591431</v>
      </c>
      <c r="L1557" s="16" t="str">
        <f aca="false">IF(OR(D1557="",E1557=""),"edge hidden",IF(AND(H1557&gt;=D1557-0.02,H1557&lt;=E1557+0.02),"yes","no"))</f>
        <v>yes</v>
      </c>
    </row>
    <row r="1558" customFormat="false" ht="15" hidden="false" customHeight="false" outlineLevel="0" collapsed="false">
      <c r="A1558" s="9" t="n">
        <v>46065</v>
      </c>
      <c r="B1558" s="10" t="n">
        <v>25807.2</v>
      </c>
      <c r="C1558" s="11" t="n">
        <v>20.7407</v>
      </c>
      <c r="D1558" s="11" t="n">
        <v>20.5262</v>
      </c>
      <c r="E1558" s="11" t="n">
        <v>20.9553</v>
      </c>
      <c r="F1558" s="12" t="n">
        <f aca="false">IF(C1558="","",B1558/C1558)</f>
        <v>1244.27815840353</v>
      </c>
      <c r="G1558" s="12" t="n">
        <f aca="false">MEDIAN(F1548:F1568)</f>
        <v>1246.8671373681</v>
      </c>
      <c r="H1558" s="13" t="n">
        <f aca="false">B1558/G1558</f>
        <v>20.6976342759936</v>
      </c>
      <c r="I1558" s="14" t="n">
        <f aca="false">B1558/Summary!$C$8*100</f>
        <v>258.612500125262</v>
      </c>
      <c r="J1558" s="14" t="n">
        <f aca="false">G1558/Summary!$E$8*100</f>
        <v>211.912331379295</v>
      </c>
      <c r="K1558" s="15" t="n">
        <f aca="false">Summary!$D$9</f>
        <v>16.9374488591431</v>
      </c>
      <c r="L1558" s="16" t="str">
        <f aca="false">IF(OR(D1558="",E1558=""),"edge hidden",IF(AND(H1558&gt;=D1558-0.02,H1558&lt;=E1558+0.02),"yes","no"))</f>
        <v>yes</v>
      </c>
    </row>
    <row r="1559" customFormat="false" ht="15" hidden="false" customHeight="false" outlineLevel="0" collapsed="false">
      <c r="A1559" s="9" t="n">
        <v>46066</v>
      </c>
      <c r="B1559" s="10" t="n">
        <v>25471.1</v>
      </c>
      <c r="C1559" s="11" t="n">
        <v>20.725</v>
      </c>
      <c r="D1559" s="11" t="n">
        <v>20.5183</v>
      </c>
      <c r="E1559" s="11" t="n">
        <v>20.9317</v>
      </c>
      <c r="F1559" s="12" t="n">
        <f aca="false">IF(C1559="","",B1559/C1559)</f>
        <v>1229.00361881785</v>
      </c>
      <c r="G1559" s="12" t="n">
        <f aca="false">MEDIAN(F1549:F1569)</f>
        <v>1249.30715935335</v>
      </c>
      <c r="H1559" s="13" t="n">
        <f aca="false">B1559/G1559</f>
        <v>20.3881806081893</v>
      </c>
      <c r="I1559" s="14" t="n">
        <f aca="false">B1559/Summary!$C$8*100</f>
        <v>255.24446092333</v>
      </c>
      <c r="J1559" s="14" t="n">
        <f aca="false">G1559/Summary!$E$8*100</f>
        <v>212.32702732565</v>
      </c>
      <c r="K1559" s="15" t="n">
        <f aca="false">Summary!$D$9</f>
        <v>16.9374488591431</v>
      </c>
      <c r="L1559" s="16" t="str">
        <f aca="false">IF(OR(D1559="",E1559=""),"edge hidden",IF(AND(H1559&gt;=D1559-0.02,H1559&lt;=E1559+0.02),"yes","no"))</f>
        <v>no</v>
      </c>
    </row>
    <row r="1560" customFormat="false" ht="15" hidden="false" customHeight="false" outlineLevel="0" collapsed="false">
      <c r="A1560" s="9" t="n">
        <v>46069</v>
      </c>
      <c r="B1560" s="10" t="n">
        <v>25682.75</v>
      </c>
      <c r="C1560" s="11" t="n">
        <v>20.599</v>
      </c>
      <c r="D1560" s="11" t="n">
        <v>20.4553</v>
      </c>
      <c r="E1560" s="11" t="n">
        <v>20.7427</v>
      </c>
      <c r="F1560" s="12" t="n">
        <f aca="false">IF(C1560="","",B1560/C1560)</f>
        <v>1246.79596096898</v>
      </c>
      <c r="G1560" s="12" t="n">
        <f aca="false">MEDIAN(F1550:F1570)</f>
        <v>1249.34559105633</v>
      </c>
      <c r="H1560" s="13" t="n">
        <f aca="false">B1560/G1560</f>
        <v>20.5569621278969</v>
      </c>
      <c r="I1560" s="14" t="n">
        <f aca="false">B1560/Summary!$C$8*100</f>
        <v>257.365393672776</v>
      </c>
      <c r="J1560" s="14" t="n">
        <f aca="false">G1560/Summary!$E$8*100</f>
        <v>212.333559017387</v>
      </c>
      <c r="K1560" s="15" t="n">
        <f aca="false">Summary!$D$9</f>
        <v>16.9374488591431</v>
      </c>
      <c r="L1560" s="16" t="str">
        <f aca="false">IF(OR(D1560="",E1560=""),"edge hidden",IF(AND(H1560&gt;=D1560-0.02,H1560&lt;=E1560+0.02),"yes","no"))</f>
        <v>yes</v>
      </c>
    </row>
    <row r="1561" customFormat="false" ht="15" hidden="false" customHeight="false" outlineLevel="0" collapsed="false">
      <c r="A1561" s="9" t="n">
        <v>46070</v>
      </c>
      <c r="B1561" s="10" t="n">
        <v>25725.4</v>
      </c>
      <c r="C1561" s="11" t="n">
        <v>20.5911</v>
      </c>
      <c r="D1561" s="11" t="n">
        <v>20.4474</v>
      </c>
      <c r="E1561" s="11" t="n">
        <v>20.7348</v>
      </c>
      <c r="F1561" s="12" t="n">
        <f aca="false">IF(C1561="","",B1561/C1561)</f>
        <v>1249.34559105633</v>
      </c>
      <c r="G1561" s="12" t="n">
        <f aca="false">MEDIAN(F1551:F1571)</f>
        <v>1249.34559105633</v>
      </c>
      <c r="H1561" s="13" t="n">
        <f aca="false">B1561/G1561</f>
        <v>20.5911</v>
      </c>
      <c r="I1561" s="14" t="n">
        <f aca="false">B1561/Summary!$C$8*100</f>
        <v>257.792786924673</v>
      </c>
      <c r="J1561" s="14" t="n">
        <f aca="false">G1561/Summary!$E$8*100</f>
        <v>212.333559017387</v>
      </c>
      <c r="K1561" s="15" t="n">
        <f aca="false">Summary!$D$9</f>
        <v>16.9374488591431</v>
      </c>
      <c r="L1561" s="16" t="str">
        <f aca="false">IF(OR(D1561="",E1561=""),"edge hidden",IF(AND(H1561&gt;=D1561-0.02,H1561&lt;=E1561+0.02),"yes","no"))</f>
        <v>yes</v>
      </c>
    </row>
    <row r="1562" customFormat="false" ht="15" hidden="false" customHeight="false" outlineLevel="0" collapsed="false">
      <c r="A1562" s="9" t="n">
        <v>46071</v>
      </c>
      <c r="B1562" s="10" t="n">
        <v>25819.35</v>
      </c>
      <c r="C1562" s="11" t="n">
        <v>20.5872</v>
      </c>
      <c r="D1562" s="11" t="n">
        <v>20.4395</v>
      </c>
      <c r="E1562" s="11" t="n">
        <v>20.7348</v>
      </c>
      <c r="F1562" s="12" t="n">
        <f aca="false">IF(C1562="","",B1562/C1562)</f>
        <v>1254.14577990208</v>
      </c>
      <c r="G1562" s="12" t="n">
        <f aca="false">MEDIAN(F1552:F1572)</f>
        <v>1249.34559105633</v>
      </c>
      <c r="H1562" s="13" t="n">
        <f aca="false">B1562/G1562</f>
        <v>20.6662993689117</v>
      </c>
      <c r="I1562" s="14" t="n">
        <f aca="false">B1562/Summary!$C$8*100</f>
        <v>258.734254592097</v>
      </c>
      <c r="J1562" s="14" t="n">
        <f aca="false">G1562/Summary!$E$8*100</f>
        <v>212.333559017387</v>
      </c>
      <c r="K1562" s="15" t="n">
        <f aca="false">Summary!$D$9</f>
        <v>16.9374488591431</v>
      </c>
      <c r="L1562" s="16" t="str">
        <f aca="false">IF(OR(D1562="",E1562=""),"edge hidden",IF(AND(H1562&gt;=D1562-0.02,H1562&lt;=E1562+0.02),"yes","no"))</f>
        <v>yes</v>
      </c>
    </row>
    <row r="1563" customFormat="false" ht="15" hidden="false" customHeight="false" outlineLevel="0" collapsed="false">
      <c r="A1563" s="9" t="n">
        <v>46072</v>
      </c>
      <c r="B1563" s="10" t="n">
        <v>25454.35</v>
      </c>
      <c r="C1563" s="11" t="n">
        <v>20.5793</v>
      </c>
      <c r="D1563" s="11" t="n">
        <v>20.4317</v>
      </c>
      <c r="E1563" s="11" t="n">
        <v>20.7269</v>
      </c>
      <c r="F1563" s="12" t="n">
        <f aca="false">IF(C1563="","",B1563/C1563)</f>
        <v>1236.89095353098</v>
      </c>
      <c r="G1563" s="12" t="n">
        <f aca="false">MEDIAN(F1553:F1573)</f>
        <v>1249.34559105633</v>
      </c>
      <c r="H1563" s="13" t="n">
        <f aca="false">B1563/G1563</f>
        <v>20.3741464189089</v>
      </c>
      <c r="I1563" s="14" t="n">
        <f aca="false">B1563/Summary!$C$8*100</f>
        <v>255.076610115141</v>
      </c>
      <c r="J1563" s="14" t="n">
        <f aca="false">G1563/Summary!$E$8*100</f>
        <v>212.333559017387</v>
      </c>
      <c r="K1563" s="15" t="n">
        <f aca="false">Summary!$D$9</f>
        <v>16.9374488591431</v>
      </c>
      <c r="L1563" s="16" t="str">
        <f aca="false">IF(OR(D1563="",E1563=""),"edge hidden",IF(AND(H1563&gt;=D1563-0.02,H1563&lt;=E1563+0.02),"yes","no"))</f>
        <v>no</v>
      </c>
    </row>
    <row r="1564" customFormat="false" ht="15" hidden="false" customHeight="false" outlineLevel="0" collapsed="false">
      <c r="A1564" s="9" t="n">
        <v>46073</v>
      </c>
      <c r="B1564" s="10" t="n">
        <v>25571.25</v>
      </c>
      <c r="C1564" s="11" t="n">
        <v>20.5084</v>
      </c>
      <c r="D1564" s="11" t="n">
        <v>20.3608</v>
      </c>
      <c r="E1564" s="11" t="n">
        <v>20.6561</v>
      </c>
      <c r="F1564" s="12" t="n">
        <f aca="false">IF(C1564="","",B1564/C1564)</f>
        <v>1246.8671373681</v>
      </c>
      <c r="G1564" s="12" t="n">
        <f aca="false">MEDIAN(F1554:F1574)</f>
        <v>1249.73617636429</v>
      </c>
      <c r="H1564" s="13" t="n">
        <f aca="false">B1564/G1564</f>
        <v>20.4613185435596</v>
      </c>
      <c r="I1564" s="14" t="n">
        <f aca="false">B1564/Summary!$C$8*100</f>
        <v>256.248058442144</v>
      </c>
      <c r="J1564" s="14" t="n">
        <f aca="false">G1564/Summary!$E$8*100</f>
        <v>212.399941265128</v>
      </c>
      <c r="K1564" s="15" t="n">
        <f aca="false">Summary!$D$9</f>
        <v>16.9374488591431</v>
      </c>
      <c r="L1564" s="16" t="str">
        <f aca="false">IF(OR(D1564="",E1564=""),"edge hidden",IF(AND(H1564&gt;=D1564-0.02,H1564&lt;=E1564+0.02),"yes","no"))</f>
        <v>yes</v>
      </c>
    </row>
    <row r="1565" customFormat="false" ht="15" hidden="false" customHeight="false" outlineLevel="0" collapsed="false">
      <c r="A1565" s="9" t="n">
        <v>46076</v>
      </c>
      <c r="B1565" s="10" t="n">
        <v>25713</v>
      </c>
      <c r="C1565" s="11" t="n">
        <v>20.3667</v>
      </c>
      <c r="D1565" s="11" t="n">
        <v>20.1561</v>
      </c>
      <c r="E1565" s="11" t="n">
        <v>20.5773</v>
      </c>
      <c r="F1565" s="12" t="n">
        <f aca="false">IF(C1565="","",B1565/C1565)</f>
        <v>1262.50202536493</v>
      </c>
      <c r="G1565" s="12" t="n">
        <f aca="false">MEDIAN(F1555:F1575)</f>
        <v>1250.87234801384</v>
      </c>
      <c r="H1565" s="13" t="n">
        <f aca="false">B1565/G1565</f>
        <v>20.5560543734359</v>
      </c>
      <c r="I1565" s="14" t="n">
        <f aca="false">B1565/Summary!$C$8*100</f>
        <v>257.668527221894</v>
      </c>
      <c r="J1565" s="14" t="n">
        <f aca="false">G1565/Summary!$E$8*100</f>
        <v>212.593040253695</v>
      </c>
      <c r="K1565" s="15" t="n">
        <f aca="false">Summary!$D$9</f>
        <v>16.9374488591431</v>
      </c>
      <c r="L1565" s="16" t="str">
        <f aca="false">IF(OR(D1565="",E1565=""),"edge hidden",IF(AND(H1565&gt;=D1565-0.02,H1565&lt;=E1565+0.02),"yes","no"))</f>
        <v>yes</v>
      </c>
    </row>
    <row r="1566" customFormat="false" ht="15" hidden="false" customHeight="false" outlineLevel="0" collapsed="false">
      <c r="A1566" s="9" t="n">
        <v>46077</v>
      </c>
      <c r="B1566" s="10" t="n">
        <v>25424.65</v>
      </c>
      <c r="C1566" s="11" t="n">
        <v>20.351</v>
      </c>
      <c r="D1566" s="11" t="n">
        <v>20.1325</v>
      </c>
      <c r="E1566" s="11" t="n">
        <v>20.5695</v>
      </c>
      <c r="F1566" s="12" t="n">
        <f aca="false">IF(C1566="","",B1566/C1566)</f>
        <v>1249.30715935335</v>
      </c>
      <c r="G1566" s="12" t="n">
        <f aca="false">MEDIAN(F1556:F1576)</f>
        <v>1251.26226233191</v>
      </c>
      <c r="H1566" s="13" t="n">
        <f aca="false">B1566/G1566</f>
        <v>20.3192014698961</v>
      </c>
      <c r="I1566" s="14" t="n">
        <f aca="false">B1566/Summary!$C$8*100</f>
        <v>254.778988085098</v>
      </c>
      <c r="J1566" s="14" t="n">
        <f aca="false">G1566/Summary!$E$8*100</f>
        <v>212.659308462795</v>
      </c>
      <c r="K1566" s="15" t="n">
        <f aca="false">Summary!$D$9</f>
        <v>16.9374488591431</v>
      </c>
      <c r="L1566" s="16" t="str">
        <f aca="false">IF(OR(D1566="",E1566=""),"edge hidden",IF(AND(H1566&gt;=D1566-0.02,H1566&lt;=E1566+0.02),"yes","no"))</f>
        <v>yes</v>
      </c>
    </row>
    <row r="1567" customFormat="false" ht="15" hidden="false" customHeight="false" outlineLevel="0" collapsed="false">
      <c r="A1567" s="9" t="n">
        <v>46078</v>
      </c>
      <c r="B1567" s="10" t="n">
        <v>25482.5</v>
      </c>
      <c r="C1567" s="11" t="n">
        <v>20.3313</v>
      </c>
      <c r="D1567" s="11" t="n">
        <v>20.101</v>
      </c>
      <c r="E1567" s="11" t="n">
        <v>20.5616</v>
      </c>
      <c r="F1567" s="12" t="n">
        <f aca="false">IF(C1567="","",B1567/C1567)</f>
        <v>1253.36304122216</v>
      </c>
      <c r="G1567" s="12" t="n">
        <f aca="false">MEDIAN(F1557:F1577)</f>
        <v>1251.90785118496</v>
      </c>
      <c r="H1567" s="13" t="n">
        <f aca="false">B1567/G1567</f>
        <v>20.3549326540929</v>
      </c>
      <c r="I1567" s="14" t="n">
        <f aca="false">B1567/Summary!$C$8*100</f>
        <v>255.358699682336</v>
      </c>
      <c r="J1567" s="14" t="n">
        <f aca="false">G1567/Summary!$E$8*100</f>
        <v>212.769030048089</v>
      </c>
      <c r="K1567" s="15" t="n">
        <f aca="false">Summary!$D$9</f>
        <v>16.9374488591431</v>
      </c>
      <c r="L1567" s="16" t="str">
        <f aca="false">IF(OR(D1567="",E1567=""),"edge hidden",IF(AND(H1567&gt;=D1567-0.02,H1567&lt;=E1567+0.02),"yes","no"))</f>
        <v>yes</v>
      </c>
    </row>
    <row r="1568" customFormat="false" ht="15" hidden="false" customHeight="false" outlineLevel="0" collapsed="false">
      <c r="A1568" s="9" t="n">
        <v>46079</v>
      </c>
      <c r="B1568" s="10" t="n">
        <v>25496.55</v>
      </c>
      <c r="C1568" s="11" t="n">
        <v>20.1541</v>
      </c>
      <c r="D1568" s="11" t="n">
        <v>19.9199</v>
      </c>
      <c r="E1568" s="11" t="n">
        <v>20.3884</v>
      </c>
      <c r="F1568" s="12" t="n">
        <f aca="false">IF(C1568="","",B1568/C1568)</f>
        <v>1265.08005815194</v>
      </c>
      <c r="G1568" s="12" t="n">
        <f aca="false">MEDIAN(F1558:F1578)</f>
        <v>1251.90785118496</v>
      </c>
      <c r="H1568" s="13" t="n">
        <f aca="false">B1568/G1568</f>
        <v>20.3661555248391</v>
      </c>
      <c r="I1568" s="14" t="n">
        <f aca="false">B1568/Summary!$C$8*100</f>
        <v>255.499493942339</v>
      </c>
      <c r="J1568" s="14" t="n">
        <f aca="false">G1568/Summary!$E$8*100</f>
        <v>212.769030048089</v>
      </c>
      <c r="K1568" s="15" t="n">
        <f aca="false">Summary!$D$9</f>
        <v>16.9374488591431</v>
      </c>
      <c r="L1568" s="16" t="str">
        <f aca="false">IF(OR(D1568="",E1568=""),"edge hidden",IF(AND(H1568&gt;=D1568-0.02,H1568&lt;=E1568+0.02),"yes","no"))</f>
        <v>yes</v>
      </c>
    </row>
    <row r="1569" customFormat="false" ht="15" hidden="false" customHeight="false" outlineLevel="0" collapsed="false">
      <c r="A1569" s="9" t="n">
        <v>46080</v>
      </c>
      <c r="B1569" s="10" t="n">
        <v>25178.65</v>
      </c>
      <c r="C1569" s="11" t="n">
        <v>20.1226</v>
      </c>
      <c r="D1569" s="11" t="n">
        <v>19.8726</v>
      </c>
      <c r="E1569" s="11" t="n">
        <v>20.3726</v>
      </c>
      <c r="F1569" s="12" t="n">
        <f aca="false">IF(C1569="","",B1569/C1569)</f>
        <v>1251.26226233191</v>
      </c>
      <c r="G1569" s="12" t="n">
        <f aca="false">MEDIAN(F1559:F1579)</f>
        <v>1253.36304122216</v>
      </c>
      <c r="H1569" s="13" t="n">
        <f aca="false">B1569/G1569</f>
        <v>20.0888722356519</v>
      </c>
      <c r="I1569" s="14" t="n">
        <f aca="false">B1569/Summary!$C$8*100</f>
        <v>252.313835917067</v>
      </c>
      <c r="J1569" s="14" t="n">
        <f aca="false">G1569/Summary!$E$8*100</f>
        <v>213.016348069504</v>
      </c>
      <c r="K1569" s="15" t="n">
        <f aca="false">Summary!$D$9</f>
        <v>16.9374488591431</v>
      </c>
      <c r="L1569" s="16" t="str">
        <f aca="false">IF(OR(D1569="",E1569=""),"edge hidden",IF(AND(H1569&gt;=D1569-0.02,H1569&lt;=E1569+0.02),"yes","no"))</f>
        <v>yes</v>
      </c>
    </row>
    <row r="1570" customFormat="false" ht="15" hidden="false" customHeight="false" outlineLevel="0" collapsed="false">
      <c r="A1570" s="9" t="n">
        <v>46083</v>
      </c>
      <c r="B1570" s="10" t="n">
        <v>24865.7</v>
      </c>
      <c r="C1570" s="11" t="n">
        <v>19.8195</v>
      </c>
      <c r="D1570" s="11" t="n">
        <v>19.5498</v>
      </c>
      <c r="E1570" s="11" t="n">
        <v>20.0891</v>
      </c>
      <c r="F1570" s="12" t="n">
        <f aca="false">IF(C1570="","",B1570/C1570)</f>
        <v>1254.60783571735</v>
      </c>
      <c r="G1570" s="12" t="n">
        <f aca="false">MEDIAN(F1560:F1580)</f>
        <v>1254.14577990208</v>
      </c>
      <c r="H1570" s="13" t="n">
        <f aca="false">B1570/G1570</f>
        <v>19.8268019543482</v>
      </c>
      <c r="I1570" s="14" t="n">
        <f aca="false">B1570/Summary!$C$8*100</f>
        <v>249.177781563468</v>
      </c>
      <c r="J1570" s="14" t="n">
        <f aca="false">G1570/Summary!$E$8*100</f>
        <v>213.149379066594</v>
      </c>
      <c r="K1570" s="15" t="n">
        <f aca="false">Summary!$D$9</f>
        <v>16.9374488591431</v>
      </c>
      <c r="L1570" s="16" t="str">
        <f aca="false">IF(OR(D1570="",E1570=""),"edge hidden",IF(AND(H1570&gt;=D1570-0.02,H1570&lt;=E1570+0.02),"yes","no"))</f>
        <v>yes</v>
      </c>
    </row>
    <row r="1571" customFormat="false" ht="15" hidden="false" customHeight="false" outlineLevel="0" collapsed="false">
      <c r="A1571" s="9" t="n">
        <v>46085</v>
      </c>
      <c r="B1571" s="10" t="n">
        <v>24480.5</v>
      </c>
      <c r="C1571" s="11" t="n">
        <v>19.7053</v>
      </c>
      <c r="D1571" s="11" t="n">
        <v>19.534</v>
      </c>
      <c r="E1571" s="11" t="n">
        <v>19.8765</v>
      </c>
      <c r="F1571" s="12" t="n">
        <f aca="false">IF(C1571="","",B1571/C1571)</f>
        <v>1242.33074350555</v>
      </c>
      <c r="G1571" s="12" t="n">
        <f aca="false">MEDIAN(F1561:F1581)</f>
        <v>1254.60783571735</v>
      </c>
      <c r="H1571" s="13" t="n">
        <f aca="false">B1571/G1571</f>
        <v>19.5124717884475</v>
      </c>
      <c r="I1571" s="14" t="n">
        <f aca="false">B1571/Summary!$C$8*100</f>
        <v>245.317714022307</v>
      </c>
      <c r="J1571" s="14" t="n">
        <f aca="false">G1571/Summary!$E$8*100</f>
        <v>213.227908143276</v>
      </c>
      <c r="K1571" s="15" t="n">
        <f aca="false">Summary!$D$9</f>
        <v>16.9374488591431</v>
      </c>
      <c r="L1571" s="16" t="str">
        <f aca="false">IF(OR(D1571="",E1571=""),"edge hidden",IF(AND(H1571&gt;=D1571-0.02,H1571&lt;=E1571+0.02),"yes","no"))</f>
        <v>no</v>
      </c>
    </row>
    <row r="1572" customFormat="false" ht="15" hidden="false" customHeight="false" outlineLevel="0" collapsed="false">
      <c r="A1572" s="9" t="n">
        <v>46086</v>
      </c>
      <c r="B1572" s="10" t="n">
        <v>24765.9</v>
      </c>
      <c r="C1572" s="11" t="n">
        <v>19.536</v>
      </c>
      <c r="D1572" s="11" t="n">
        <v>19.2112</v>
      </c>
      <c r="E1572" s="11" t="n">
        <v>19.8608</v>
      </c>
      <c r="F1572" s="12" t="n">
        <f aca="false">IF(C1572="","",B1572/C1572)</f>
        <v>1267.70577395577</v>
      </c>
      <c r="G1572" s="12" t="n">
        <f aca="false">MEDIAN(F1562:F1582)</f>
        <v>1254.60783571735</v>
      </c>
      <c r="H1572" s="13" t="n">
        <f aca="false">B1572/G1572</f>
        <v>19.7399532307556</v>
      </c>
      <c r="I1572" s="14" t="n">
        <f aca="false">B1572/Summary!$C$8*100</f>
        <v>248.177691374974</v>
      </c>
      <c r="J1572" s="14" t="n">
        <f aca="false">G1572/Summary!$E$8*100</f>
        <v>213.227908143276</v>
      </c>
      <c r="K1572" s="15" t="n">
        <f aca="false">Summary!$D$9</f>
        <v>16.9374488591431</v>
      </c>
      <c r="L1572" s="16" t="str">
        <f aca="false">IF(OR(D1572="",E1572=""),"edge hidden",IF(AND(H1572&gt;=D1572-0.02,H1572&lt;=E1572+0.02),"yes","no"))</f>
        <v>yes</v>
      </c>
    </row>
    <row r="1573" customFormat="false" ht="15" hidden="false" customHeight="false" outlineLevel="0" collapsed="false">
      <c r="A1573" s="9" t="n">
        <v>46087</v>
      </c>
      <c r="B1573" s="10" t="n">
        <v>24450.45</v>
      </c>
      <c r="C1573" s="11" t="n">
        <v>19.4651</v>
      </c>
      <c r="D1573" s="11" t="n">
        <v>19.1718</v>
      </c>
      <c r="E1573" s="11" t="n">
        <v>19.7584</v>
      </c>
      <c r="F1573" s="12" t="n">
        <f aca="false">IF(C1573="","",B1573/C1573)</f>
        <v>1256.11735876004</v>
      </c>
      <c r="G1573" s="12" t="n">
        <f aca="false">MEDIAN(F1563:F1583)</f>
        <v>1256.11735876004</v>
      </c>
      <c r="H1573" s="13" t="n">
        <f aca="false">B1573/G1573</f>
        <v>19.4651</v>
      </c>
      <c r="I1573" s="14" t="n">
        <f aca="false">B1573/Summary!$C$8*100</f>
        <v>245.016584661943</v>
      </c>
      <c r="J1573" s="14" t="n">
        <f aca="false">G1573/Summary!$E$8*100</f>
        <v>213.484460375394</v>
      </c>
      <c r="K1573" s="15" t="n">
        <f aca="false">Summary!$D$9</f>
        <v>16.9374488591431</v>
      </c>
      <c r="L1573" s="16" t="str">
        <f aca="false">IF(OR(D1573="",E1573=""),"edge hidden",IF(AND(H1573&gt;=D1573-0.02,H1573&lt;=E1573+0.02),"yes","no"))</f>
        <v>yes</v>
      </c>
    </row>
    <row r="1574" customFormat="false" ht="15" hidden="false" customHeight="false" outlineLevel="0" collapsed="false">
      <c r="A1574" s="9" t="n">
        <v>46090</v>
      </c>
      <c r="B1574" s="10" t="n">
        <v>24028.05</v>
      </c>
      <c r="C1574" s="11" t="n">
        <v>19.0045</v>
      </c>
      <c r="D1574" s="11" t="n">
        <v>18.4947</v>
      </c>
      <c r="E1574" s="11" t="n">
        <v>19.5143</v>
      </c>
      <c r="F1574" s="12" t="n">
        <f aca="false">IF(C1574="","",B1574/C1574)</f>
        <v>1264.33476281933</v>
      </c>
      <c r="G1574" s="12" t="n">
        <f aca="false">MEDIAN(F1564:F1584)</f>
        <v>1256.11735876004</v>
      </c>
      <c r="H1574" s="13" t="n">
        <f aca="false">B1574/G1574</f>
        <v>19.1288256884843</v>
      </c>
      <c r="I1574" s="14" t="n">
        <f aca="false">B1574/Summary!$C$8*100</f>
        <v>240.783738012446</v>
      </c>
      <c r="J1574" s="14" t="n">
        <f aca="false">G1574/Summary!$E$8*100</f>
        <v>213.484460375394</v>
      </c>
      <c r="K1574" s="15" t="n">
        <f aca="false">Summary!$D$9</f>
        <v>16.9374488591431</v>
      </c>
      <c r="L1574" s="16" t="str">
        <f aca="false">IF(OR(D1574="",E1574=""),"edge hidden",IF(AND(H1574&gt;=D1574-0.02,H1574&lt;=E1574+0.02),"yes","no"))</f>
        <v>yes</v>
      </c>
    </row>
    <row r="1575" customFormat="false" ht="15" hidden="false" customHeight="false" outlineLevel="0" collapsed="false">
      <c r="A1575" s="9" t="n">
        <v>46091</v>
      </c>
      <c r="B1575" s="10" t="n">
        <v>24261.6</v>
      </c>
      <c r="C1575" s="11" t="n">
        <v>18.973</v>
      </c>
      <c r="D1575" s="11" t="n">
        <v>18.4632</v>
      </c>
      <c r="E1575" s="11" t="n">
        <v>19.4828</v>
      </c>
      <c r="F1575" s="12" t="n">
        <f aca="false">IF(C1575="","",B1575/C1575)</f>
        <v>1278.74347757339</v>
      </c>
      <c r="G1575" s="12" t="n">
        <f aca="false">MEDIAN(F1565:F1585)</f>
        <v>1257.69241232962</v>
      </c>
      <c r="H1575" s="13" t="n">
        <f aca="false">B1575/G1575</f>
        <v>19.2905672024054</v>
      </c>
      <c r="I1575" s="14" t="n">
        <f aca="false">B1575/Summary!$C$8*100</f>
        <v>243.12412943051</v>
      </c>
      <c r="J1575" s="14" t="n">
        <f aca="false">G1575/Summary!$E$8*100</f>
        <v>213.752149902189</v>
      </c>
      <c r="K1575" s="15" t="n">
        <f aca="false">Summary!$D$9</f>
        <v>16.9374488591431</v>
      </c>
      <c r="L1575" s="16" t="str">
        <f aca="false">IF(OR(D1575="",E1575=""),"edge hidden",IF(AND(H1575&gt;=D1575-0.02,H1575&lt;=E1575+0.02),"yes","no"))</f>
        <v>yes</v>
      </c>
    </row>
    <row r="1576" customFormat="false" ht="15" hidden="false" customHeight="false" outlineLevel="0" collapsed="false">
      <c r="A1576" s="9" t="n">
        <v>46092</v>
      </c>
      <c r="B1576" s="10" t="n">
        <v>23866.85</v>
      </c>
      <c r="C1576" s="11" t="n">
        <v>18.9139</v>
      </c>
      <c r="D1576" s="11" t="n">
        <v>18.4553</v>
      </c>
      <c r="E1576" s="11" t="n">
        <v>19.3726</v>
      </c>
      <c r="F1576" s="12" t="n">
        <f aca="false">IF(C1576="","",B1576/C1576)</f>
        <v>1261.86825562153</v>
      </c>
      <c r="G1576" s="12" t="n">
        <f aca="false">MEDIAN(F1566:F1586)</f>
        <v>1257.69241232962</v>
      </c>
      <c r="H1576" s="13" t="n">
        <f aca="false">B1576/G1576</f>
        <v>18.9766987269896</v>
      </c>
      <c r="I1576" s="14" t="n">
        <f aca="false">B1576/Summary!$C$8*100</f>
        <v>239.168361876321</v>
      </c>
      <c r="J1576" s="14" t="n">
        <f aca="false">G1576/Summary!$E$8*100</f>
        <v>213.752149902189</v>
      </c>
      <c r="K1576" s="15" t="n">
        <f aca="false">Summary!$D$9</f>
        <v>16.9374488591431</v>
      </c>
      <c r="L1576" s="16" t="str">
        <f aca="false">IF(OR(D1576="",E1576=""),"edge hidden",IF(AND(H1576&gt;=D1576-0.02,H1576&lt;=E1576+0.02),"yes","no"))</f>
        <v>yes</v>
      </c>
    </row>
    <row r="1577" customFormat="false" ht="15" hidden="false" customHeight="false" outlineLevel="0" collapsed="false">
      <c r="A1577" s="9" t="n">
        <v>46093</v>
      </c>
      <c r="B1577" s="10" t="n">
        <v>23639.15</v>
      </c>
      <c r="C1577" s="11" t="n">
        <v>18.8825</v>
      </c>
      <c r="D1577" s="11" t="n">
        <v>18.4474</v>
      </c>
      <c r="E1577" s="11" t="n">
        <v>19.3175</v>
      </c>
      <c r="F1577" s="12" t="n">
        <f aca="false">IF(C1577="","",B1577/C1577)</f>
        <v>1251.90785118496</v>
      </c>
      <c r="G1577" s="12" t="n">
        <f aca="false">MEDIAN(F1567:F1587)</f>
        <v>1257.69241232962</v>
      </c>
      <c r="H1577" s="13" t="n">
        <f aca="false">B1577/G1577</f>
        <v>18.7956528704925</v>
      </c>
      <c r="I1577" s="14" t="n">
        <f aca="false">B1577/Summary!$C$8*100</f>
        <v>236.886592979327</v>
      </c>
      <c r="J1577" s="14" t="n">
        <f aca="false">G1577/Summary!$E$8*100</f>
        <v>213.752149902189</v>
      </c>
      <c r="K1577" s="15" t="n">
        <f aca="false">Summary!$D$9</f>
        <v>16.9374488591431</v>
      </c>
      <c r="L1577" s="16" t="str">
        <f aca="false">IF(OR(D1577="",E1577=""),"edge hidden",IF(AND(H1577&gt;=D1577-0.02,H1577&lt;=E1577+0.02),"yes","no"))</f>
        <v>yes</v>
      </c>
    </row>
    <row r="1578" customFormat="false" ht="15" hidden="false" customHeight="false" outlineLevel="0" collapsed="false">
      <c r="A1578" s="9" t="n">
        <v>46094</v>
      </c>
      <c r="B1578" s="10" t="n">
        <v>23151.1</v>
      </c>
      <c r="C1578" s="11" t="n">
        <v>18.8549</v>
      </c>
      <c r="D1578" s="11" t="n">
        <v>18.4395</v>
      </c>
      <c r="E1578" s="11" t="n">
        <v>19.2702</v>
      </c>
      <c r="F1578" s="12" t="n">
        <f aca="false">IF(C1578="","",B1578/C1578)</f>
        <v>1227.85588892012</v>
      </c>
      <c r="G1578" s="12" t="n">
        <f aca="false">MEDIAN(F1568:F1588)</f>
        <v>1257.69241232962</v>
      </c>
      <c r="H1578" s="13" t="n">
        <f aca="false">B1578/G1578</f>
        <v>18.4076009150101</v>
      </c>
      <c r="I1578" s="14" t="n">
        <f aca="false">B1578/Summary!$C$8*100</f>
        <v>231.995871371166</v>
      </c>
      <c r="J1578" s="14" t="n">
        <f aca="false">G1578/Summary!$E$8*100</f>
        <v>213.752149902189</v>
      </c>
      <c r="K1578" s="15" t="n">
        <f aca="false">Summary!$D$9</f>
        <v>16.9374488591431</v>
      </c>
      <c r="L1578" s="16" t="str">
        <f aca="false">IF(OR(D1578="",E1578=""),"edge hidden",IF(AND(H1578&gt;=D1578-0.02,H1578&lt;=E1578+0.02),"yes","no"))</f>
        <v>no</v>
      </c>
    </row>
    <row r="1579" customFormat="false" ht="15" hidden="false" customHeight="false" outlineLevel="0" collapsed="false">
      <c r="A1579" s="9" t="n">
        <v>46097</v>
      </c>
      <c r="B1579" s="10" t="n">
        <v>23408.8</v>
      </c>
      <c r="C1579" s="11" t="n">
        <v>18.599</v>
      </c>
      <c r="D1579" s="11" t="n">
        <v>18.3057</v>
      </c>
      <c r="E1579" s="11" t="n">
        <v>18.8923</v>
      </c>
      <c r="F1579" s="12" t="n">
        <f aca="false">IF(C1579="","",B1579/C1579)</f>
        <v>1258.60530136029</v>
      </c>
      <c r="G1579" s="12" t="n">
        <f aca="false">MEDIAN(F1569:F1589)</f>
        <v>1257.69241232962</v>
      </c>
      <c r="H1579" s="13" t="n">
        <f aca="false">B1579/G1579</f>
        <v>18.6124999805317</v>
      </c>
      <c r="I1579" s="14" t="n">
        <f aca="false">B1579/Summary!$C$8*100</f>
        <v>234.578268581335</v>
      </c>
      <c r="J1579" s="14" t="n">
        <f aca="false">G1579/Summary!$E$8*100</f>
        <v>213.752149902189</v>
      </c>
      <c r="K1579" s="15" t="n">
        <f aca="false">Summary!$D$9</f>
        <v>16.9374488591431</v>
      </c>
      <c r="L1579" s="16" t="str">
        <f aca="false">IF(OR(D1579="",E1579=""),"edge hidden",IF(AND(H1579&gt;=D1579-0.02,H1579&lt;=E1579+0.02),"yes","no"))</f>
        <v>yes</v>
      </c>
    </row>
    <row r="1580" customFormat="false" ht="15" hidden="false" customHeight="false" outlineLevel="0" collapsed="false">
      <c r="A1580" s="9" t="n">
        <v>46098</v>
      </c>
      <c r="B1580" s="10" t="n">
        <v>23581.15</v>
      </c>
      <c r="C1580" s="11" t="n">
        <v>18.5951</v>
      </c>
      <c r="D1580" s="11" t="n">
        <v>18.2899</v>
      </c>
      <c r="E1580" s="11" t="n">
        <v>18.9002</v>
      </c>
      <c r="F1580" s="12" t="n">
        <f aca="false">IF(C1580="","",B1580/C1580)</f>
        <v>1268.13784276503</v>
      </c>
      <c r="G1580" s="12" t="n">
        <f aca="false">MEDIAN(F1570:F1590)</f>
        <v>1258.01067357741</v>
      </c>
      <c r="H1580" s="13" t="n">
        <f aca="false">B1580/G1580</f>
        <v>18.7447932639095</v>
      </c>
      <c r="I1580" s="14" t="n">
        <f aca="false">B1580/Summary!$C$8*100</f>
        <v>236.305378240523</v>
      </c>
      <c r="J1580" s="14" t="n">
        <f aca="false">G1580/Summary!$E$8*100</f>
        <v>213.806240254709</v>
      </c>
      <c r="K1580" s="15" t="n">
        <f aca="false">Summary!$D$9</f>
        <v>16.9374488591431</v>
      </c>
      <c r="L1580" s="16" t="str">
        <f aca="false">IF(OR(D1580="",E1580=""),"edge hidden",IF(AND(H1580&gt;=D1580-0.02,H1580&lt;=E1580+0.02),"yes","no"))</f>
        <v>yes</v>
      </c>
    </row>
    <row r="1581" customFormat="false" ht="15" hidden="false" customHeight="false" outlineLevel="0" collapsed="false">
      <c r="A1581" s="9" t="n">
        <v>46099</v>
      </c>
      <c r="B1581" s="10" t="n">
        <v>23777.8</v>
      </c>
      <c r="C1581" s="11" t="n">
        <v>18.5832</v>
      </c>
      <c r="D1581" s="11" t="n">
        <v>18.2742</v>
      </c>
      <c r="E1581" s="11" t="n">
        <v>18.8923</v>
      </c>
      <c r="F1581" s="12" t="n">
        <f aca="false">IF(C1581="","",B1581/C1581)</f>
        <v>1279.53205045417</v>
      </c>
      <c r="G1581" s="12" t="n">
        <f aca="false">MEDIAN(F1571:F1591)</f>
        <v>1258.01067357741</v>
      </c>
      <c r="H1581" s="13" t="n">
        <f aca="false">B1581/G1581</f>
        <v>18.901111492467</v>
      </c>
      <c r="I1581" s="14" t="n">
        <f aca="false">B1581/Summary!$C$8*100</f>
        <v>238.275996833382</v>
      </c>
      <c r="J1581" s="14" t="n">
        <f aca="false">G1581/Summary!$E$8*100</f>
        <v>213.806240254709</v>
      </c>
      <c r="K1581" s="15" t="n">
        <f aca="false">Summary!$D$9</f>
        <v>16.9374488591431</v>
      </c>
      <c r="L1581" s="16" t="str">
        <f aca="false">IF(OR(D1581="",E1581=""),"edge hidden",IF(AND(H1581&gt;=D1581-0.02,H1581&lt;=E1581+0.02),"yes","no"))</f>
        <v>yes</v>
      </c>
    </row>
    <row r="1582" customFormat="false" ht="15" hidden="false" customHeight="false" outlineLevel="0" collapsed="false">
      <c r="A1582" s="9" t="n">
        <v>46100</v>
      </c>
      <c r="B1582" s="10" t="n">
        <v>23002.15</v>
      </c>
      <c r="C1582" s="11" t="n">
        <v>18.4612</v>
      </c>
      <c r="D1582" s="11" t="n">
        <v>18.0301</v>
      </c>
      <c r="E1582" s="11" t="n">
        <v>18.8923</v>
      </c>
      <c r="F1582" s="12" t="n">
        <f aca="false">IF(C1582="","",B1582/C1582)</f>
        <v>1245.9726344983</v>
      </c>
      <c r="G1582" s="12" t="n">
        <f aca="false">MEDIAN(F1572:F1592)</f>
        <v>1258.01067357741</v>
      </c>
      <c r="H1582" s="13" t="n">
        <f aca="false">B1582/G1582</f>
        <v>18.2845427969135</v>
      </c>
      <c r="I1582" s="14" t="n">
        <f aca="false">B1582/Summary!$C$8*100</f>
        <v>230.503251796254</v>
      </c>
      <c r="J1582" s="14" t="n">
        <f aca="false">G1582/Summary!$E$8*100</f>
        <v>213.806240254709</v>
      </c>
      <c r="K1582" s="15" t="n">
        <f aca="false">Summary!$D$9</f>
        <v>16.9374488591431</v>
      </c>
      <c r="L1582" s="16" t="str">
        <f aca="false">IF(OR(D1582="",E1582=""),"edge hidden",IF(AND(H1582&gt;=D1582-0.02,H1582&lt;=E1582+0.02),"yes","no"))</f>
        <v>yes</v>
      </c>
    </row>
    <row r="1583" customFormat="false" ht="15" hidden="false" customHeight="false" outlineLevel="0" collapsed="false">
      <c r="A1583" s="9" t="n">
        <v>46101</v>
      </c>
      <c r="B1583" s="10" t="n">
        <v>23114.5</v>
      </c>
      <c r="C1583" s="11" t="n">
        <v>18.3785</v>
      </c>
      <c r="D1583" s="11" t="n">
        <v>17.8884</v>
      </c>
      <c r="E1583" s="11" t="n">
        <v>18.8687</v>
      </c>
      <c r="F1583" s="12" t="n">
        <f aca="false">IF(C1583="","",B1583/C1583)</f>
        <v>1257.69241232962</v>
      </c>
      <c r="G1583" s="12" t="n">
        <f aca="false">MEDIAN(F1573:F1593)</f>
        <v>1258.01067357741</v>
      </c>
      <c r="H1583" s="13" t="n">
        <f aca="false">B1583/G1583</f>
        <v>18.3738504652503</v>
      </c>
      <c r="I1583" s="14" t="n">
        <f aca="false">B1583/Summary!$C$8*100</f>
        <v>231.629104829093</v>
      </c>
      <c r="J1583" s="14" t="n">
        <f aca="false">G1583/Summary!$E$8*100</f>
        <v>213.806240254709</v>
      </c>
      <c r="K1583" s="15" t="n">
        <f aca="false">Summary!$D$9</f>
        <v>16.9374488591431</v>
      </c>
      <c r="L1583" s="16" t="str">
        <f aca="false">IF(OR(D1583="",E1583=""),"edge hidden",IF(AND(H1583&gt;=D1583-0.02,H1583&lt;=E1583+0.02),"yes","no"))</f>
        <v>yes</v>
      </c>
    </row>
    <row r="1584" customFormat="false" ht="15" hidden="false" customHeight="false" outlineLevel="0" collapsed="false">
      <c r="A1584" s="9" t="n">
        <v>46104</v>
      </c>
      <c r="B1584" s="10" t="n">
        <v>22512.65</v>
      </c>
      <c r="C1584" s="11" t="n">
        <v>18.2092</v>
      </c>
      <c r="D1584" s="11" t="n">
        <v>17.8726</v>
      </c>
      <c r="E1584" s="11" t="n">
        <v>18.5458</v>
      </c>
      <c r="F1584" s="12" t="n">
        <f aca="false">IF(C1584="","",B1584/C1584)</f>
        <v>1236.33383125014</v>
      </c>
      <c r="G1584" s="12" t="n">
        <f aca="false">MEDIAN(F1574:F1594)</f>
        <v>1258.60530136029</v>
      </c>
      <c r="H1584" s="13" t="n">
        <f aca="false">B1584/G1584</f>
        <v>17.8869817055979</v>
      </c>
      <c r="I1584" s="14" t="n">
        <f aca="false">B1584/Summary!$C$8*100</f>
        <v>225.597999819623</v>
      </c>
      <c r="J1584" s="14" t="n">
        <f aca="false">G1584/Summary!$E$8*100</f>
        <v>213.907300709345</v>
      </c>
      <c r="K1584" s="15" t="n">
        <f aca="false">Summary!$D$9</f>
        <v>16.9374488591431</v>
      </c>
      <c r="L1584" s="16" t="str">
        <f aca="false">IF(OR(D1584="",E1584=""),"edge hidden",IF(AND(H1584&gt;=D1584-0.02,H1584&lt;=E1584+0.02),"yes","no"))</f>
        <v>yes</v>
      </c>
    </row>
    <row r="1585" customFormat="false" ht="15" hidden="false" customHeight="false" outlineLevel="0" collapsed="false">
      <c r="A1585" s="9" t="n">
        <v>46105</v>
      </c>
      <c r="B1585" s="10" t="n">
        <v>22912.4</v>
      </c>
      <c r="C1585" s="11" t="n">
        <v>18.2132</v>
      </c>
      <c r="D1585" s="11" t="n">
        <v>17.8805</v>
      </c>
      <c r="E1585" s="11" t="n">
        <v>18.5458</v>
      </c>
      <c r="F1585" s="12" t="n">
        <f aca="false">IF(C1585="","",B1585/C1585)</f>
        <v>1258.01067357741</v>
      </c>
      <c r="G1585" s="12" t="n">
        <f aca="false">MEDIAN(F1575:F1595)</f>
        <v>1258.60530136029</v>
      </c>
      <c r="H1585" s="13" t="n">
        <f aca="false">B1585/G1585</f>
        <v>18.2045951778818</v>
      </c>
      <c r="I1585" s="14" t="n">
        <f aca="false">B1585/Summary!$C$8*100</f>
        <v>229.603872092674</v>
      </c>
      <c r="J1585" s="14" t="n">
        <f aca="false">G1585/Summary!$E$8*100</f>
        <v>213.907300709345</v>
      </c>
      <c r="K1585" s="15" t="n">
        <f aca="false">Summary!$D$9</f>
        <v>16.9374488591431</v>
      </c>
      <c r="L1585" s="16" t="str">
        <f aca="false">IF(OR(D1585="",E1585=""),"edge hidden",IF(AND(H1585&gt;=D1585-0.02,H1585&lt;=E1585+0.02),"yes","no"))</f>
        <v>yes</v>
      </c>
    </row>
    <row r="1586" customFormat="false" ht="15" hidden="false" customHeight="false" outlineLevel="0" collapsed="false">
      <c r="A1586" s="9" t="n">
        <v>46106</v>
      </c>
      <c r="B1586" s="10" t="n">
        <v>23306.45</v>
      </c>
      <c r="C1586" s="11" t="n">
        <v>18.1974</v>
      </c>
      <c r="D1586" s="11" t="n">
        <v>17.8569</v>
      </c>
      <c r="E1586" s="11" t="n">
        <v>18.538</v>
      </c>
      <c r="F1586" s="12" t="n">
        <f aca="false">IF(C1586="","",B1586/C1586)</f>
        <v>1280.75714113005</v>
      </c>
      <c r="G1586" s="12" t="n">
        <f aca="false">MEDIAN(F1576:F1596)</f>
        <v>1258.60530136029</v>
      </c>
      <c r="H1586" s="13" t="n">
        <f aca="false">B1586/G1586</f>
        <v>18.5176798276716</v>
      </c>
      <c r="I1586" s="14" t="n">
        <f aca="false">B1586/Summary!$C$8*100</f>
        <v>233.552624986221</v>
      </c>
      <c r="J1586" s="14" t="n">
        <f aca="false">G1586/Summary!$E$8*100</f>
        <v>213.907300709345</v>
      </c>
      <c r="K1586" s="15" t="n">
        <f aca="false">Summary!$D$9</f>
        <v>16.9374488591431</v>
      </c>
      <c r="L1586" s="16" t="str">
        <f aca="false">IF(OR(D1586="",E1586=""),"edge hidden",IF(AND(H1586&gt;=D1586-0.02,H1586&lt;=E1586+0.02),"yes","no"))</f>
        <v>yes</v>
      </c>
    </row>
    <row r="1587" customFormat="false" ht="15" hidden="false" customHeight="false" outlineLevel="0" collapsed="false">
      <c r="A1587" s="9" t="n">
        <v>46108</v>
      </c>
      <c r="B1587" s="10" t="n">
        <v>22819.6</v>
      </c>
      <c r="C1587" s="11" t="n">
        <v>18.1462</v>
      </c>
      <c r="D1587" s="11" t="n">
        <v>17.7624</v>
      </c>
      <c r="E1587" s="11" t="n">
        <v>18.5301</v>
      </c>
      <c r="F1587" s="12" t="n">
        <f aca="false">IF(C1587="","",B1587/C1587)</f>
        <v>1257.54152384521</v>
      </c>
      <c r="G1587" s="12" t="n">
        <f aca="false">MEDIAN(F1577:F1597)</f>
        <v>1258.60530136029</v>
      </c>
      <c r="H1587" s="13" t="n">
        <f aca="false">B1587/G1587</f>
        <v>18.1308627695567</v>
      </c>
      <c r="I1587" s="14" t="n">
        <f aca="false">B1587/Summary!$C$8*100</f>
        <v>228.673928510587</v>
      </c>
      <c r="J1587" s="14" t="n">
        <f aca="false">G1587/Summary!$E$8*100</f>
        <v>213.907300709345</v>
      </c>
      <c r="K1587" s="15" t="n">
        <f aca="false">Summary!$D$9</f>
        <v>16.9374488591431</v>
      </c>
      <c r="L1587" s="16" t="str">
        <f aca="false">IF(OR(D1587="",E1587=""),"edge hidden",IF(AND(H1587&gt;=D1587-0.02,H1587&lt;=E1587+0.02),"yes","no"))</f>
        <v>yes</v>
      </c>
    </row>
    <row r="1588" customFormat="false" ht="15" hidden="false" customHeight="false" outlineLevel="0" collapsed="false">
      <c r="A1588" s="9" t="n">
        <v>46111</v>
      </c>
      <c r="B1588" s="10" t="n">
        <v>22331.4</v>
      </c>
      <c r="C1588" s="11" t="n">
        <v>17.9336</v>
      </c>
      <c r="D1588" s="11" t="n">
        <v>17.7466</v>
      </c>
      <c r="E1588" s="11" t="n">
        <v>18.1206</v>
      </c>
      <c r="F1588" s="12" t="n">
        <f aca="false">IF(C1588="","",B1588/C1588)</f>
        <v>1245.22683677566</v>
      </c>
      <c r="G1588" s="12" t="n">
        <f aca="false">MEDIAN(F1578:F1598)</f>
        <v>1264.00375341943</v>
      </c>
      <c r="H1588" s="13" t="n">
        <f aca="false">B1588/G1588</f>
        <v>17.6671943731087</v>
      </c>
      <c r="I1588" s="14" t="n">
        <f aca="false">B1588/Summary!$C$8*100</f>
        <v>223.78170376086</v>
      </c>
      <c r="J1588" s="14" t="n">
        <f aca="false">G1588/Summary!$E$8*100</f>
        <v>214.824799075776</v>
      </c>
      <c r="K1588" s="15" t="n">
        <f aca="false">Summary!$D$9</f>
        <v>16.9374488591431</v>
      </c>
      <c r="L1588" s="16" t="str">
        <f aca="false">IF(OR(D1588="",E1588=""),"edge hidden",IF(AND(H1588&gt;=D1588-0.02,H1588&lt;=E1588+0.02),"yes","no"))</f>
        <v>no</v>
      </c>
    </row>
    <row r="1589" customFormat="false" ht="15" hidden="false" customHeight="false" outlineLevel="0" collapsed="false">
      <c r="A1589" s="9" t="n">
        <v>46113</v>
      </c>
      <c r="B1589" s="10" t="n">
        <v>22679.4</v>
      </c>
      <c r="C1589" s="11" t="n">
        <v>17.9415</v>
      </c>
      <c r="D1589" s="11" t="n">
        <v>17.7624</v>
      </c>
      <c r="E1589" s="11" t="n">
        <v>18.1206</v>
      </c>
      <c r="F1589" s="12" t="n">
        <f aca="false">IF(C1589="","",B1589/C1589)</f>
        <v>1264.07491012457</v>
      </c>
      <c r="G1589" s="12" t="n">
        <f aca="false">MEDIAN(F1579:F1599)</f>
        <v>1264.07491012457</v>
      </c>
      <c r="H1589" s="13" t="n">
        <f aca="false">B1589/G1589</f>
        <v>17.9415</v>
      </c>
      <c r="I1589" s="14" t="n">
        <f aca="false">B1589/Summary!$C$8*100</f>
        <v>227.268992193685</v>
      </c>
      <c r="J1589" s="14" t="n">
        <f aca="false">G1589/Summary!$E$8*100</f>
        <v>214.836892572211</v>
      </c>
      <c r="K1589" s="15" t="n">
        <f aca="false">Summary!$D$9</f>
        <v>16.9374488591431</v>
      </c>
      <c r="L1589" s="16" t="str">
        <f aca="false">IF(OR(D1589="",E1589=""),"edge hidden",IF(AND(H1589&gt;=D1589-0.02,H1589&lt;=E1589+0.02),"yes","no"))</f>
        <v>yes</v>
      </c>
    </row>
    <row r="1590" customFormat="false" ht="15" hidden="false" customHeight="false" outlineLevel="0" collapsed="false">
      <c r="A1590" s="9" t="n">
        <v>46114</v>
      </c>
      <c r="B1590" s="10" t="n">
        <v>22713.1</v>
      </c>
      <c r="C1590" s="11" t="n">
        <v>17.9533</v>
      </c>
      <c r="D1590" s="11" t="n">
        <v>17.7702</v>
      </c>
      <c r="E1590" s="11" t="n">
        <v>18.1364</v>
      </c>
      <c r="F1590" s="12" t="n">
        <f aca="false">IF(C1590="","",B1590/C1590)</f>
        <v>1265.1211754942</v>
      </c>
      <c r="G1590" s="12" t="n">
        <f aca="false">MEDIAN(F1580:F1600)</f>
        <v>1265.1211754942</v>
      </c>
      <c r="H1590" s="13" t="n">
        <f aca="false">B1590/G1590</f>
        <v>17.9533</v>
      </c>
      <c r="I1590" s="14" t="n">
        <f aca="false">B1590/Summary!$C$8*100</f>
        <v>227.606697998818</v>
      </c>
      <c r="J1590" s="14" t="n">
        <f aca="false">G1590/Summary!$E$8*100</f>
        <v>215.014711464917</v>
      </c>
      <c r="K1590" s="15" t="n">
        <f aca="false">Summary!$D$9</f>
        <v>16.9374488591431</v>
      </c>
      <c r="L1590" s="16" t="str">
        <f aca="false">IF(OR(D1590="",E1590=""),"edge hidden",IF(AND(H1590&gt;=D1590-0.02,H1590&lt;=E1590+0.02),"yes","no"))</f>
        <v>yes</v>
      </c>
    </row>
    <row r="1591" customFormat="false" ht="15" hidden="false" customHeight="false" outlineLevel="0" collapsed="false">
      <c r="A1591" s="9" t="n">
        <v>46118</v>
      </c>
      <c r="B1591" s="10" t="n">
        <v>22968.25</v>
      </c>
      <c r="C1591" s="11" t="n">
        <v>18.4612</v>
      </c>
      <c r="D1591" s="11" t="n">
        <v>18.0143</v>
      </c>
      <c r="E1591" s="11" t="n">
        <v>18.908</v>
      </c>
      <c r="F1591" s="12" t="n">
        <f aca="false">IF(C1591="","",B1591/C1591)</f>
        <v>1244.1363508331</v>
      </c>
      <c r="G1591" s="12" t="n">
        <f aca="false">MEDIAN(F1581:F1601)</f>
        <v>1265.1211754942</v>
      </c>
      <c r="H1591" s="13" t="n">
        <f aca="false">B1591/G1591</f>
        <v>18.1549802856061</v>
      </c>
      <c r="I1591" s="14" t="n">
        <f aca="false">B1591/Summary!$C$8*100</f>
        <v>230.163541802367</v>
      </c>
      <c r="J1591" s="14" t="n">
        <f aca="false">G1591/Summary!$E$8*100</f>
        <v>215.014711464917</v>
      </c>
      <c r="K1591" s="15" t="n">
        <f aca="false">Summary!$D$9</f>
        <v>16.9374488591431</v>
      </c>
      <c r="L1591" s="16" t="str">
        <f aca="false">IF(OR(D1591="",E1591=""),"edge hidden",IF(AND(H1591&gt;=D1591-0.02,H1591&lt;=E1591+0.02),"yes","no"))</f>
        <v>yes</v>
      </c>
    </row>
    <row r="1592" customFormat="false" ht="15" hidden="false" customHeight="false" outlineLevel="0" collapsed="false">
      <c r="A1592" s="9" t="n">
        <v>46119</v>
      </c>
      <c r="B1592" s="10" t="n">
        <v>23123.65</v>
      </c>
      <c r="C1592" s="11" t="n">
        <v>18.4651</v>
      </c>
      <c r="D1592" s="11" t="n">
        <v>18.0222</v>
      </c>
      <c r="E1592" s="11" t="n">
        <v>18.908</v>
      </c>
      <c r="F1592" s="12" t="n">
        <f aca="false">IF(C1592="","",B1592/C1592)</f>
        <v>1252.28945415947</v>
      </c>
      <c r="G1592" s="12" t="n">
        <f aca="false">MEDIAN(F1582:F1602)</f>
        <v>1265.1211754942</v>
      </c>
      <c r="H1592" s="13" t="n">
        <f aca="false">B1592/G1592</f>
        <v>18.2778143690205</v>
      </c>
      <c r="I1592" s="14" t="n">
        <f aca="false">B1592/Summary!$C$8*100</f>
        <v>231.720796464611</v>
      </c>
      <c r="J1592" s="14" t="n">
        <f aca="false">G1592/Summary!$E$8*100</f>
        <v>215.014711464917</v>
      </c>
      <c r="K1592" s="15" t="n">
        <f aca="false">Summary!$D$9</f>
        <v>16.9374488591431</v>
      </c>
      <c r="L1592" s="16" t="str">
        <f aca="false">IF(OR(D1592="",E1592=""),"edge hidden",IF(AND(H1592&gt;=D1592-0.02,H1592&lt;=E1592+0.02),"yes","no"))</f>
        <v>yes</v>
      </c>
    </row>
    <row r="1593" customFormat="false" ht="15" hidden="false" customHeight="false" outlineLevel="0" collapsed="false">
      <c r="A1593" s="9" t="n">
        <v>46120</v>
      </c>
      <c r="B1593" s="10" t="n">
        <v>23997.35</v>
      </c>
      <c r="C1593" s="11" t="n">
        <v>18.5951</v>
      </c>
      <c r="D1593" s="11" t="n">
        <v>18.2742</v>
      </c>
      <c r="E1593" s="11" t="n">
        <v>18.9159</v>
      </c>
      <c r="F1593" s="12" t="n">
        <f aca="false">IF(C1593="","",B1593/C1593)</f>
        <v>1290.52008324774</v>
      </c>
      <c r="G1593" s="12" t="n">
        <f aca="false">MEDIAN(F1583:F1603)</f>
        <v>1276.19512710187</v>
      </c>
      <c r="H1593" s="13" t="n">
        <f aca="false">B1593/G1593</f>
        <v>18.803825128604</v>
      </c>
      <c r="I1593" s="14" t="n">
        <f aca="false">B1593/Summary!$C$8*100</f>
        <v>240.476095038631</v>
      </c>
      <c r="J1593" s="14" t="n">
        <f aca="false">G1593/Summary!$E$8*100</f>
        <v>216.896794032043</v>
      </c>
      <c r="K1593" s="15" t="n">
        <f aca="false">Summary!$D$9</f>
        <v>16.9374488591431</v>
      </c>
      <c r="L1593" s="16" t="str">
        <f aca="false">IF(OR(D1593="",E1593=""),"edge hidden",IF(AND(H1593&gt;=D1593-0.02,H1593&lt;=E1593+0.02),"yes","no"))</f>
        <v>yes</v>
      </c>
    </row>
    <row r="1594" customFormat="false" ht="15" hidden="false" customHeight="false" outlineLevel="0" collapsed="false">
      <c r="A1594" s="9" t="n">
        <v>46121</v>
      </c>
      <c r="B1594" s="10" t="n">
        <v>23775.1</v>
      </c>
      <c r="C1594" s="11" t="n">
        <v>18.6147</v>
      </c>
      <c r="D1594" s="11" t="n">
        <v>18.3136</v>
      </c>
      <c r="E1594" s="11" t="n">
        <v>18.9159</v>
      </c>
      <c r="F1594" s="12" t="n">
        <f aca="false">IF(C1594="","",B1594/C1594)</f>
        <v>1277.22176559386</v>
      </c>
      <c r="G1594" s="12" t="n">
        <f aca="false">MEDIAN(F1584:F1604)</f>
        <v>1276.19512710187</v>
      </c>
      <c r="H1594" s="13" t="n">
        <f aca="false">B1594/G1594</f>
        <v>18.6296746438699</v>
      </c>
      <c r="I1594" s="14" t="n">
        <f aca="false">B1594/Summary!$C$8*100</f>
        <v>238.248940285196</v>
      </c>
      <c r="J1594" s="14" t="n">
        <f aca="false">G1594/Summary!$E$8*100</f>
        <v>216.896794032043</v>
      </c>
      <c r="K1594" s="15" t="n">
        <f aca="false">Summary!$D$9</f>
        <v>16.9374488591431</v>
      </c>
      <c r="L1594" s="16" t="str">
        <f aca="false">IF(OR(D1594="",E1594=""),"edge hidden",IF(AND(H1594&gt;=D1594-0.02,H1594&lt;=E1594+0.02),"yes","no"))</f>
        <v>yes</v>
      </c>
    </row>
    <row r="1595" customFormat="false" ht="15" hidden="false" customHeight="false" outlineLevel="0" collapsed="false">
      <c r="A1595" s="9" t="n">
        <v>46122</v>
      </c>
      <c r="B1595" s="10" t="n">
        <v>24050.6</v>
      </c>
      <c r="C1595" s="11" t="n">
        <v>18.7998</v>
      </c>
      <c r="D1595" s="11" t="n">
        <v>18.6836</v>
      </c>
      <c r="E1595" s="11" t="n">
        <v>18.9159</v>
      </c>
      <c r="F1595" s="12" t="n">
        <f aca="false">IF(C1595="","",B1595/C1595)</f>
        <v>1279.300843626</v>
      </c>
      <c r="G1595" s="12" t="n">
        <f aca="false">MEDIAN(F1585:F1605)</f>
        <v>1277.22176559386</v>
      </c>
      <c r="H1595" s="13" t="n">
        <f aca="false">B1595/G1595</f>
        <v>18.8304025564561</v>
      </c>
      <c r="I1595" s="14" t="n">
        <f aca="false">B1595/Summary!$C$8*100</f>
        <v>241.009710294516</v>
      </c>
      <c r="J1595" s="14" t="n">
        <f aca="false">G1595/Summary!$E$8*100</f>
        <v>217.071277222594</v>
      </c>
      <c r="K1595" s="15" t="n">
        <f aca="false">Summary!$D$9</f>
        <v>16.9374488591431</v>
      </c>
      <c r="L1595" s="16" t="str">
        <f aca="false">IF(OR(D1595="",E1595=""),"edge hidden",IF(AND(H1595&gt;=D1595-0.02,H1595&lt;=E1595+0.02),"yes","no"))</f>
        <v>yes</v>
      </c>
    </row>
    <row r="1596" customFormat="false" ht="15" hidden="false" customHeight="false" outlineLevel="0" collapsed="false">
      <c r="A1596" s="9" t="n">
        <v>46125</v>
      </c>
      <c r="B1596" s="10" t="n">
        <v>23842.65</v>
      </c>
      <c r="C1596" s="11" t="n">
        <v>18.8628</v>
      </c>
      <c r="D1596" s="11" t="n">
        <v>18.7073</v>
      </c>
      <c r="E1596" s="11" t="n">
        <v>19.0183</v>
      </c>
      <c r="F1596" s="12" t="n">
        <f aca="false">IF(C1596="","",B1596/C1596)</f>
        <v>1264.00375341943</v>
      </c>
      <c r="G1596" s="12" t="n">
        <f aca="false">MEDIAN(F1586:F1606)</f>
        <v>1277.22176559386</v>
      </c>
      <c r="H1596" s="13" t="n">
        <f aca="false">B1596/G1596</f>
        <v>18.6675882311746</v>
      </c>
      <c r="I1596" s="14" t="n">
        <f aca="false">B1596/Summary!$C$8*100</f>
        <v>238.925855037027</v>
      </c>
      <c r="J1596" s="14" t="n">
        <f aca="false">G1596/Summary!$E$8*100</f>
        <v>217.071277222594</v>
      </c>
      <c r="K1596" s="15" t="n">
        <f aca="false">Summary!$D$9</f>
        <v>16.9374488591431</v>
      </c>
      <c r="L1596" s="16" t="str">
        <f aca="false">IF(OR(D1596="",E1596=""),"edge hidden",IF(AND(H1596&gt;=D1596-0.02,H1596&lt;=E1596+0.02),"yes","no"))</f>
        <v>no</v>
      </c>
    </row>
    <row r="1597" customFormat="false" ht="15" hidden="false" customHeight="false" outlineLevel="0" collapsed="false">
      <c r="A1597" s="9" t="n">
        <v>46127</v>
      </c>
      <c r="B1597" s="10" t="n">
        <v>24231.3</v>
      </c>
      <c r="C1597" s="11" t="n">
        <v>18.8825</v>
      </c>
      <c r="D1597" s="11" t="n">
        <v>18.723</v>
      </c>
      <c r="E1597" s="11" t="n">
        <v>19.0419</v>
      </c>
      <c r="F1597" s="12" t="n">
        <f aca="false">IF(C1597="","",B1597/C1597)</f>
        <v>1283.2675757977</v>
      </c>
      <c r="G1597" s="12" t="n">
        <f aca="false">MEDIAN(F1587:F1607)</f>
        <v>1276.70084910443</v>
      </c>
      <c r="H1597" s="13" t="n">
        <f aca="false">B1597/G1597</f>
        <v>18.9796223735557</v>
      </c>
      <c r="I1597" s="14" t="n">
        <f aca="false">B1597/Summary!$C$8*100</f>
        <v>242.820494834203</v>
      </c>
      <c r="J1597" s="14" t="n">
        <f aca="false">G1597/Summary!$E$8*100</f>
        <v>216.982744431553</v>
      </c>
      <c r="K1597" s="15" t="n">
        <f aca="false">Summary!$D$9</f>
        <v>16.9374488591431</v>
      </c>
      <c r="L1597" s="16" t="str">
        <f aca="false">IF(OR(D1597="",E1597=""),"edge hidden",IF(AND(H1597&gt;=D1597-0.02,H1597&lt;=E1597+0.02),"yes","no"))</f>
        <v>yes</v>
      </c>
    </row>
    <row r="1598" customFormat="false" ht="15" hidden="false" customHeight="false" outlineLevel="0" collapsed="false">
      <c r="A1598" s="9" t="n">
        <v>46128</v>
      </c>
      <c r="B1598" s="10" t="n">
        <v>24196.75</v>
      </c>
      <c r="C1598" s="11" t="n">
        <v>18.9139</v>
      </c>
      <c r="D1598" s="11" t="n">
        <v>18.7466</v>
      </c>
      <c r="E1598" s="11" t="n">
        <v>19.0813</v>
      </c>
      <c r="F1598" s="12" t="n">
        <f aca="false">IF(C1598="","",B1598/C1598)</f>
        <v>1279.31045421621</v>
      </c>
      <c r="G1598" s="12" t="n">
        <f aca="false">MEDIAN(F1588:F1608)</f>
        <v>1276.70084910443</v>
      </c>
      <c r="H1598" s="13" t="n">
        <f aca="false">B1598/G1598</f>
        <v>18.9525604349472</v>
      </c>
      <c r="I1598" s="14" t="n">
        <f aca="false">B1598/Summary!$C$8*100</f>
        <v>242.474271226864</v>
      </c>
      <c r="J1598" s="14" t="n">
        <f aca="false">G1598/Summary!$E$8*100</f>
        <v>216.982744431553</v>
      </c>
      <c r="K1598" s="15" t="n">
        <f aca="false">Summary!$D$9</f>
        <v>16.9374488591431</v>
      </c>
      <c r="L1598" s="16" t="str">
        <f aca="false">IF(OR(D1598="",E1598=""),"edge hidden",IF(AND(H1598&gt;=D1598-0.02,H1598&lt;=E1598+0.02),"yes","no"))</f>
        <v>yes</v>
      </c>
    </row>
    <row r="1599" customFormat="false" ht="15" hidden="false" customHeight="false" outlineLevel="0" collapsed="false">
      <c r="A1599" s="9" t="n">
        <v>46129</v>
      </c>
      <c r="B1599" s="10" t="n">
        <v>24353.55</v>
      </c>
      <c r="C1599" s="11" t="n">
        <v>19.036</v>
      </c>
      <c r="D1599" s="11" t="n">
        <v>18.849</v>
      </c>
      <c r="E1599" s="11" t="n">
        <v>19.223</v>
      </c>
      <c r="F1599" s="12" t="n">
        <f aca="false">IF(C1599="","",B1599/C1599)</f>
        <v>1279.34177348182</v>
      </c>
      <c r="G1599" s="12" t="n">
        <f aca="false">MEDIAN(F1589:F1609)</f>
        <v>1276.70084910443</v>
      </c>
      <c r="H1599" s="13" t="n">
        <f aca="false">B1599/G1599</f>
        <v>19.075376989906</v>
      </c>
      <c r="I1599" s="14" t="n">
        <f aca="false">B1599/Summary!$C$8*100</f>
        <v>244.04555521039</v>
      </c>
      <c r="J1599" s="14" t="n">
        <f aca="false">G1599/Summary!$E$8*100</f>
        <v>216.982744431553</v>
      </c>
      <c r="K1599" s="15" t="n">
        <f aca="false">Summary!$D$9</f>
        <v>16.9374488591431</v>
      </c>
      <c r="L1599" s="16" t="str">
        <f aca="false">IF(OR(D1599="",E1599=""),"edge hidden",IF(AND(H1599&gt;=D1599-0.02,H1599&lt;=E1599+0.02),"yes","no"))</f>
        <v>yes</v>
      </c>
    </row>
    <row r="1600" customFormat="false" ht="15" hidden="false" customHeight="false" outlineLevel="0" collapsed="false">
      <c r="A1600" s="9" t="n">
        <v>46132</v>
      </c>
      <c r="B1600" s="10" t="n">
        <v>24364.85</v>
      </c>
      <c r="C1600" s="11" t="n">
        <v>19.0045</v>
      </c>
      <c r="D1600" s="11" t="n">
        <v>18.7545</v>
      </c>
      <c r="E1600" s="11" t="n">
        <v>19.2545</v>
      </c>
      <c r="F1600" s="12" t="n">
        <f aca="false">IF(C1600="","",B1600/C1600)</f>
        <v>1282.05688126496</v>
      </c>
      <c r="G1600" s="12" t="n">
        <f aca="false">MEDIAN(F1590:F1610)</f>
        <v>1276.70084910443</v>
      </c>
      <c r="H1600" s="13" t="n">
        <f aca="false">B1600/G1600</f>
        <v>19.084227927859</v>
      </c>
      <c r="I1600" s="14" t="n">
        <f aca="false">B1600/Summary!$C$8*100</f>
        <v>244.158791875019</v>
      </c>
      <c r="J1600" s="14" t="n">
        <f aca="false">G1600/Summary!$E$8*100</f>
        <v>216.982744431553</v>
      </c>
      <c r="K1600" s="15" t="n">
        <f aca="false">Summary!$D$9</f>
        <v>16.9374488591431</v>
      </c>
      <c r="L1600" s="16" t="str">
        <f aca="false">IF(OR(D1600="",E1600=""),"edge hidden",IF(AND(H1600&gt;=D1600-0.02,H1600&lt;=E1600+0.02),"yes","no"))</f>
        <v>yes</v>
      </c>
    </row>
    <row r="1601" customFormat="false" ht="15" hidden="false" customHeight="false" outlineLevel="0" collapsed="false">
      <c r="A1601" s="9" t="n">
        <v>46133</v>
      </c>
      <c r="B1601" s="10" t="n">
        <v>24576.6</v>
      </c>
      <c r="C1601" s="11" t="n">
        <v>18.9691</v>
      </c>
      <c r="D1601" s="11" t="n">
        <v>18.6836</v>
      </c>
      <c r="E1601" s="11" t="n">
        <v>19.2545</v>
      </c>
      <c r="F1601" s="12" t="n">
        <f aca="false">IF(C1601="","",B1601/C1601)</f>
        <v>1295.61233796016</v>
      </c>
      <c r="G1601" s="12" t="n">
        <f aca="false">MEDIAN(F1591:F1611)</f>
        <v>1277.22176559386</v>
      </c>
      <c r="H1601" s="13" t="n">
        <f aca="false">B1601/G1601</f>
        <v>19.2422339346627</v>
      </c>
      <c r="I1601" s="14" t="n">
        <f aca="false">B1601/Summary!$C$8*100</f>
        <v>246.280726718842</v>
      </c>
      <c r="J1601" s="14" t="n">
        <f aca="false">G1601/Summary!$E$8*100</f>
        <v>217.071277222594</v>
      </c>
      <c r="K1601" s="15" t="n">
        <f aca="false">Summary!$D$9</f>
        <v>16.9374488591431</v>
      </c>
      <c r="L1601" s="16" t="str">
        <f aca="false">IF(OR(D1601="",E1601=""),"edge hidden",IF(AND(H1601&gt;=D1601-0.02,H1601&lt;=E1601+0.02),"yes","no"))</f>
        <v>yes</v>
      </c>
    </row>
    <row r="1602" customFormat="false" ht="15" hidden="false" customHeight="false" outlineLevel="0" collapsed="false">
      <c r="A1602" s="9" t="n">
        <v>46134</v>
      </c>
      <c r="B1602" s="10" t="n">
        <v>24378.1</v>
      </c>
      <c r="C1602" s="11" t="n">
        <v>18.9494</v>
      </c>
      <c r="D1602" s="11" t="n">
        <v>18.6521</v>
      </c>
      <c r="E1602" s="11" t="n">
        <v>19.2466</v>
      </c>
      <c r="F1602" s="12" t="n">
        <f aca="false">IF(C1602="","",B1602/C1602)</f>
        <v>1286.4840047706</v>
      </c>
      <c r="G1602" s="12" t="n">
        <f aca="false">MEDIAN(F1592:F1612)</f>
        <v>1278.33076882262</v>
      </c>
      <c r="H1602" s="13" t="n">
        <f aca="false">B1602/G1602</f>
        <v>19.0702599003018</v>
      </c>
      <c r="I1602" s="14" t="n">
        <f aca="false">B1602/Summary!$C$8*100</f>
        <v>244.291569380004</v>
      </c>
      <c r="J1602" s="14" t="n">
        <f aca="false">G1602/Summary!$E$8*100</f>
        <v>217.259758779828</v>
      </c>
      <c r="K1602" s="15" t="n">
        <f aca="false">Summary!$D$9</f>
        <v>16.9374488591431</v>
      </c>
      <c r="L1602" s="16" t="str">
        <f aca="false">IF(OR(D1602="",E1602=""),"edge hidden",IF(AND(H1602&gt;=D1602-0.02,H1602&lt;=E1602+0.02),"yes","no"))</f>
        <v>yes</v>
      </c>
    </row>
    <row r="1603" customFormat="false" ht="15" hidden="false" customHeight="false" outlineLevel="0" collapsed="false">
      <c r="A1603" s="9" t="n">
        <v>46135</v>
      </c>
      <c r="B1603" s="10" t="n">
        <v>24173.05</v>
      </c>
      <c r="C1603" s="11" t="n">
        <v>18.9415</v>
      </c>
      <c r="D1603" s="11" t="n">
        <v>18.6521</v>
      </c>
      <c r="E1603" s="11" t="n">
        <v>19.2309</v>
      </c>
      <c r="F1603" s="12" t="n">
        <f aca="false">IF(C1603="","",B1603/C1603)</f>
        <v>1276.19512710187</v>
      </c>
      <c r="G1603" s="12" t="n">
        <f aca="false">MEDIAN(F1593:F1613)</f>
        <v>1279.21630687374</v>
      </c>
      <c r="H1603" s="13" t="n">
        <f aca="false">B1603/G1603</f>
        <v>18.8967650506865</v>
      </c>
      <c r="I1603" s="14" t="n">
        <f aca="false">B1603/Summary!$C$8*100</f>
        <v>242.236774859456</v>
      </c>
      <c r="J1603" s="14" t="n">
        <f aca="false">G1603/Summary!$E$8*100</f>
        <v>217.410261128727</v>
      </c>
      <c r="K1603" s="15" t="n">
        <f aca="false">Summary!$D$9</f>
        <v>16.9374488591431</v>
      </c>
      <c r="L1603" s="16" t="str">
        <f aca="false">IF(OR(D1603="",E1603=""),"edge hidden",IF(AND(H1603&gt;=D1603-0.02,H1603&lt;=E1603+0.02),"yes","no"))</f>
        <v>yes</v>
      </c>
    </row>
    <row r="1604" customFormat="false" ht="15" hidden="false" customHeight="false" outlineLevel="0" collapsed="false">
      <c r="A1604" s="9" t="n">
        <v>46136</v>
      </c>
      <c r="B1604" s="10" t="n">
        <v>23897.95</v>
      </c>
      <c r="C1604" s="11" t="n">
        <v>18.8903</v>
      </c>
      <c r="D1604" s="11" t="n">
        <v>18.6443</v>
      </c>
      <c r="E1604" s="11" t="n">
        <v>19.1364</v>
      </c>
      <c r="F1604" s="12" t="n">
        <f aca="false">IF(C1604="","",B1604/C1604)</f>
        <v>1265.09107849002</v>
      </c>
      <c r="G1604" s="12" t="n">
        <f aca="false">MEDIAN(F1594:F1614)</f>
        <v>1278.33076882262</v>
      </c>
      <c r="H1604" s="13" t="n">
        <f aca="false">B1604/G1604</f>
        <v>18.6946528886343</v>
      </c>
      <c r="I1604" s="14" t="n">
        <f aca="false">B1604/Summary!$C$8*100</f>
        <v>239.480013227646</v>
      </c>
      <c r="J1604" s="14" t="n">
        <f aca="false">G1604/Summary!$E$8*100</f>
        <v>217.259758779828</v>
      </c>
      <c r="K1604" s="15" t="n">
        <f aca="false">Summary!$D$9</f>
        <v>16.9374488591431</v>
      </c>
      <c r="L1604" s="16" t="str">
        <f aca="false">IF(OR(D1604="",E1604=""),"edge hidden",IF(AND(H1604&gt;=D1604-0.02,H1604&lt;=E1604+0.02),"yes","no"))</f>
        <v>yes</v>
      </c>
    </row>
    <row r="1605" customFormat="false" ht="15" hidden="false" customHeight="false" outlineLevel="0" collapsed="false">
      <c r="A1605" s="9" t="n">
        <v>46139</v>
      </c>
      <c r="B1605" s="10" t="n">
        <v>24092.7</v>
      </c>
      <c r="C1605" s="11" t="n">
        <v>18.847</v>
      </c>
      <c r="D1605" s="11" t="n">
        <v>18.6836</v>
      </c>
      <c r="E1605" s="11" t="n">
        <v>19.0104</v>
      </c>
      <c r="F1605" s="12" t="n">
        <f aca="false">IF(C1605="","",B1605/C1605)</f>
        <v>1278.33076882262</v>
      </c>
      <c r="G1605" s="12" t="n">
        <f aca="false">MEDIAN(F1595:F1615)</f>
        <v>1278.33076882262</v>
      </c>
      <c r="H1605" s="13" t="n">
        <f aca="false">B1605/G1605</f>
        <v>18.847</v>
      </c>
      <c r="I1605" s="14" t="n">
        <f aca="false">B1605/Summary!$C$8*100</f>
        <v>241.431592027337</v>
      </c>
      <c r="J1605" s="14" t="n">
        <f aca="false">G1605/Summary!$E$8*100</f>
        <v>217.259758779828</v>
      </c>
      <c r="K1605" s="15" t="n">
        <f aca="false">Summary!$D$9</f>
        <v>16.9374488591431</v>
      </c>
      <c r="L1605" s="16" t="str">
        <f aca="false">IF(OR(D1605="",E1605=""),"edge hidden",IF(AND(H1605&gt;=D1605-0.02,H1605&lt;=E1605+0.02),"yes","no"))</f>
        <v>yes</v>
      </c>
    </row>
    <row r="1606" customFormat="false" ht="15" hidden="false" customHeight="false" outlineLevel="0" collapsed="false">
      <c r="A1606" s="9" t="n">
        <v>46140</v>
      </c>
      <c r="B1606" s="10" t="n">
        <v>23995.7</v>
      </c>
      <c r="C1606" s="11" t="n">
        <v>18.8746</v>
      </c>
      <c r="D1606" s="11" t="n">
        <v>18.7388</v>
      </c>
      <c r="E1606" s="11" t="n">
        <v>19.0104</v>
      </c>
      <c r="F1606" s="12" t="n">
        <f aca="false">IF(C1606="","",B1606/C1606)</f>
        <v>1271.32230616808</v>
      </c>
      <c r="G1606" s="12" t="n">
        <f aca="false">MEDIAN(F1596:F1616)</f>
        <v>1276.70084910443</v>
      </c>
      <c r="H1606" s="13" t="n">
        <f aca="false">B1606/G1606</f>
        <v>18.7950842335794</v>
      </c>
      <c r="I1606" s="14" t="n">
        <f aca="false">B1606/Summary!$C$8*100</f>
        <v>240.459560481406</v>
      </c>
      <c r="J1606" s="14" t="n">
        <f aca="false">G1606/Summary!$E$8*100</f>
        <v>216.982744431553</v>
      </c>
      <c r="K1606" s="15" t="n">
        <f aca="false">Summary!$D$9</f>
        <v>16.9374488591431</v>
      </c>
      <c r="L1606" s="16" t="str">
        <f aca="false">IF(OR(D1606="",E1606=""),"edge hidden",IF(AND(H1606&gt;=D1606-0.02,H1606&lt;=E1606+0.02),"yes","no"))</f>
        <v>yes</v>
      </c>
    </row>
    <row r="1607" customFormat="false" ht="15" hidden="false" customHeight="false" outlineLevel="0" collapsed="false">
      <c r="A1607" s="9" t="n">
        <v>46141</v>
      </c>
      <c r="B1607" s="10" t="n">
        <v>24177.65</v>
      </c>
      <c r="C1607" s="11" t="n">
        <v>18.9376</v>
      </c>
      <c r="D1607" s="11" t="n">
        <v>18.8647</v>
      </c>
      <c r="E1607" s="11" t="n">
        <v>19.0104</v>
      </c>
      <c r="F1607" s="12" t="n">
        <f aca="false">IF(C1607="","",B1607/C1607)</f>
        <v>1276.70084910443</v>
      </c>
      <c r="G1607" s="12" t="n">
        <f aca="false">MEDIAN(F1597:F1617)</f>
        <v>1276.70084910443</v>
      </c>
      <c r="H1607" s="13" t="n">
        <f aca="false">B1607/G1607</f>
        <v>18.9376</v>
      </c>
      <c r="I1607" s="14" t="n">
        <f aca="false">B1607/Summary!$C$8*100</f>
        <v>242.28287120081</v>
      </c>
      <c r="J1607" s="14" t="n">
        <f aca="false">G1607/Summary!$E$8*100</f>
        <v>216.982744431553</v>
      </c>
      <c r="K1607" s="15" t="n">
        <f aca="false">Summary!$D$9</f>
        <v>16.9374488591431</v>
      </c>
      <c r="L1607" s="16" t="str">
        <f aca="false">IF(OR(D1607="",E1607=""),"edge hidden",IF(AND(H1607&gt;=D1607-0.02,H1607&lt;=E1607+0.02),"yes","no"))</f>
        <v>yes</v>
      </c>
    </row>
    <row r="1608" customFormat="false" ht="15" hidden="false" customHeight="false" outlineLevel="0" collapsed="false">
      <c r="A1608" s="9" t="n">
        <v>46142</v>
      </c>
      <c r="B1608" s="10" t="n">
        <v>23997.55</v>
      </c>
      <c r="C1608" s="11" t="n">
        <v>18.9454</v>
      </c>
      <c r="D1608" s="11" t="n">
        <v>18.8726</v>
      </c>
      <c r="E1608" s="11" t="n">
        <v>19.0183</v>
      </c>
      <c r="F1608" s="12" t="n">
        <f aca="false">IF(C1608="","",B1608/C1608)</f>
        <v>1266.66895394133</v>
      </c>
      <c r="G1608" s="12" t="n">
        <f aca="false">MEDIAN(F1598:F1618)</f>
        <v>1276.19512710187</v>
      </c>
      <c r="H1608" s="13" t="n">
        <f aca="false">B1608/G1608</f>
        <v>18.8039818444507</v>
      </c>
      <c r="I1608" s="14" t="n">
        <f aca="false">B1608/Summary!$C$8*100</f>
        <v>240.478099227385</v>
      </c>
      <c r="J1608" s="14" t="n">
        <f aca="false">G1608/Summary!$E$8*100</f>
        <v>216.896794032043</v>
      </c>
      <c r="K1608" s="15" t="n">
        <f aca="false">Summary!$D$9</f>
        <v>16.9374488591431</v>
      </c>
      <c r="L1608" s="16" t="str">
        <f aca="false">IF(OR(D1608="",E1608=""),"edge hidden",IF(AND(H1608&gt;=D1608-0.02,H1608&lt;=E1608+0.02),"yes","no"))</f>
        <v>no</v>
      </c>
    </row>
    <row r="1609" customFormat="false" ht="15" hidden="false" customHeight="false" outlineLevel="0" collapsed="false">
      <c r="A1609" s="9" t="n">
        <v>46146</v>
      </c>
      <c r="B1609" s="10" t="n">
        <v>24119.3</v>
      </c>
      <c r="C1609" s="11" t="n">
        <v>19.0242</v>
      </c>
      <c r="D1609" s="11" t="n">
        <v>18.8884</v>
      </c>
      <c r="E1609" s="11" t="n">
        <v>19.16</v>
      </c>
      <c r="F1609" s="12" t="n">
        <f aca="false">IF(C1609="","",B1609/C1609)</f>
        <v>1267.82203719473</v>
      </c>
      <c r="G1609" s="12" t="n">
        <f aca="false">MEDIAN(F1599:F1619)</f>
        <v>1275.09543466273</v>
      </c>
      <c r="H1609" s="13" t="n">
        <f aca="false">B1609/G1609</f>
        <v>18.915682186863</v>
      </c>
      <c r="I1609" s="14" t="n">
        <f aca="false">B1609/Summary!$C$8*100</f>
        <v>241.698149131685</v>
      </c>
      <c r="J1609" s="14" t="n">
        <f aca="false">G1609/Summary!$E$8*100</f>
        <v>216.709894897729</v>
      </c>
      <c r="K1609" s="15" t="n">
        <f aca="false">Summary!$D$9</f>
        <v>16.9374488591431</v>
      </c>
      <c r="L1609" s="16" t="str">
        <f aca="false">IF(OR(D1609="",E1609=""),"edge hidden",IF(AND(H1609&gt;=D1609-0.02,H1609&lt;=E1609+0.02),"yes","no"))</f>
        <v>yes</v>
      </c>
    </row>
    <row r="1610" customFormat="false" ht="15" hidden="false" customHeight="false" outlineLevel="0" collapsed="false">
      <c r="A1610" s="9" t="n">
        <v>46147</v>
      </c>
      <c r="B1610" s="10" t="n">
        <v>24032.8</v>
      </c>
      <c r="C1610" s="11" t="n">
        <v>19.0281</v>
      </c>
      <c r="D1610" s="11" t="n">
        <v>18.8884</v>
      </c>
      <c r="E1610" s="11" t="n">
        <v>19.1679</v>
      </c>
      <c r="F1610" s="12" t="n">
        <f aca="false">IF(C1610="","",B1610/C1610)</f>
        <v>1263.01627592876</v>
      </c>
      <c r="G1610" s="12" t="n">
        <f aca="false">MEDIAN(F1600:F1620)</f>
        <v>1272.08875237615</v>
      </c>
      <c r="H1610" s="13" t="n">
        <f aca="false">B1610/G1610</f>
        <v>18.8923924962853</v>
      </c>
      <c r="I1610" s="14" t="n">
        <f aca="false">B1610/Summary!$C$8*100</f>
        <v>240.831337495365</v>
      </c>
      <c r="J1610" s="14" t="n">
        <f aca="false">G1610/Summary!$E$8*100</f>
        <v>216.198891733101</v>
      </c>
      <c r="K1610" s="15" t="n">
        <f aca="false">Summary!$D$9</f>
        <v>16.9374488591431</v>
      </c>
      <c r="L1610" s="16" t="str">
        <f aca="false">IF(OR(D1610="",E1610=""),"edge hidden",IF(AND(H1610&gt;=D1610-0.02,H1610&lt;=E1610+0.02),"yes","no"))</f>
        <v>yes</v>
      </c>
    </row>
    <row r="1611" customFormat="false" ht="15" hidden="false" customHeight="false" outlineLevel="0" collapsed="false">
      <c r="A1611" s="9" t="n">
        <v>46148</v>
      </c>
      <c r="B1611" s="10" t="n">
        <v>24330.95</v>
      </c>
      <c r="C1611" s="11" t="n">
        <v>19.0202</v>
      </c>
      <c r="D1611" s="11" t="n">
        <v>18.8805</v>
      </c>
      <c r="E1611" s="11" t="n">
        <v>19.16</v>
      </c>
      <c r="F1611" s="12" t="n">
        <f aca="false">IF(C1611="","",B1611/C1611)</f>
        <v>1279.21630687374</v>
      </c>
      <c r="G1611" s="12" t="n">
        <f aca="false">MEDIAN(F1601:F1621)</f>
        <v>1271.32230616808</v>
      </c>
      <c r="H1611" s="13" t="n">
        <f aca="false">B1611/G1611</f>
        <v>19.1383018153253</v>
      </c>
      <c r="I1611" s="14" t="n">
        <f aca="false">B1611/Summary!$C$8*100</f>
        <v>243.819081881132</v>
      </c>
      <c r="J1611" s="14" t="n">
        <f aca="false">G1611/Summary!$E$8*100</f>
        <v>216.068629736485</v>
      </c>
      <c r="K1611" s="15" t="n">
        <f aca="false">Summary!$D$9</f>
        <v>16.9374488591431</v>
      </c>
      <c r="L1611" s="16" t="str">
        <f aca="false">IF(OR(D1611="",E1611=""),"edge hidden",IF(AND(H1611&gt;=D1611-0.02,H1611&lt;=E1611+0.02),"yes","no"))</f>
        <v>yes</v>
      </c>
    </row>
    <row r="1612" customFormat="false" ht="15" hidden="false" customHeight="false" outlineLevel="0" collapsed="false">
      <c r="A1612" s="9" t="n">
        <v>46149</v>
      </c>
      <c r="B1612" s="10" t="n">
        <v>24326.65</v>
      </c>
      <c r="C1612" s="11" t="n">
        <v>18.9769</v>
      </c>
      <c r="D1612" s="11" t="n">
        <v>18.7939</v>
      </c>
      <c r="E1612" s="11" t="n">
        <v>19.16</v>
      </c>
      <c r="F1612" s="12" t="n">
        <f aca="false">IF(C1612="","",B1612/C1612)</f>
        <v>1281.90853089809</v>
      </c>
      <c r="G1612" s="12" t="n">
        <f aca="false">MEDIAN(F1602:F1622)</f>
        <v>1269.07490405518</v>
      </c>
      <c r="H1612" s="13" t="n">
        <f aca="false">B1612/G1612</f>
        <v>19.1688054993973</v>
      </c>
      <c r="I1612" s="14" t="n">
        <f aca="false">B1612/Summary!$C$8*100</f>
        <v>243.77599182291</v>
      </c>
      <c r="J1612" s="14" t="n">
        <f aca="false">G1612/Summary!$E$8*100</f>
        <v>215.686670659196</v>
      </c>
      <c r="K1612" s="15" t="n">
        <f aca="false">Summary!$D$9</f>
        <v>16.9374488591431</v>
      </c>
      <c r="L1612" s="16" t="str">
        <f aca="false">IF(OR(D1612="",E1612=""),"edge hidden",IF(AND(H1612&gt;=D1612-0.02,H1612&lt;=E1612+0.02),"yes","no"))</f>
        <v>yes</v>
      </c>
    </row>
    <row r="1613" customFormat="false" ht="15" hidden="false" customHeight="false" outlineLevel="0" collapsed="false">
      <c r="A1613" s="9" t="n">
        <v>46150</v>
      </c>
      <c r="B1613" s="10" t="n">
        <v>24176.15</v>
      </c>
      <c r="C1613" s="11" t="n">
        <v>18.7683</v>
      </c>
      <c r="D1613" s="11" t="n">
        <v>18.4002</v>
      </c>
      <c r="E1613" s="11" t="n">
        <v>19.1364</v>
      </c>
      <c r="F1613" s="12" t="n">
        <f aca="false">IF(C1613="","",B1613/C1613)</f>
        <v>1288.13744452081</v>
      </c>
      <c r="G1613" s="12" t="n">
        <f aca="false">MEDIAN(F1603:F1623)</f>
        <v>1267.82203719473</v>
      </c>
      <c r="H1613" s="13" t="n">
        <f aca="false">B1613/G1613</f>
        <v>19.0690406782121</v>
      </c>
      <c r="I1613" s="14" t="n">
        <f aca="false">B1613/Summary!$C$8*100</f>
        <v>242.267839785151</v>
      </c>
      <c r="J1613" s="14" t="n">
        <f aca="false">G1613/Summary!$E$8*100</f>
        <v>215.473738639938</v>
      </c>
      <c r="K1613" s="15" t="n">
        <f aca="false">Summary!$D$9</f>
        <v>16.9374488591431</v>
      </c>
      <c r="L1613" s="16" t="str">
        <f aca="false">IF(OR(D1613="",E1613=""),"edge hidden",IF(AND(H1613&gt;=D1613-0.02,H1613&lt;=E1613+0.02),"yes","no"))</f>
        <v>yes</v>
      </c>
    </row>
    <row r="1614" customFormat="false" ht="15" hidden="false" customHeight="false" outlineLevel="0" collapsed="false">
      <c r="A1614" s="9" t="n">
        <v>46153</v>
      </c>
      <c r="B1614" s="10" t="n">
        <v>23815.85</v>
      </c>
      <c r="C1614" s="11" t="n">
        <v>18.6777</v>
      </c>
      <c r="D1614" s="11" t="n">
        <v>18.3765</v>
      </c>
      <c r="E1614" s="11" t="n">
        <v>18.9789</v>
      </c>
      <c r="F1614" s="12" t="n">
        <f aca="false">IF(C1614="","",B1614/C1614)</f>
        <v>1275.09543466273</v>
      </c>
      <c r="G1614" s="12" t="n">
        <f aca="false">MEDIAN(F1604:F1624)</f>
        <v>1267.82203719473</v>
      </c>
      <c r="H1614" s="13" t="n">
        <f aca="false">B1614/G1614</f>
        <v>18.7848525276438</v>
      </c>
      <c r="I1614" s="14" t="n">
        <f aca="false">B1614/Summary!$C$8*100</f>
        <v>238.657293743925</v>
      </c>
      <c r="J1614" s="14" t="n">
        <f aca="false">G1614/Summary!$E$8*100</f>
        <v>215.473738639938</v>
      </c>
      <c r="K1614" s="15" t="n">
        <f aca="false">Summary!$D$9</f>
        <v>16.9374488591431</v>
      </c>
      <c r="L1614" s="16" t="str">
        <f aca="false">IF(OR(D1614="",E1614=""),"edge hidden",IF(AND(H1614&gt;=D1614-0.02,H1614&lt;=E1614+0.02),"yes","no"))</f>
        <v>yes</v>
      </c>
    </row>
    <row r="1615" customFormat="false" ht="15" hidden="false" customHeight="false" outlineLevel="0" collapsed="false">
      <c r="A1615" s="9" t="n">
        <v>46154</v>
      </c>
      <c r="B1615" s="10" t="n">
        <v>23379.55</v>
      </c>
      <c r="C1615" s="11" t="n">
        <v>18.6738</v>
      </c>
      <c r="D1615" s="11" t="n">
        <v>18.3844</v>
      </c>
      <c r="E1615" s="11" t="n">
        <v>18.9632</v>
      </c>
      <c r="F1615" s="12" t="n">
        <f aca="false">IF(C1615="","",B1615/C1615)</f>
        <v>1251.99745097409</v>
      </c>
      <c r="G1615" s="12" t="n">
        <f aca="false">MEDIAN(F1605:F1625)</f>
        <v>1269.07490405518</v>
      </c>
      <c r="H1615" s="13" t="n">
        <f aca="false">B1615/G1615</f>
        <v>18.4225138526445</v>
      </c>
      <c r="I1615" s="14" t="n">
        <f aca="false">B1615/Summary!$C$8*100</f>
        <v>234.28515597599</v>
      </c>
      <c r="J1615" s="14" t="n">
        <f aca="false">G1615/Summary!$E$8*100</f>
        <v>215.686670659196</v>
      </c>
      <c r="K1615" s="15" t="n">
        <f aca="false">Summary!$D$9</f>
        <v>16.9374488591431</v>
      </c>
      <c r="L1615" s="16" t="str">
        <f aca="false">IF(OR(D1615="",E1615=""),"edge hidden",IF(AND(H1615&gt;=D1615-0.02,H1615&lt;=E1615+0.02),"yes","no"))</f>
        <v>yes</v>
      </c>
    </row>
    <row r="1616" customFormat="false" ht="15" hidden="false" customHeight="false" outlineLevel="0" collapsed="false">
      <c r="A1616" s="9" t="n">
        <v>46155</v>
      </c>
      <c r="B1616" s="10" t="n">
        <v>23412.6</v>
      </c>
      <c r="C1616" s="11" t="n">
        <v>18.6305</v>
      </c>
      <c r="D1616" s="11" t="n">
        <v>18.3844</v>
      </c>
      <c r="E1616" s="11" t="n">
        <v>18.8765</v>
      </c>
      <c r="F1616" s="12" t="n">
        <f aca="false">IF(C1616="","",B1616/C1616)</f>
        <v>1256.68124849038</v>
      </c>
      <c r="G1616" s="12" t="n">
        <f aca="false">MEDIAN(F1606:F1626)</f>
        <v>1269.07490405518</v>
      </c>
      <c r="H1616" s="13" t="n">
        <f aca="false">B1616/G1616</f>
        <v>18.4485564446888</v>
      </c>
      <c r="I1616" s="14" t="n">
        <f aca="false">B1616/Summary!$C$8*100</f>
        <v>234.61634816767</v>
      </c>
      <c r="J1616" s="14" t="n">
        <f aca="false">G1616/Summary!$E$8*100</f>
        <v>215.686670659196</v>
      </c>
      <c r="K1616" s="15" t="n">
        <f aca="false">Summary!$D$9</f>
        <v>16.9374488591431</v>
      </c>
      <c r="L1616" s="16" t="str">
        <f aca="false">IF(OR(D1616="",E1616=""),"edge hidden",IF(AND(H1616&gt;=D1616-0.02,H1616&lt;=E1616+0.02),"yes","no"))</f>
        <v>yes</v>
      </c>
    </row>
    <row r="1617" customFormat="false" ht="15" hidden="false" customHeight="false" outlineLevel="0" collapsed="false">
      <c r="A1617" s="9" t="n">
        <v>46156</v>
      </c>
      <c r="B1617" s="10" t="n">
        <v>23689.6</v>
      </c>
      <c r="C1617" s="11" t="n">
        <v>18.6226</v>
      </c>
      <c r="D1617" s="11" t="n">
        <v>18.3923</v>
      </c>
      <c r="E1617" s="11" t="n">
        <v>18.8529</v>
      </c>
      <c r="F1617" s="12" t="n">
        <f aca="false">IF(C1617="","",B1617/C1617)</f>
        <v>1272.08875237615</v>
      </c>
      <c r="G1617" s="12" t="n">
        <f aca="false">MEDIAN(F1607:F1627)</f>
        <v>1267.82203719473</v>
      </c>
      <c r="H1617" s="13" t="n">
        <f aca="false">B1617/G1617</f>
        <v>18.685272305581</v>
      </c>
      <c r="I1617" s="14" t="n">
        <f aca="false">B1617/Summary!$C$8*100</f>
        <v>237.392149592649</v>
      </c>
      <c r="J1617" s="14" t="n">
        <f aca="false">G1617/Summary!$E$8*100</f>
        <v>215.473738639938</v>
      </c>
      <c r="K1617" s="15" t="n">
        <f aca="false">Summary!$D$9</f>
        <v>16.9374488591431</v>
      </c>
      <c r="L1617" s="16" t="str">
        <f aca="false">IF(OR(D1617="",E1617=""),"edge hidden",IF(AND(H1617&gt;=D1617-0.02,H1617&lt;=E1617+0.02),"yes","no"))</f>
        <v>yes</v>
      </c>
    </row>
    <row r="1618" customFormat="false" ht="15" hidden="false" customHeight="false" outlineLevel="0" collapsed="false">
      <c r="A1618" s="9" t="n">
        <v>46157</v>
      </c>
      <c r="B1618" s="10" t="n">
        <v>23643.5</v>
      </c>
      <c r="C1618" s="11" t="n">
        <v>18.6305</v>
      </c>
      <c r="D1618" s="11" t="n">
        <v>18.408</v>
      </c>
      <c r="E1618" s="11" t="n">
        <v>18.8529</v>
      </c>
      <c r="F1618" s="12" t="n">
        <f aca="false">IF(C1618="","",B1618/C1618)</f>
        <v>1269.07490405518</v>
      </c>
      <c r="G1618" s="12" t="n">
        <f aca="false">MEDIAN(F1608:F1628)</f>
        <v>1266.66895394133</v>
      </c>
      <c r="H1618" s="13" t="n">
        <f aca="false">B1618/G1618</f>
        <v>18.6658873468333</v>
      </c>
      <c r="I1618" s="14" t="n">
        <f aca="false">B1618/Summary!$C$8*100</f>
        <v>236.930184084737</v>
      </c>
      <c r="J1618" s="14" t="n">
        <f aca="false">G1618/Summary!$E$8*100</f>
        <v>215.277765425808</v>
      </c>
      <c r="K1618" s="15" t="n">
        <f aca="false">Summary!$D$9</f>
        <v>16.9374488591431</v>
      </c>
      <c r="L1618" s="16" t="str">
        <f aca="false">IF(OR(D1618="",E1618=""),"edge hidden",IF(AND(H1618&gt;=D1618-0.02,H1618&lt;=E1618+0.02),"yes","no"))</f>
        <v>yes</v>
      </c>
    </row>
    <row r="1619" customFormat="false" ht="15" hidden="false" customHeight="false" outlineLevel="0" collapsed="false">
      <c r="A1619" s="9" t="n">
        <v>46160</v>
      </c>
      <c r="B1619" s="10" t="n">
        <v>23649.95</v>
      </c>
      <c r="C1619" s="11" t="n">
        <v>18.7447</v>
      </c>
      <c r="D1619" s="11" t="n">
        <v>18.6443</v>
      </c>
      <c r="E1619" s="11" t="n">
        <v>18.8451</v>
      </c>
      <c r="F1619" s="12" t="n">
        <f aca="false">IF(C1619="","",B1619/C1619)</f>
        <v>1261.68730361115</v>
      </c>
      <c r="G1619" s="12" t="n">
        <f aca="false">MEDIAN(F1609:F1629)</f>
        <v>1267.82203719473</v>
      </c>
      <c r="H1619" s="13" t="n">
        <f aca="false">B1619/G1619</f>
        <v>18.6539982001965</v>
      </c>
      <c r="I1619" s="14" t="n">
        <f aca="false">B1619/Summary!$C$8*100</f>
        <v>236.99481917207</v>
      </c>
      <c r="J1619" s="14" t="n">
        <f aca="false">G1619/Summary!$E$8*100</f>
        <v>215.473738639938</v>
      </c>
      <c r="K1619" s="15" t="n">
        <f aca="false">Summary!$D$9</f>
        <v>16.9374488591431</v>
      </c>
      <c r="L1619" s="16" t="str">
        <f aca="false">IF(OR(D1619="",E1619=""),"edge hidden",IF(AND(H1619&gt;=D1619-0.02,H1619&lt;=E1619+0.02),"yes","no"))</f>
        <v>yes</v>
      </c>
    </row>
    <row r="1620" customFormat="false" ht="15" hidden="false" customHeight="false" outlineLevel="0" collapsed="false">
      <c r="A1620" s="9" t="n">
        <v>46161</v>
      </c>
      <c r="B1620" s="10" t="n">
        <v>23618</v>
      </c>
      <c r="C1620" s="11" t="n">
        <v>18.7486</v>
      </c>
      <c r="D1620" s="11" t="n">
        <v>18.66</v>
      </c>
      <c r="E1620" s="11" t="n">
        <v>18.8372</v>
      </c>
      <c r="F1620" s="12" t="n">
        <f aca="false">IF(C1620="","",B1620/C1620)</f>
        <v>1259.72072581419</v>
      </c>
      <c r="G1620" s="12" t="n">
        <f aca="false">MEDIAN(F1610:F1630)</f>
        <v>1269.07490405518</v>
      </c>
      <c r="H1620" s="13" t="n">
        <f aca="false">B1620/G1620</f>
        <v>18.6104066233849</v>
      </c>
      <c r="I1620" s="14" t="n">
        <f aca="false">B1620/Summary!$C$8*100</f>
        <v>236.674650018539</v>
      </c>
      <c r="J1620" s="14" t="n">
        <f aca="false">G1620/Summary!$E$8*100</f>
        <v>215.686670659196</v>
      </c>
      <c r="K1620" s="15" t="n">
        <f aca="false">Summary!$D$9</f>
        <v>16.9374488591431</v>
      </c>
      <c r="L1620" s="16" t="str">
        <f aca="false">IF(OR(D1620="",E1620=""),"edge hidden",IF(AND(H1620&gt;=D1620-0.02,H1620&lt;=E1620+0.02),"yes","no"))</f>
        <v>no</v>
      </c>
    </row>
    <row r="1621" customFormat="false" ht="15" hidden="false" customHeight="false" outlineLevel="0" collapsed="false">
      <c r="A1621" s="9" t="n">
        <v>46162</v>
      </c>
      <c r="B1621" s="10" t="n">
        <v>23659</v>
      </c>
      <c r="C1621" s="11" t="n">
        <v>18.7565</v>
      </c>
      <c r="D1621" s="11" t="n">
        <v>18.6679</v>
      </c>
      <c r="E1621" s="11" t="n">
        <v>18.8451</v>
      </c>
      <c r="F1621" s="12" t="n">
        <f aca="false">IF(C1621="","",B1621/C1621)</f>
        <v>1261.37605630048</v>
      </c>
      <c r="G1621" s="12" t="n">
        <f aca="false">MEDIAN(F1611:F1631)</f>
        <v>1269.62814305131</v>
      </c>
      <c r="H1621" s="13" t="n">
        <f aca="false">B1621/G1621</f>
        <v>18.6345900801633</v>
      </c>
      <c r="I1621" s="14" t="n">
        <f aca="false">B1621/Summary!$C$8*100</f>
        <v>237.085508713211</v>
      </c>
      <c r="J1621" s="14" t="n">
        <f aca="false">G1621/Summary!$E$8*100</f>
        <v>215.780696848487</v>
      </c>
      <c r="K1621" s="15" t="n">
        <f aca="false">Summary!$D$9</f>
        <v>16.9374488591431</v>
      </c>
      <c r="L1621" s="16" t="str">
        <f aca="false">IF(OR(D1621="",E1621=""),"edge hidden",IF(AND(H1621&gt;=D1621-0.02,H1621&lt;=E1621+0.02),"yes","no"))</f>
        <v>no</v>
      </c>
    </row>
    <row r="1622" customFormat="false" ht="15" hidden="false" customHeight="false" outlineLevel="0" collapsed="false">
      <c r="A1622" s="9" t="n">
        <v>46163</v>
      </c>
      <c r="B1622" s="10" t="n">
        <v>23654.7</v>
      </c>
      <c r="C1622" s="11" t="n">
        <v>18.8234</v>
      </c>
      <c r="D1622" s="11" t="n">
        <v>18.6758</v>
      </c>
      <c r="E1622" s="11" t="n">
        <v>18.971</v>
      </c>
      <c r="F1622" s="12" t="n">
        <f aca="false">IF(C1622="","",B1622/C1622)</f>
        <v>1256.66457706897</v>
      </c>
      <c r="G1622" s="12" t="n">
        <f aca="false">MEDIAN(F1612:F1632)</f>
        <v>1269.62814305131</v>
      </c>
      <c r="H1622" s="13" t="n">
        <f aca="false">B1622/G1622</f>
        <v>18.6312032617286</v>
      </c>
      <c r="I1622" s="14" t="n">
        <f aca="false">B1622/Summary!$C$8*100</f>
        <v>237.042418654989</v>
      </c>
      <c r="J1622" s="14" t="n">
        <f aca="false">G1622/Summary!$E$8*100</f>
        <v>215.780696848487</v>
      </c>
      <c r="K1622" s="15" t="n">
        <f aca="false">Summary!$D$9</f>
        <v>16.9374488591431</v>
      </c>
      <c r="L1622" s="16" t="str">
        <f aca="false">IF(OR(D1622="",E1622=""),"edge hidden",IF(AND(H1622&gt;=D1622-0.02,H1622&lt;=E1622+0.02),"yes","no"))</f>
        <v>no</v>
      </c>
    </row>
    <row r="1623" customFormat="false" ht="15" hidden="false" customHeight="false" outlineLevel="0" collapsed="false">
      <c r="A1623" s="9" t="n">
        <v>46164</v>
      </c>
      <c r="B1623" s="10" t="n">
        <v>23719.3</v>
      </c>
      <c r="C1623" s="11" t="n">
        <v>18.851</v>
      </c>
      <c r="D1623" s="11" t="n">
        <v>18.6994</v>
      </c>
      <c r="E1623" s="11" t="n">
        <v>19.0025</v>
      </c>
      <c r="F1623" s="12" t="n">
        <f aca="false">IF(C1623="","",B1623/C1623)</f>
        <v>1258.25155164182</v>
      </c>
      <c r="G1623" s="12" t="n">
        <f aca="false">MEDIAN(F1613:F1633)</f>
        <v>1269.57371576659</v>
      </c>
      <c r="H1623" s="13" t="n">
        <f aca="false">B1623/G1623</f>
        <v>18.6828852121265</v>
      </c>
      <c r="I1623" s="14" t="n">
        <f aca="false">B1623/Summary!$C$8*100</f>
        <v>237.689771622691</v>
      </c>
      <c r="J1623" s="14" t="n">
        <f aca="false">G1623/Summary!$E$8*100</f>
        <v>215.771446614481</v>
      </c>
      <c r="K1623" s="15" t="n">
        <f aca="false">Summary!$D$9</f>
        <v>16.9374488591431</v>
      </c>
      <c r="L1623" s="16" t="str">
        <f aca="false">IF(OR(D1623="",E1623=""),"edge hidden",IF(AND(H1623&gt;=D1623-0.02,H1623&lt;=E1623+0.02),"yes","no"))</f>
        <v>yes</v>
      </c>
    </row>
    <row r="1624" customFormat="false" ht="15" hidden="false" customHeight="false" outlineLevel="0" collapsed="false">
      <c r="A1624" s="9" t="n">
        <v>46167</v>
      </c>
      <c r="B1624" s="10" t="n">
        <v>24031.7</v>
      </c>
      <c r="C1624" s="11" t="n">
        <v>18.847</v>
      </c>
      <c r="D1624" s="11" t="n">
        <v>18.6836</v>
      </c>
      <c r="E1624" s="11" t="n">
        <v>19.0104</v>
      </c>
      <c r="F1624" s="12" t="n">
        <f aca="false">IF(C1624="","",B1624/C1624)</f>
        <v>1275.094179445</v>
      </c>
      <c r="G1624" s="12" t="n">
        <f aca="false">MEDIAN(F1614:F1634)</f>
        <v>1269.57371576659</v>
      </c>
      <c r="H1624" s="13" t="n">
        <f aca="false">B1624/G1624</f>
        <v>18.9289520581239</v>
      </c>
      <c r="I1624" s="14" t="n">
        <f aca="false">B1624/Summary!$C$8*100</f>
        <v>240.820314457216</v>
      </c>
      <c r="J1624" s="14" t="n">
        <f aca="false">G1624/Summary!$E$8*100</f>
        <v>215.771446614481</v>
      </c>
      <c r="K1624" s="15" t="n">
        <f aca="false">Summary!$D$9</f>
        <v>16.9374488591431</v>
      </c>
      <c r="L1624" s="16" t="str">
        <f aca="false">IF(OR(D1624="",E1624=""),"edge hidden",IF(AND(H1624&gt;=D1624-0.02,H1624&lt;=E1624+0.02),"yes","no"))</f>
        <v>yes</v>
      </c>
    </row>
    <row r="1625" customFormat="false" ht="15" hidden="false" customHeight="false" outlineLevel="0" collapsed="false">
      <c r="A1625" s="9" t="n">
        <v>46168</v>
      </c>
      <c r="B1625" s="10" t="n">
        <v>23913.7</v>
      </c>
      <c r="C1625" s="11" t="n">
        <v>18.8352</v>
      </c>
      <c r="D1625" s="11" t="n">
        <v>18.6679</v>
      </c>
      <c r="E1625" s="11" t="n">
        <v>19.0025</v>
      </c>
      <c r="F1625" s="12" t="n">
        <f aca="false">IF(C1625="","",B1625/C1625)</f>
        <v>1269.62814305131</v>
      </c>
      <c r="G1625" s="12" t="n">
        <f aca="false">MEDIAN(F1615:F1635)</f>
        <v>1269.57371576659</v>
      </c>
      <c r="H1625" s="13" t="n">
        <f aca="false">B1625/G1625</f>
        <v>18.8360074748086</v>
      </c>
      <c r="I1625" s="14" t="n">
        <f aca="false">B1625/Summary!$C$8*100</f>
        <v>239.637843092062</v>
      </c>
      <c r="J1625" s="14" t="n">
        <f aca="false">G1625/Summary!$E$8*100</f>
        <v>215.771446614481</v>
      </c>
      <c r="K1625" s="15" t="n">
        <f aca="false">Summary!$D$9</f>
        <v>16.9374488591431</v>
      </c>
      <c r="L1625" s="16" t="str">
        <f aca="false">IF(OR(D1625="",E1625=""),"edge hidden",IF(AND(H1625&gt;=D1625-0.02,H1625&lt;=E1625+0.02),"yes","no"))</f>
        <v>yes</v>
      </c>
    </row>
    <row r="1626" customFormat="false" ht="15" hidden="false" customHeight="false" outlineLevel="0" collapsed="false">
      <c r="A1626" s="9" t="n">
        <v>46169</v>
      </c>
      <c r="B1626" s="10" t="n">
        <v>23907.15</v>
      </c>
      <c r="C1626" s="11" t="n">
        <v>18.8273</v>
      </c>
      <c r="D1626" s="11" t="n">
        <v>18.6521</v>
      </c>
      <c r="E1626" s="11" t="n">
        <v>19.0025</v>
      </c>
      <c r="F1626" s="12" t="n">
        <f aca="false">IF(C1626="","",B1626/C1626)</f>
        <v>1269.81298433658</v>
      </c>
      <c r="G1626" s="12" t="n">
        <f aca="false">MEDIAN(F1616:F1636)</f>
        <v>1269.57371576659</v>
      </c>
      <c r="H1626" s="13" t="n">
        <f aca="false">B1626/G1626</f>
        <v>18.8308482627687</v>
      </c>
      <c r="I1626" s="14" t="n">
        <f aca="false">B1626/Summary!$C$8*100</f>
        <v>239.572205910353</v>
      </c>
      <c r="J1626" s="14" t="n">
        <f aca="false">G1626/Summary!$E$8*100</f>
        <v>215.771446614481</v>
      </c>
      <c r="K1626" s="15" t="n">
        <f aca="false">Summary!$D$9</f>
        <v>16.9374488591431</v>
      </c>
      <c r="L1626" s="16" t="str">
        <f aca="false">IF(OR(D1626="",E1626=""),"edge hidden",IF(AND(H1626&gt;=D1626-0.02,H1626&lt;=E1626+0.02),"yes","no"))</f>
        <v>yes</v>
      </c>
    </row>
    <row r="1627" customFormat="false" ht="15" hidden="false" customHeight="false" outlineLevel="0" collapsed="false">
      <c r="A1627" s="9" t="n">
        <v>46171</v>
      </c>
      <c r="B1627" s="10" t="n">
        <v>23547.75</v>
      </c>
      <c r="C1627" s="11" t="n">
        <v>18.6738</v>
      </c>
      <c r="D1627" s="11" t="n">
        <v>18.4947</v>
      </c>
      <c r="E1627" s="11" t="n">
        <v>18.8529</v>
      </c>
      <c r="F1627" s="12" t="n">
        <f aca="false">IF(C1627="","",B1627/C1627)</f>
        <v>1261.00472319506</v>
      </c>
      <c r="G1627" s="12" t="n">
        <f aca="false">MEDIAN(F1617:F1637)</f>
        <v>1269.62814305131</v>
      </c>
      <c r="H1627" s="13" t="n">
        <f aca="false">B1627/G1627</f>
        <v>18.5469659985699</v>
      </c>
      <c r="I1627" s="14" t="n">
        <f aca="false">B1627/Summary!$C$8*100</f>
        <v>235.970678718522</v>
      </c>
      <c r="J1627" s="14" t="n">
        <f aca="false">G1627/Summary!$E$8*100</f>
        <v>215.780696848487</v>
      </c>
      <c r="K1627" s="15" t="n">
        <f aca="false">Summary!$D$9</f>
        <v>16.9374488591431</v>
      </c>
      <c r="L1627" s="16" t="str">
        <f aca="false">IF(OR(D1627="",E1627=""),"edge hidden",IF(AND(H1627&gt;=D1627-0.02,H1627&lt;=E1627+0.02),"yes","no"))</f>
        <v>yes</v>
      </c>
    </row>
    <row r="1628" customFormat="false" ht="15" hidden="false" customHeight="false" outlineLevel="0" collapsed="false">
      <c r="A1628" s="9" t="n">
        <v>46174</v>
      </c>
      <c r="B1628" s="10" t="n">
        <v>23382.6</v>
      </c>
      <c r="C1628" s="11" t="n">
        <v>18.4612</v>
      </c>
      <c r="D1628" s="11" t="n">
        <v>18.2899</v>
      </c>
      <c r="E1628" s="11" t="n">
        <v>18.6325</v>
      </c>
      <c r="F1628" s="12" t="n">
        <f aca="false">IF(C1628="","",B1628/C1628)</f>
        <v>1266.58072064655</v>
      </c>
      <c r="G1628" s="12" t="n">
        <f aca="false">MEDIAN(F1618:F1638)</f>
        <v>1269.62814305131</v>
      </c>
      <c r="H1628" s="13" t="n">
        <f aca="false">B1628/G1628</f>
        <v>18.4168885417146</v>
      </c>
      <c r="I1628" s="14" t="n">
        <f aca="false">B1628/Summary!$C$8*100</f>
        <v>234.315719854496</v>
      </c>
      <c r="J1628" s="14" t="n">
        <f aca="false">G1628/Summary!$E$8*100</f>
        <v>215.780696848487</v>
      </c>
      <c r="K1628" s="15" t="n">
        <f aca="false">Summary!$D$9</f>
        <v>16.9374488591431</v>
      </c>
      <c r="L1628" s="16" t="str">
        <f aca="false">IF(OR(D1628="",E1628=""),"edge hidden",IF(AND(H1628&gt;=D1628-0.02,H1628&lt;=E1628+0.02),"yes","no"))</f>
        <v>yes</v>
      </c>
    </row>
    <row r="1629" customFormat="false" ht="15" hidden="false" customHeight="false" outlineLevel="0" collapsed="false">
      <c r="A1629" s="9" t="n">
        <v>46175</v>
      </c>
      <c r="B1629" s="10" t="n">
        <v>23483.55</v>
      </c>
      <c r="C1629" s="11" t="n">
        <v>18.4336</v>
      </c>
      <c r="D1629" s="11" t="n">
        <v>18.2742</v>
      </c>
      <c r="E1629" s="11" t="n">
        <v>18.5931</v>
      </c>
      <c r="F1629" s="12" t="n">
        <f aca="false">IF(C1629="","",B1629/C1629)</f>
        <v>1273.95354135926</v>
      </c>
      <c r="G1629" s="12" t="n">
        <f aca="false">MEDIAN(F1619:F1639)</f>
        <v>1269.81298433658</v>
      </c>
      <c r="H1629" s="13" t="n">
        <f aca="false">B1629/G1629</f>
        <v>18.4937075692837</v>
      </c>
      <c r="I1629" s="14" t="n">
        <f aca="false">B1629/Summary!$C$8*100</f>
        <v>235.327334128328</v>
      </c>
      <c r="J1629" s="14" t="n">
        <f aca="false">G1629/Summary!$E$8*100</f>
        <v>215.812111701379</v>
      </c>
      <c r="K1629" s="15" t="n">
        <f aca="false">Summary!$D$9</f>
        <v>16.9374488591431</v>
      </c>
      <c r="L1629" s="16" t="str">
        <f aca="false">IF(OR(D1629="",E1629=""),"edge hidden",IF(AND(H1629&gt;=D1629-0.02,H1629&lt;=E1629+0.02),"yes","no"))</f>
        <v>yes</v>
      </c>
    </row>
    <row r="1630" customFormat="false" ht="15" hidden="false" customHeight="false" outlineLevel="0" collapsed="false">
      <c r="A1630" s="9" t="n">
        <v>46176</v>
      </c>
      <c r="B1630" s="10" t="n">
        <v>23405.6</v>
      </c>
      <c r="C1630" s="11" t="n">
        <v>18.4179</v>
      </c>
      <c r="D1630" s="11" t="n">
        <v>18.2663</v>
      </c>
      <c r="E1630" s="11" t="n">
        <v>18.5695</v>
      </c>
      <c r="F1630" s="12" t="n">
        <f aca="false">IF(C1630="","",B1630/C1630)</f>
        <v>1270.80720386146</v>
      </c>
      <c r="G1630" s="12" t="n">
        <f aca="false">MEDIAN(F1620:F1640)</f>
        <v>1270.80720386146</v>
      </c>
      <c r="H1630" s="13" t="n">
        <f aca="false">B1630/G1630</f>
        <v>18.4179</v>
      </c>
      <c r="I1630" s="14" t="n">
        <f aca="false">B1630/Summary!$C$8*100</f>
        <v>234.546201561263</v>
      </c>
      <c r="J1630" s="14" t="n">
        <f aca="false">G1630/Summary!$E$8*100</f>
        <v>215.981085099673</v>
      </c>
      <c r="K1630" s="15" t="n">
        <f aca="false">Summary!$D$9</f>
        <v>16.9374488591431</v>
      </c>
      <c r="L1630" s="16" t="str">
        <f aca="false">IF(OR(D1630="",E1630=""),"edge hidden",IF(AND(H1630&gt;=D1630-0.02,H1630&lt;=E1630+0.02),"yes","no"))</f>
        <v>yes</v>
      </c>
    </row>
    <row r="1631" customFormat="false" ht="15" hidden="false" customHeight="false" outlineLevel="0" collapsed="false">
      <c r="A1631" s="9" t="n">
        <v>46177</v>
      </c>
      <c r="B1631" s="10" t="n">
        <v>23416.55</v>
      </c>
      <c r="C1631" s="11" t="n">
        <v>18.3746</v>
      </c>
      <c r="D1631" s="11" t="n">
        <v>18.1954</v>
      </c>
      <c r="E1631" s="11" t="n">
        <v>18.5537</v>
      </c>
      <c r="F1631" s="12" t="n">
        <f aca="false">IF(C1631="","",B1631/C1631)</f>
        <v>1274.39781002035</v>
      </c>
      <c r="G1631" s="12" t="n">
        <f aca="false">MEDIAN(F1621:F1641)</f>
        <v>1272.7006090775</v>
      </c>
      <c r="H1631" s="13" t="n">
        <f aca="false">B1631/G1631</f>
        <v>18.3991033185512</v>
      </c>
      <c r="I1631" s="14" t="n">
        <f aca="false">B1631/Summary!$C$8*100</f>
        <v>234.655930895572</v>
      </c>
      <c r="J1631" s="14" t="n">
        <f aca="false">G1631/Summary!$E$8*100</f>
        <v>216.302880342768</v>
      </c>
      <c r="K1631" s="15" t="n">
        <f aca="false">Summary!$D$9</f>
        <v>16.9374488591431</v>
      </c>
      <c r="L1631" s="16" t="str">
        <f aca="false">IF(OR(D1631="",E1631=""),"edge hidden",IF(AND(H1631&gt;=D1631-0.02,H1631&lt;=E1631+0.02),"yes","no"))</f>
        <v>yes</v>
      </c>
    </row>
    <row r="1632" customFormat="false" ht="15" hidden="false" customHeight="false" outlineLevel="0" collapsed="false">
      <c r="A1632" s="9" t="n">
        <v>46178</v>
      </c>
      <c r="B1632" s="10" t="n">
        <v>23366.7</v>
      </c>
      <c r="C1632" s="11" t="n">
        <v>18.225</v>
      </c>
      <c r="D1632" s="11" t="n">
        <v>18.101</v>
      </c>
      <c r="E1632" s="11" t="n">
        <v>18.349</v>
      </c>
      <c r="F1632" s="12" t="n">
        <f aca="false">IF(C1632="","",B1632/C1632)</f>
        <v>1282.12345679012</v>
      </c>
      <c r="G1632" s="12" t="n">
        <f aca="false">MEDIAN(F1622:F1642)</f>
        <v>1273.95354135926</v>
      </c>
      <c r="H1632" s="13" t="n">
        <f aca="false">B1632/G1632</f>
        <v>18.3418776598938</v>
      </c>
      <c r="I1632" s="14" t="n">
        <f aca="false">B1632/Summary!$C$8*100</f>
        <v>234.156386848513</v>
      </c>
      <c r="J1632" s="14" t="n">
        <f aca="false">G1632/Summary!$E$8*100</f>
        <v>216.515823480757</v>
      </c>
      <c r="K1632" s="15" t="n">
        <f aca="false">Summary!$D$9</f>
        <v>16.9374488591431</v>
      </c>
      <c r="L1632" s="16" t="str">
        <f aca="false">IF(OR(D1632="",E1632=""),"edge hidden",IF(AND(H1632&gt;=D1632-0.02,H1632&lt;=E1632+0.02),"yes","no"))</f>
        <v>yes</v>
      </c>
    </row>
    <row r="1633" customFormat="false" ht="15" hidden="false" customHeight="false" outlineLevel="0" collapsed="false">
      <c r="A1633" s="9" t="n">
        <v>46181</v>
      </c>
      <c r="B1633" s="10" t="n">
        <v>23123</v>
      </c>
      <c r="C1633" s="11" t="n">
        <v>18.2132</v>
      </c>
      <c r="D1633" s="11" t="n">
        <v>18.0852</v>
      </c>
      <c r="E1633" s="11" t="n">
        <v>18.3411</v>
      </c>
      <c r="F1633" s="12" t="n">
        <f aca="false">IF(C1633="","",B1633/C1633)</f>
        <v>1269.57371576659</v>
      </c>
      <c r="G1633" s="12" t="n">
        <f aca="false">MEDIAN(F1623:F1643)</f>
        <v>1274.39781002035</v>
      </c>
      <c r="H1633" s="13" t="n">
        <f aca="false">B1633/G1633</f>
        <v>18.1442559130188</v>
      </c>
      <c r="I1633" s="14" t="n">
        <f aca="false">B1633/Summary!$C$8*100</f>
        <v>231.714282851159</v>
      </c>
      <c r="J1633" s="14" t="n">
        <f aca="false">G1633/Summary!$E$8*100</f>
        <v>216.591329526999</v>
      </c>
      <c r="K1633" s="15" t="n">
        <f aca="false">Summary!$D$9</f>
        <v>16.9374488591431</v>
      </c>
      <c r="L1633" s="16" t="str">
        <f aca="false">IF(OR(D1633="",E1633=""),"edge hidden",IF(AND(H1633&gt;=D1633-0.02,H1633&lt;=E1633+0.02),"yes","no"))</f>
        <v>yes</v>
      </c>
    </row>
    <row r="1634" customFormat="false" ht="15" hidden="false" customHeight="false" outlineLevel="0" collapsed="false">
      <c r="A1634" s="9" t="n">
        <v>46182</v>
      </c>
      <c r="B1634" s="10" t="n">
        <v>23242.1</v>
      </c>
      <c r="C1634" s="11" t="n">
        <v>18.2289</v>
      </c>
      <c r="D1634" s="11" t="n">
        <v>18.0852</v>
      </c>
      <c r="E1634" s="11" t="n">
        <v>18.3726</v>
      </c>
      <c r="F1634" s="12" t="n">
        <f aca="false">IF(C1634="","",B1634/C1634)</f>
        <v>1275.0138516312</v>
      </c>
      <c r="G1634" s="12" t="n">
        <f aca="false">MEDIAN(F1624:F1644)</f>
        <v>1275.0138516312</v>
      </c>
      <c r="H1634" s="13" t="n">
        <f aca="false">B1634/G1634</f>
        <v>18.2289</v>
      </c>
      <c r="I1634" s="14" t="n">
        <f aca="false">B1634/Summary!$C$8*100</f>
        <v>232.907777254462</v>
      </c>
      <c r="J1634" s="14" t="n">
        <f aca="false">G1634/Summary!$E$8*100</f>
        <v>216.696029386406</v>
      </c>
      <c r="K1634" s="15" t="n">
        <f aca="false">Summary!$D$9</f>
        <v>16.9374488591431</v>
      </c>
      <c r="L1634" s="16" t="str">
        <f aca="false">IF(OR(D1634="",E1634=""),"edge hidden",IF(AND(H1634&gt;=D1634-0.02,H1634&lt;=E1634+0.02),"yes","no"))</f>
        <v>yes</v>
      </c>
    </row>
    <row r="1635" customFormat="false" ht="15" hidden="false" customHeight="false" outlineLevel="0" collapsed="false">
      <c r="A1635" s="9" t="n">
        <v>46183</v>
      </c>
      <c r="B1635" s="10" t="n">
        <v>23214.95</v>
      </c>
      <c r="C1635" s="11" t="n">
        <v>18.2407</v>
      </c>
      <c r="D1635" s="11" t="n">
        <v>18.0773</v>
      </c>
      <c r="E1635" s="11" t="n">
        <v>18.4041</v>
      </c>
      <c r="F1635" s="12" t="n">
        <f aca="false">IF(C1635="","",B1635/C1635)</f>
        <v>1272.7006090775</v>
      </c>
      <c r="G1635" s="12" t="n">
        <f aca="false">MEDIAN(F1625:F1645)</f>
        <v>1275.0138516312</v>
      </c>
      <c r="H1635" s="13" t="n">
        <f aca="false">B1635/G1635</f>
        <v>18.2076061136902</v>
      </c>
      <c r="I1635" s="14" t="n">
        <f aca="false">B1635/Summary!$C$8*100</f>
        <v>232.635708631039</v>
      </c>
      <c r="J1635" s="14" t="n">
        <f aca="false">G1635/Summary!$E$8*100</f>
        <v>216.696029386406</v>
      </c>
      <c r="K1635" s="15" t="n">
        <f aca="false">Summary!$D$9</f>
        <v>16.9374488591431</v>
      </c>
      <c r="L1635" s="16" t="str">
        <f aca="false">IF(OR(D1635="",E1635=""),"edge hidden",IF(AND(H1635&gt;=D1635-0.02,H1635&lt;=E1635+0.02),"yes","no"))</f>
        <v>yes</v>
      </c>
    </row>
    <row r="1636" customFormat="false" ht="15" hidden="false" customHeight="false" outlineLevel="0" collapsed="false">
      <c r="A1636" s="9" t="n">
        <v>46184</v>
      </c>
      <c r="B1636" s="10" t="n">
        <v>23161.6</v>
      </c>
      <c r="C1636" s="11" t="n">
        <v>18.284</v>
      </c>
      <c r="D1636" s="11" t="n">
        <v>18.0852</v>
      </c>
      <c r="E1636" s="11" t="n">
        <v>18.4828</v>
      </c>
      <c r="F1636" s="12" t="n">
        <f aca="false">IF(C1636="","",B1636/C1636)</f>
        <v>1266.76875957121</v>
      </c>
      <c r="G1636" s="12" t="n">
        <f aca="false">MEDIAN(F1626:F1646)</f>
        <v>1282.02354815102</v>
      </c>
      <c r="H1636" s="13" t="n">
        <f aca="false">B1636/G1636</f>
        <v>18.0664388211937</v>
      </c>
      <c r="I1636" s="14" t="n">
        <f aca="false">B1636/Summary!$C$8*100</f>
        <v>232.101091280777</v>
      </c>
      <c r="J1636" s="14" t="n">
        <f aca="false">G1636/Summary!$E$8*100</f>
        <v>217.887368132338</v>
      </c>
      <c r="K1636" s="15" t="n">
        <f aca="false">Summary!$D$9</f>
        <v>16.9374488591431</v>
      </c>
      <c r="L1636" s="16" t="str">
        <f aca="false">IF(OR(D1636="",E1636=""),"edge hidden",IF(AND(H1636&gt;=D1636-0.02,H1636&lt;=E1636+0.02),"yes","no"))</f>
        <v>yes</v>
      </c>
    </row>
    <row r="1637" customFormat="false" ht="15" hidden="false" customHeight="false" outlineLevel="0" collapsed="false">
      <c r="A1637" s="9" t="n">
        <v>46185</v>
      </c>
      <c r="B1637" s="10" t="n">
        <v>23622.9</v>
      </c>
      <c r="C1637" s="11" t="n">
        <v>18.3234</v>
      </c>
      <c r="D1637" s="11" t="n">
        <v>18.0852</v>
      </c>
      <c r="E1637" s="11" t="n">
        <v>18.5616</v>
      </c>
      <c r="F1637" s="12" t="n">
        <f aca="false">IF(C1637="","",B1637/C1637)</f>
        <v>1289.22034120305</v>
      </c>
      <c r="G1637" s="12" t="n">
        <f aca="false">MEDIAN(F1627:F1647)</f>
        <v>1282.12345679012</v>
      </c>
      <c r="H1637" s="13" t="n">
        <f aca="false">B1637/G1637</f>
        <v>18.4248247506066</v>
      </c>
      <c r="I1637" s="14" t="n">
        <f aca="false">B1637/Summary!$C$8*100</f>
        <v>236.723752643024</v>
      </c>
      <c r="J1637" s="14" t="n">
        <f aca="false">G1637/Summary!$E$8*100</f>
        <v>217.904348187392</v>
      </c>
      <c r="K1637" s="15" t="n">
        <f aca="false">Summary!$D$9</f>
        <v>16.9374488591431</v>
      </c>
      <c r="L1637" s="16" t="str">
        <f aca="false">IF(OR(D1637="",E1637=""),"edge hidden",IF(AND(H1637&gt;=D1637-0.02,H1637&lt;=E1637+0.02),"yes","no"))</f>
        <v>yes</v>
      </c>
    </row>
    <row r="1638" customFormat="false" ht="15" hidden="false" customHeight="false" outlineLevel="0" collapsed="false">
      <c r="A1638" s="9" t="n">
        <v>46188</v>
      </c>
      <c r="B1638" s="10" t="n">
        <v>23853.9</v>
      </c>
      <c r="C1638" s="11" t="n">
        <v>18.5557</v>
      </c>
      <c r="D1638" s="11" t="n">
        <v>18.3687</v>
      </c>
      <c r="E1638" s="11" t="n">
        <v>18.7427</v>
      </c>
      <c r="F1638" s="12" t="n">
        <f aca="false">IF(C1638="","",B1638/C1638)</f>
        <v>1285.52951384211</v>
      </c>
      <c r="G1638" s="12" t="n">
        <f aca="false">MEDIAN(F1628:F1648)</f>
        <v>1282.12345679012</v>
      </c>
      <c r="H1638" s="13" t="n">
        <f aca="false">B1638/G1638</f>
        <v>18.604994607711</v>
      </c>
      <c r="I1638" s="14" t="n">
        <f aca="false">B1638/Summary!$C$8*100</f>
        <v>239.038590654468</v>
      </c>
      <c r="J1638" s="14" t="n">
        <f aca="false">G1638/Summary!$E$8*100</f>
        <v>217.904348187392</v>
      </c>
      <c r="K1638" s="15" t="n">
        <f aca="false">Summary!$D$9</f>
        <v>16.9374488591431</v>
      </c>
      <c r="L1638" s="16" t="str">
        <f aca="false">IF(OR(D1638="",E1638=""),"edge hidden",IF(AND(H1638&gt;=D1638-0.02,H1638&lt;=E1638+0.02),"yes","no"))</f>
        <v>yes</v>
      </c>
    </row>
    <row r="1639" customFormat="false" ht="15" hidden="false" customHeight="false" outlineLevel="0" collapsed="false">
      <c r="A1639" s="9" t="n">
        <v>46189</v>
      </c>
      <c r="B1639" s="10" t="n">
        <v>23989.15</v>
      </c>
      <c r="C1639" s="11" t="n">
        <v>18.5911</v>
      </c>
      <c r="D1639" s="11" t="n">
        <v>18.4238</v>
      </c>
      <c r="E1639" s="11" t="n">
        <v>18.7584</v>
      </c>
      <c r="F1639" s="12" t="n">
        <f aca="false">IF(C1639="","",B1639/C1639)</f>
        <v>1290.35667604391</v>
      </c>
      <c r="G1639" s="12" t="n">
        <f aca="false">MEDIAN(F1629:F1649)</f>
        <v>1285.52951384211</v>
      </c>
      <c r="H1639" s="13" t="n">
        <f aca="false">B1639/G1639</f>
        <v>18.6609095642641</v>
      </c>
      <c r="I1639" s="14" t="n">
        <f aca="false">B1639/Summary!$C$8*100</f>
        <v>240.393923299696</v>
      </c>
      <c r="J1639" s="14" t="n">
        <f aca="false">G1639/Summary!$E$8*100</f>
        <v>218.483227419241</v>
      </c>
      <c r="K1639" s="15" t="n">
        <f aca="false">Summary!$D$9</f>
        <v>16.9374488591431</v>
      </c>
      <c r="L1639" s="16" t="str">
        <f aca="false">IF(OR(D1639="",E1639=""),"edge hidden",IF(AND(H1639&gt;=D1639-0.02,H1639&lt;=E1639+0.02),"yes","no"))</f>
        <v>yes</v>
      </c>
    </row>
    <row r="1640" customFormat="false" ht="15" hidden="false" customHeight="false" outlineLevel="0" collapsed="false">
      <c r="A1640" s="9" t="n">
        <v>46190</v>
      </c>
      <c r="B1640" s="10" t="n">
        <v>24085.7</v>
      </c>
      <c r="C1640" s="11" t="n">
        <v>18.6226</v>
      </c>
      <c r="D1640" s="11" t="n">
        <v>18.4868</v>
      </c>
      <c r="E1640" s="11" t="n">
        <v>18.7584</v>
      </c>
      <c r="F1640" s="12" t="n">
        <f aca="false">IF(C1640="","",B1640/C1640)</f>
        <v>1293.35860728362</v>
      </c>
      <c r="G1640" s="12" t="n">
        <f aca="false">MEDIAN(F1630:F1650)</f>
        <v>1286.95537676883</v>
      </c>
      <c r="H1640" s="13" t="n">
        <f aca="false">B1640/G1640</f>
        <v>18.7152565153208</v>
      </c>
      <c r="I1640" s="14" t="n">
        <f aca="false">B1640/Summary!$C$8*100</f>
        <v>241.36144542093</v>
      </c>
      <c r="J1640" s="14" t="n">
        <f aca="false">G1640/Summary!$E$8*100</f>
        <v>218.72556112744</v>
      </c>
      <c r="K1640" s="15" t="n">
        <f aca="false">Summary!$D$9</f>
        <v>16.9374488591431</v>
      </c>
      <c r="L1640" s="16" t="str">
        <f aca="false">IF(OR(D1640="",E1640=""),"edge hidden",IF(AND(H1640&gt;=D1640-0.02,H1640&lt;=E1640+0.02),"yes","no"))</f>
        <v>yes</v>
      </c>
    </row>
    <row r="1641" customFormat="false" ht="15" hidden="false" customHeight="false" outlineLevel="0" collapsed="false">
      <c r="A1641" s="9" t="n">
        <v>46191</v>
      </c>
      <c r="B1641" s="10" t="n">
        <v>24168</v>
      </c>
      <c r="C1641" s="11" t="n">
        <v>18.6305</v>
      </c>
      <c r="D1641" s="11" t="n">
        <v>18.5025</v>
      </c>
      <c r="E1641" s="11" t="n">
        <v>18.7584</v>
      </c>
      <c r="F1641" s="12" t="n">
        <f aca="false">IF(C1641="","",B1641/C1641)</f>
        <v>1297.22766431389</v>
      </c>
      <c r="G1641" s="12" t="n">
        <f aca="false">MEDIAN(F1631:F1651)</f>
        <v>1288.80090194078</v>
      </c>
      <c r="H1641" s="13" t="n">
        <f aca="false">B1641/G1641</f>
        <v>18.7523146233106</v>
      </c>
      <c r="I1641" s="14" t="n">
        <f aca="false">B1641/Summary!$C$8*100</f>
        <v>242.186169093405</v>
      </c>
      <c r="J1641" s="14" t="n">
        <f aca="false">G1641/Summary!$E$8*100</f>
        <v>219.039218878203</v>
      </c>
      <c r="K1641" s="15" t="n">
        <f aca="false">Summary!$D$9</f>
        <v>16.9374488591431</v>
      </c>
      <c r="L1641" s="16" t="str">
        <f aca="false">IF(OR(D1641="",E1641=""),"edge hidden",IF(AND(H1641&gt;=D1641-0.02,H1641&lt;=E1641+0.02),"yes","no"))</f>
        <v>yes</v>
      </c>
    </row>
    <row r="1642" customFormat="false" ht="15" hidden="false" customHeight="false" outlineLevel="0" collapsed="false">
      <c r="A1642" s="9" t="n">
        <v>46192</v>
      </c>
      <c r="B1642" s="10" t="n">
        <v>24013.1</v>
      </c>
      <c r="C1642" s="11" t="n">
        <v>18.6265</v>
      </c>
      <c r="D1642" s="11" t="n">
        <v>18.5025</v>
      </c>
      <c r="E1642" s="11" t="n">
        <v>18.7506</v>
      </c>
      <c r="F1642" s="12" t="n">
        <f aca="false">IF(C1642="","",B1642/C1642)</f>
        <v>1289.19013233834</v>
      </c>
      <c r="G1642" s="12" t="n">
        <f aca="false">MEDIAN(F1632:F1652)</f>
        <v>1289.19013233834</v>
      </c>
      <c r="H1642" s="13" t="n">
        <f aca="false">B1642/G1642</f>
        <v>18.6265</v>
      </c>
      <c r="I1642" s="14" t="n">
        <f aca="false">B1642/Summary!$C$8*100</f>
        <v>240.633924903047</v>
      </c>
      <c r="J1642" s="14" t="n">
        <f aca="false">G1642/Summary!$E$8*100</f>
        <v>219.105370851029</v>
      </c>
      <c r="K1642" s="15" t="n">
        <f aca="false">Summary!$D$9</f>
        <v>16.9374488591431</v>
      </c>
      <c r="L1642" s="16" t="str">
        <f aca="false">IF(OR(D1642="",E1642=""),"edge hidden",IF(AND(H1642&gt;=D1642-0.02,H1642&lt;=E1642+0.02),"yes","no"))</f>
        <v>yes</v>
      </c>
    </row>
    <row r="1643" customFormat="false" ht="15" hidden="false" customHeight="false" outlineLevel="0" collapsed="false">
      <c r="A1643" s="9" t="n">
        <v>46195</v>
      </c>
      <c r="B1643" s="10" t="n">
        <v>24102.9</v>
      </c>
      <c r="C1643" s="11" t="n">
        <v>18.5872</v>
      </c>
      <c r="D1643" s="11" t="n">
        <v>18.4868</v>
      </c>
      <c r="E1643" s="11" t="n">
        <v>18.6876</v>
      </c>
      <c r="F1643" s="12" t="n">
        <f aca="false">IF(C1643="","",B1643/C1643)</f>
        <v>1296.74722389601</v>
      </c>
      <c r="G1643" s="12" t="n">
        <f aca="false">MEDIAN(F1633:F1653)</f>
        <v>1289.22034120305</v>
      </c>
      <c r="H1643" s="13" t="n">
        <f aca="false">B1643/G1643</f>
        <v>18.6957180473185</v>
      </c>
      <c r="I1643" s="14" t="n">
        <f aca="false">B1643/Summary!$C$8*100</f>
        <v>241.533805653817</v>
      </c>
      <c r="J1643" s="14" t="n">
        <f aca="false">G1643/Summary!$E$8*100</f>
        <v>219.110505023515</v>
      </c>
      <c r="K1643" s="15" t="n">
        <f aca="false">Summary!$D$9</f>
        <v>16.9374488591431</v>
      </c>
      <c r="L1643" s="16" t="str">
        <f aca="false">IF(OR(D1643="",E1643=""),"edge hidden",IF(AND(H1643&gt;=D1643-0.02,H1643&lt;=E1643+0.02),"yes","no"))</f>
        <v>yes</v>
      </c>
    </row>
    <row r="1644" customFormat="false" ht="15" hidden="false" customHeight="false" outlineLevel="0" collapsed="false">
      <c r="A1644" s="9" t="n">
        <v>46196</v>
      </c>
      <c r="B1644" s="10" t="n">
        <v>23824.1</v>
      </c>
      <c r="C1644" s="11" t="n">
        <v>18.5832</v>
      </c>
      <c r="D1644" s="11" t="n">
        <v>18.4868</v>
      </c>
      <c r="E1644" s="11" t="n">
        <v>18.6797</v>
      </c>
      <c r="F1644" s="12" t="n">
        <f aca="false">IF(C1644="","",B1644/C1644)</f>
        <v>1282.02354815102</v>
      </c>
      <c r="G1644" s="12" t="n">
        <f aca="false">MEDIAN(F1634:F1654)</f>
        <v>1289.22034120305</v>
      </c>
      <c r="H1644" s="13" t="n">
        <f aca="false">B1644/G1644</f>
        <v>18.4794633148343</v>
      </c>
      <c r="I1644" s="14" t="n">
        <f aca="false">B1644/Summary!$C$8*100</f>
        <v>238.739966530048</v>
      </c>
      <c r="J1644" s="14" t="n">
        <f aca="false">G1644/Summary!$E$8*100</f>
        <v>219.110505023515</v>
      </c>
      <c r="K1644" s="15" t="n">
        <f aca="false">Summary!$D$9</f>
        <v>16.9374488591431</v>
      </c>
      <c r="L1644" s="16" t="str">
        <f aca="false">IF(OR(D1644="",E1644=""),"edge hidden",IF(AND(H1644&gt;=D1644-0.02,H1644&lt;=E1644+0.02),"yes","no"))</f>
        <v>yes</v>
      </c>
    </row>
    <row r="1645" customFormat="false" ht="15" hidden="false" customHeight="false" outlineLevel="0" collapsed="false">
      <c r="A1645" s="9" t="n">
        <v>46197</v>
      </c>
      <c r="B1645" s="10" t="n">
        <v>24021.65</v>
      </c>
      <c r="C1645" s="11" t="n">
        <v>18.5754</v>
      </c>
      <c r="D1645" s="11" t="n">
        <v>18.4868</v>
      </c>
      <c r="E1645" s="11" t="n">
        <v>18.6639</v>
      </c>
      <c r="F1645" s="12" t="n">
        <f aca="false">IF(C1645="","",B1645/C1645)</f>
        <v>1293.19691635173</v>
      </c>
      <c r="G1645" s="12" t="n">
        <f aca="false">MEDIAN(F1635:F1655)</f>
        <v>1289.22034120305</v>
      </c>
      <c r="H1645" s="13" t="n">
        <f aca="false">B1645/G1645</f>
        <v>18.6326954611839</v>
      </c>
      <c r="I1645" s="14" t="n">
        <f aca="false">B1645/Summary!$C$8*100</f>
        <v>240.719603972302</v>
      </c>
      <c r="J1645" s="14" t="n">
        <f aca="false">G1645/Summary!$E$8*100</f>
        <v>219.110505023515</v>
      </c>
      <c r="K1645" s="15" t="n">
        <f aca="false">Summary!$D$9</f>
        <v>16.9374488591431</v>
      </c>
      <c r="L1645" s="16" t="str">
        <f aca="false">IF(OR(D1645="",E1645=""),"edge hidden",IF(AND(H1645&gt;=D1645-0.02,H1645&lt;=E1645+0.02),"yes","no"))</f>
        <v>yes</v>
      </c>
    </row>
    <row r="1646" customFormat="false" ht="15" hidden="false" customHeight="false" outlineLevel="0" collapsed="false">
      <c r="A1646" s="9" t="n">
        <v>46198</v>
      </c>
      <c r="B1646" s="10" t="n">
        <v>24056</v>
      </c>
      <c r="C1646" s="11" t="n">
        <v>18.5714</v>
      </c>
      <c r="D1646" s="11" t="n">
        <v>18.4868</v>
      </c>
      <c r="E1646" s="11" t="n">
        <v>18.6561</v>
      </c>
      <c r="F1646" s="12" t="n">
        <f aca="false">IF(C1646="","",B1646/C1646)</f>
        <v>1295.32506973088</v>
      </c>
      <c r="G1646" s="12" t="n">
        <f aca="false">MEDIAN(F1636:F1656)</f>
        <v>1290.35667604391</v>
      </c>
      <c r="H1646" s="13" t="n">
        <f aca="false">B1646/G1646</f>
        <v>18.6429073810452</v>
      </c>
      <c r="I1646" s="14" t="n">
        <f aca="false">B1646/Summary!$C$8*100</f>
        <v>241.063823390887</v>
      </c>
      <c r="J1646" s="14" t="n">
        <f aca="false">G1646/Summary!$E$8*100</f>
        <v>219.303631747395</v>
      </c>
      <c r="K1646" s="15" t="n">
        <f aca="false">Summary!$D$9</f>
        <v>16.9374488591431</v>
      </c>
      <c r="L1646" s="16" t="str">
        <f aca="false">IF(OR(D1646="",E1646=""),"edge hidden",IF(AND(H1646&gt;=D1646-0.02,H1646&lt;=E1646+0.02),"yes","no"))</f>
        <v>yes</v>
      </c>
    </row>
    <row r="1647" customFormat="false" ht="15" hidden="false" customHeight="false" outlineLevel="0" collapsed="false">
      <c r="A1647" s="9" t="n">
        <v>46202</v>
      </c>
      <c r="B1647" s="10" t="n">
        <v>23946.25</v>
      </c>
      <c r="C1647" s="11" t="n">
        <v>18.6069</v>
      </c>
      <c r="D1647" s="11" t="n">
        <v>18.4632</v>
      </c>
      <c r="E1647" s="11" t="n">
        <v>18.7506</v>
      </c>
      <c r="F1647" s="12" t="n">
        <f aca="false">IF(C1647="","",B1647/C1647)</f>
        <v>1286.95537676883</v>
      </c>
      <c r="G1647" s="12" t="n">
        <f aca="false">MEDIAN(F1637:F1657)</f>
        <v>1292.45187192935</v>
      </c>
      <c r="H1647" s="13" t="n">
        <f aca="false">B1647/G1647</f>
        <v>18.5277692114396</v>
      </c>
      <c r="I1647" s="14" t="n">
        <f aca="false">B1647/Summary!$C$8*100</f>
        <v>239.964024811857</v>
      </c>
      <c r="J1647" s="14" t="n">
        <f aca="false">G1647/Summary!$E$8*100</f>
        <v>219.659722489923</v>
      </c>
      <c r="K1647" s="15" t="n">
        <f aca="false">Summary!$D$9</f>
        <v>16.9374488591431</v>
      </c>
      <c r="L1647" s="16" t="str">
        <f aca="false">IF(OR(D1647="",E1647=""),"edge hidden",IF(AND(H1647&gt;=D1647-0.02,H1647&lt;=E1647+0.02),"yes","no"))</f>
        <v>yes</v>
      </c>
    </row>
    <row r="1648" customFormat="false" ht="15" hidden="false" customHeight="false" outlineLevel="0" collapsed="false">
      <c r="A1648" s="9" t="n">
        <v>46203</v>
      </c>
      <c r="B1648" s="10" t="n">
        <v>23865.75</v>
      </c>
      <c r="C1648" s="11" t="n">
        <v>18.6226</v>
      </c>
      <c r="D1648" s="11" t="n">
        <v>18.471</v>
      </c>
      <c r="E1648" s="11" t="n">
        <v>18.7742</v>
      </c>
      <c r="F1648" s="12" t="n">
        <f aca="false">IF(C1648="","",B1648/C1648)</f>
        <v>1281.54768936668</v>
      </c>
      <c r="G1648" s="12" t="n">
        <f aca="false">MEDIAN(F1638:F1658)</f>
        <v>1292.45187192935</v>
      </c>
      <c r="H1648" s="13" t="n">
        <f aca="false">B1648/G1648</f>
        <v>18.4654844937272</v>
      </c>
      <c r="I1648" s="14" t="n">
        <f aca="false">B1648/Summary!$C$8*100</f>
        <v>239.157338838172</v>
      </c>
      <c r="J1648" s="14" t="n">
        <f aca="false">G1648/Summary!$E$8*100</f>
        <v>219.659722489923</v>
      </c>
      <c r="K1648" s="15" t="n">
        <f aca="false">Summary!$D$9</f>
        <v>16.9374488591431</v>
      </c>
      <c r="L1648" s="16" t="str">
        <f aca="false">IF(OR(D1648="",E1648=""),"edge hidden",IF(AND(H1648&gt;=D1648-0.02,H1648&lt;=E1648+0.02),"yes","no"))</f>
        <v>yes</v>
      </c>
    </row>
    <row r="1649" customFormat="false" ht="15" hidden="false" customHeight="false" outlineLevel="0" collapsed="false">
      <c r="A1649" s="9" t="n">
        <v>46204</v>
      </c>
      <c r="B1649" s="10" t="n">
        <v>24005.85</v>
      </c>
      <c r="C1649" s="11" t="n">
        <v>18.6265</v>
      </c>
      <c r="D1649" s="11" t="n">
        <v>18.471</v>
      </c>
      <c r="E1649" s="11" t="n">
        <v>18.7821</v>
      </c>
      <c r="F1649" s="12" t="n">
        <f aca="false">IF(C1649="","",B1649/C1649)</f>
        <v>1288.80090194078</v>
      </c>
      <c r="G1649" s="12" t="n">
        <f aca="false">MEDIAN(F1639:F1659)</f>
        <v>1292.45187192935</v>
      </c>
      <c r="H1649" s="13" t="n">
        <f aca="false">B1649/G1649</f>
        <v>18.5738831142428</v>
      </c>
      <c r="I1649" s="14" t="n">
        <f aca="false">B1649/Summary!$C$8*100</f>
        <v>240.561273060697</v>
      </c>
      <c r="J1649" s="14" t="n">
        <f aca="false">G1649/Summary!$E$8*100</f>
        <v>219.659722489923</v>
      </c>
      <c r="K1649" s="15" t="n">
        <f aca="false">Summary!$D$9</f>
        <v>16.9374488591431</v>
      </c>
      <c r="L1649" s="16" t="str">
        <f aca="false">IF(OR(D1649="",E1649=""),"edge hidden",IF(AND(H1649&gt;=D1649-0.02,H1649&lt;=E1649+0.02),"yes","no"))</f>
        <v>yes</v>
      </c>
    </row>
    <row r="1650" customFormat="false" ht="15" hidden="false" customHeight="false" outlineLevel="0" collapsed="false">
      <c r="A1650" s="9" t="n">
        <v>46205</v>
      </c>
      <c r="B1650" s="10" t="n">
        <v>24175.7</v>
      </c>
      <c r="C1650" s="11" t="n">
        <v>18.7053</v>
      </c>
      <c r="D1650" s="11" t="n">
        <v>18.4868</v>
      </c>
      <c r="E1650" s="11" t="n">
        <v>18.9238</v>
      </c>
      <c r="F1650" s="12" t="n">
        <f aca="false">IF(C1650="","",B1650/C1650)</f>
        <v>1292.45187192935</v>
      </c>
      <c r="G1650" s="12" t="n">
        <f aca="false">MEDIAN(F1640:F1660)</f>
        <v>1292.45187192935</v>
      </c>
      <c r="H1650" s="13" t="n">
        <f aca="false">B1650/G1650</f>
        <v>18.7053</v>
      </c>
      <c r="I1650" s="14" t="n">
        <f aca="false">B1650/Summary!$C$8*100</f>
        <v>242.263330360453</v>
      </c>
      <c r="J1650" s="14" t="n">
        <f aca="false">G1650/Summary!$E$8*100</f>
        <v>219.659722489923</v>
      </c>
      <c r="K1650" s="15" t="n">
        <f aca="false">Summary!$D$9</f>
        <v>16.9374488591431</v>
      </c>
      <c r="L1650" s="16" t="str">
        <f aca="false">IF(OR(D1650="",E1650=""),"edge hidden",IF(AND(H1650&gt;=D1650-0.02,H1650&lt;=E1650+0.02),"yes","no"))</f>
        <v>yes</v>
      </c>
    </row>
    <row r="1651" customFormat="false" ht="15" hidden="false" customHeight="false" outlineLevel="0" collapsed="false">
      <c r="A1651" s="9" t="n">
        <v>46206</v>
      </c>
      <c r="B1651" s="10" t="n">
        <v>24270.85</v>
      </c>
      <c r="C1651" s="11" t="n">
        <v>18.721</v>
      </c>
      <c r="D1651" s="11" t="n">
        <v>18.4947</v>
      </c>
      <c r="E1651" s="11" t="n">
        <v>18.9474</v>
      </c>
      <c r="F1651" s="12" t="n">
        <f aca="false">IF(C1651="","",B1651/C1651)</f>
        <v>1296.45051012232</v>
      </c>
      <c r="G1651" s="12" t="n">
        <f aca="false">MEDIAN(F1641:F1661)</f>
        <v>1292.45187192935</v>
      </c>
      <c r="H1651" s="13" t="n">
        <f aca="false">B1651/G1651</f>
        <v>18.7789197626129</v>
      </c>
      <c r="I1651" s="14" t="n">
        <f aca="false">B1651/Summary!$C$8*100</f>
        <v>243.216823160405</v>
      </c>
      <c r="J1651" s="14" t="n">
        <f aca="false">G1651/Summary!$E$8*100</f>
        <v>219.659722489923</v>
      </c>
      <c r="K1651" s="15" t="n">
        <f aca="false">Summary!$D$9</f>
        <v>16.9374488591431</v>
      </c>
      <c r="L1651" s="16" t="str">
        <f aca="false">IF(OR(D1651="",E1651=""),"edge hidden",IF(AND(H1651&gt;=D1651-0.02,H1651&lt;=E1651+0.02),"yes","no"))</f>
        <v>yes</v>
      </c>
    </row>
    <row r="1652" customFormat="false" ht="15" hidden="false" customHeight="false" outlineLevel="0" collapsed="false">
      <c r="A1652" s="9" t="n">
        <v>46209</v>
      </c>
      <c r="B1652" s="10" t="n">
        <v>24430.35</v>
      </c>
      <c r="C1652" s="11" t="n">
        <v>18.7289</v>
      </c>
      <c r="D1652" s="11" t="n">
        <v>18.5025</v>
      </c>
      <c r="E1652" s="11" t="n">
        <v>18.9553</v>
      </c>
      <c r="F1652" s="12" t="n">
        <f aca="false">IF(C1652="","",B1652/C1652)</f>
        <v>1304.41990720224</v>
      </c>
      <c r="G1652" s="12" t="n">
        <f aca="false">MEDIAN(F1642:F1662)</f>
        <v>1292.45187192935</v>
      </c>
      <c r="H1652" s="13" t="n">
        <f aca="false">B1652/G1652</f>
        <v>18.9023286132356</v>
      </c>
      <c r="I1652" s="14" t="n">
        <f aca="false">B1652/Summary!$C$8*100</f>
        <v>244.815163692117</v>
      </c>
      <c r="J1652" s="14" t="n">
        <f aca="false">G1652/Summary!$E$8*100</f>
        <v>219.659722489923</v>
      </c>
      <c r="K1652" s="15" t="n">
        <f aca="false">Summary!$D$9</f>
        <v>16.9374488591431</v>
      </c>
      <c r="L1652" s="16" t="str">
        <f aca="false">IF(OR(D1652="",E1652=""),"edge hidden",IF(AND(H1652&gt;=D1652-0.02,H1652&lt;=E1652+0.02),"yes","no"))</f>
        <v>yes</v>
      </c>
    </row>
    <row r="1653" customFormat="false" ht="15" hidden="false" customHeight="false" outlineLevel="0" collapsed="false">
      <c r="A1653" s="9" t="n">
        <v>46210</v>
      </c>
      <c r="B1653" s="10" t="n">
        <v>24398.7</v>
      </c>
      <c r="C1653" s="11" t="n">
        <v>18.725</v>
      </c>
      <c r="D1653" s="11" t="n">
        <v>18.5025</v>
      </c>
      <c r="E1653" s="11" t="n">
        <v>18.9474</v>
      </c>
      <c r="F1653" s="12" t="n">
        <f aca="false">IF(C1653="","",B1653/C1653)</f>
        <v>1303.00133511348</v>
      </c>
      <c r="G1653" s="12" t="n">
        <f aca="false">MEDIAN(F1643:F1663)</f>
        <v>1293.19691635173</v>
      </c>
      <c r="H1653" s="13" t="n">
        <f aca="false">B1653/G1653</f>
        <v>18.8669642584918</v>
      </c>
      <c r="I1653" s="14" t="n">
        <f aca="false">B1653/Summary!$C$8*100</f>
        <v>244.498000821717</v>
      </c>
      <c r="J1653" s="14" t="n">
        <f aca="false">G1653/Summary!$E$8*100</f>
        <v>219.786347128425</v>
      </c>
      <c r="K1653" s="15" t="n">
        <f aca="false">Summary!$D$9</f>
        <v>16.9374488591431</v>
      </c>
      <c r="L1653" s="16" t="str">
        <f aca="false">IF(OR(D1653="",E1653=""),"edge hidden",IF(AND(H1653&gt;=D1653-0.02,H1653&lt;=E1653+0.02),"yes","no"))</f>
        <v>yes</v>
      </c>
    </row>
    <row r="1654" customFormat="false" ht="15" hidden="false" customHeight="false" outlineLevel="0" collapsed="false">
      <c r="A1654" s="9" t="n">
        <v>46211</v>
      </c>
      <c r="B1654" s="10" t="n">
        <v>23882.05</v>
      </c>
      <c r="C1654" s="11" t="n">
        <v>18.7171</v>
      </c>
      <c r="D1654" s="11" t="n">
        <v>18.5025</v>
      </c>
      <c r="E1654" s="11" t="n">
        <v>18.9317</v>
      </c>
      <c r="F1654" s="12" t="n">
        <f aca="false">IF(C1654="","",B1654/C1654)</f>
        <v>1275.94819710318</v>
      </c>
      <c r="G1654" s="12" t="n">
        <f aca="false">MEDIAN(F1644:F1664)</f>
        <v>1293.19691635173</v>
      </c>
      <c r="H1654" s="13" t="n">
        <f aca="false">B1654/G1654</f>
        <v>18.4674504694723</v>
      </c>
      <c r="I1654" s="14" t="n">
        <f aca="false">B1654/Summary!$C$8*100</f>
        <v>239.320680221663</v>
      </c>
      <c r="J1654" s="14" t="n">
        <f aca="false">G1654/Summary!$E$8*100</f>
        <v>219.786347128425</v>
      </c>
      <c r="K1654" s="15" t="n">
        <f aca="false">Summary!$D$9</f>
        <v>16.9374488591431</v>
      </c>
      <c r="L1654" s="16" t="str">
        <f aca="false">IF(OR(D1654="",E1654=""),"edge hidden",IF(AND(H1654&gt;=D1654-0.02,H1654&lt;=E1654+0.02),"yes","no"))</f>
        <v>no</v>
      </c>
    </row>
    <row r="1655" customFormat="false" ht="15" hidden="false" customHeight="false" outlineLevel="0" collapsed="false">
      <c r="A1655" s="9" t="n">
        <v>46212</v>
      </c>
      <c r="B1655" s="10" t="n">
        <v>23962.8</v>
      </c>
      <c r="C1655" s="11" t="n">
        <v>18.7132</v>
      </c>
      <c r="D1655" s="11" t="n">
        <v>18.5104</v>
      </c>
      <c r="E1655" s="11" t="n">
        <v>18.9159</v>
      </c>
      <c r="F1655" s="12" t="n">
        <f aca="false">IF(C1655="","",B1655/C1655)</f>
        <v>1280.52925207875</v>
      </c>
      <c r="G1655" s="12" t="n">
        <f aca="false">MEDIAN(F1645:F1665)</f>
        <v>1293.51389724331</v>
      </c>
      <c r="H1655" s="13" t="n">
        <f aca="false">B1655/G1655</f>
        <v>18.5253517964273</v>
      </c>
      <c r="I1655" s="14" t="n">
        <f aca="false">B1655/Summary!$C$8*100</f>
        <v>240.129871431291</v>
      </c>
      <c r="J1655" s="14" t="n">
        <f aca="false">G1655/Summary!$E$8*100</f>
        <v>219.840219876951</v>
      </c>
      <c r="K1655" s="15" t="n">
        <f aca="false">Summary!$D$9</f>
        <v>16.9374488591431</v>
      </c>
      <c r="L1655" s="16" t="str">
        <f aca="false">IF(OR(D1655="",E1655=""),"edge hidden",IF(AND(H1655&gt;=D1655-0.02,H1655&lt;=E1655+0.02),"yes","no"))</f>
        <v>yes</v>
      </c>
    </row>
    <row r="1656" customFormat="false" ht="15" hidden="false" customHeight="false" outlineLevel="0" collapsed="false">
      <c r="A1656" s="9" t="n">
        <v>46213</v>
      </c>
      <c r="B1656" s="10" t="n">
        <v>24206.9</v>
      </c>
      <c r="C1656" s="11" t="n">
        <v>18.6305</v>
      </c>
      <c r="D1656" s="11" t="n">
        <v>18.5104</v>
      </c>
      <c r="E1656" s="11" t="n">
        <v>18.7506</v>
      </c>
      <c r="F1656" s="12" t="n">
        <f aca="false">IF(C1656="","",B1656/C1656)</f>
        <v>1299.31563833499</v>
      </c>
      <c r="G1656" s="12" t="n">
        <f aca="false">MEDIAN(F1646:F1666)</f>
        <v>1295.32506973088</v>
      </c>
      <c r="H1656" s="13" t="n">
        <f aca="false">B1656/G1656</f>
        <v>18.687895853841</v>
      </c>
      <c r="I1656" s="14" t="n">
        <f aca="false">B1656/Summary!$C$8*100</f>
        <v>242.575983806155</v>
      </c>
      <c r="J1656" s="14" t="n">
        <f aca="false">G1656/Summary!$E$8*100</f>
        <v>220.148039188943</v>
      </c>
      <c r="K1656" s="15" t="n">
        <f aca="false">Summary!$D$9</f>
        <v>16.9374488591431</v>
      </c>
      <c r="L1656" s="16" t="str">
        <f aca="false">IF(OR(D1656="",E1656=""),"edge hidden",IF(AND(H1656&gt;=D1656-0.02,H1656&lt;=E1656+0.02),"yes","no"))</f>
        <v>yes</v>
      </c>
    </row>
    <row r="1657" customFormat="false" ht="15" hidden="false" customHeight="false" outlineLevel="0" collapsed="false">
      <c r="A1657" s="9" t="n">
        <v>46216</v>
      </c>
      <c r="B1657" s="10" t="n">
        <v>24211</v>
      </c>
      <c r="C1657" s="11" t="n">
        <v>18.6502</v>
      </c>
      <c r="D1657" s="11" t="n">
        <v>18.5734</v>
      </c>
      <c r="E1657" s="11" t="n">
        <v>18.7269</v>
      </c>
      <c r="F1657" s="12" t="n">
        <f aca="false">IF(C1657="","",B1657/C1657)</f>
        <v>1298.16302238046</v>
      </c>
      <c r="G1657" s="12" t="n">
        <f aca="false">MEDIAN(F1647:F1667)</f>
        <v>1296.45051012232</v>
      </c>
      <c r="H1657" s="13" t="n">
        <f aca="false">B1657/G1657</f>
        <v>18.6748354919585</v>
      </c>
      <c r="I1657" s="14" t="n">
        <f aca="false">B1657/Summary!$C$8*100</f>
        <v>242.617069675622</v>
      </c>
      <c r="J1657" s="14" t="n">
        <f aca="false">G1657/Summary!$E$8*100</f>
        <v>220.339314337699</v>
      </c>
      <c r="K1657" s="15" t="n">
        <f aca="false">Summary!$D$9</f>
        <v>16.9374488591431</v>
      </c>
      <c r="L1657" s="16" t="str">
        <f aca="false">IF(OR(D1657="",E1657=""),"edge hidden",IF(AND(H1657&gt;=D1657-0.02,H1657&lt;=E1657+0.02),"yes","no"))</f>
        <v>yes</v>
      </c>
    </row>
    <row r="1658" customFormat="false" ht="15" hidden="false" customHeight="false" outlineLevel="0" collapsed="false">
      <c r="A1658" s="9" t="n">
        <v>46217</v>
      </c>
      <c r="B1658" s="10" t="n">
        <v>24052.05</v>
      </c>
      <c r="C1658" s="11" t="n">
        <v>18.6541</v>
      </c>
      <c r="D1658" s="11" t="n">
        <v>18.5734</v>
      </c>
      <c r="E1658" s="11" t="n">
        <v>18.7348</v>
      </c>
      <c r="F1658" s="12" t="n">
        <f aca="false">IF(C1658="","",B1658/C1658)</f>
        <v>1289.37070134716</v>
      </c>
      <c r="G1658" s="12" t="n">
        <f aca="false">MEDIAN(F1648:F1668)</f>
        <v>1298.16302238046</v>
      </c>
      <c r="H1658" s="13" t="n">
        <f aca="false">B1658/G1658</f>
        <v>18.5277577510223</v>
      </c>
      <c r="I1658" s="14" t="n">
        <f aca="false">B1658/Summary!$C$8*100</f>
        <v>241.024240662986</v>
      </c>
      <c r="J1658" s="14" t="n">
        <f aca="false">G1658/Summary!$E$8*100</f>
        <v>220.630365769132</v>
      </c>
      <c r="K1658" s="15" t="n">
        <f aca="false">Summary!$D$9</f>
        <v>16.9374488591431</v>
      </c>
      <c r="L1658" s="16" t="str">
        <f aca="false">IF(OR(D1658="",E1658=""),"edge hidden",IF(AND(H1658&gt;=D1658-0.02,H1658&lt;=E1658+0.02),"yes","no"))</f>
        <v>no</v>
      </c>
    </row>
    <row r="1659" customFormat="false" ht="15" hidden="false" customHeight="false" outlineLevel="0" collapsed="false">
      <c r="A1659" s="9" t="n">
        <v>46218</v>
      </c>
      <c r="B1659" s="10" t="n">
        <v>24078.5</v>
      </c>
      <c r="C1659" s="11" t="n">
        <v>18.658</v>
      </c>
      <c r="D1659" s="11" t="n">
        <v>18.5813</v>
      </c>
      <c r="E1659" s="11" t="n">
        <v>18.7348</v>
      </c>
      <c r="F1659" s="12" t="n">
        <f aca="false">IF(C1659="","",B1659/C1659)</f>
        <v>1290.51881230571</v>
      </c>
      <c r="G1659" s="12" t="n">
        <f aca="false">MEDIAN(F1649:F1669)</f>
        <v>1298.71623486624</v>
      </c>
      <c r="H1659" s="13" t="n">
        <f aca="false">B1659/G1659</f>
        <v>18.540231771631</v>
      </c>
      <c r="I1659" s="14" t="n">
        <f aca="false">B1659/Summary!$C$8*100</f>
        <v>241.289294625768</v>
      </c>
      <c r="J1659" s="14" t="n">
        <f aca="false">G1659/Summary!$E$8*100</f>
        <v>220.724387452835</v>
      </c>
      <c r="K1659" s="15" t="n">
        <f aca="false">Summary!$D$9</f>
        <v>16.9374488591431</v>
      </c>
      <c r="L1659" s="16" t="str">
        <f aca="false">IF(OR(D1659="",E1659=""),"edge hidden",IF(AND(H1659&gt;=D1659-0.02,H1659&lt;=E1659+0.02),"yes","no"))</f>
        <v>no</v>
      </c>
    </row>
    <row r="1660" customFormat="false" ht="15" hidden="false" customHeight="false" outlineLevel="0" collapsed="false">
      <c r="A1660" s="9" t="n">
        <v>46219</v>
      </c>
      <c r="B1660" s="10" t="n">
        <v>24072.75</v>
      </c>
      <c r="C1660" s="11" t="n">
        <v>18.658</v>
      </c>
      <c r="D1660" s="11" t="n">
        <v>18.5734</v>
      </c>
      <c r="E1660" s="11" t="n">
        <v>18.7427</v>
      </c>
      <c r="F1660" s="12" t="n">
        <f aca="false">IF(C1660="","",B1660/C1660)</f>
        <v>1290.21063350841</v>
      </c>
      <c r="G1660" s="12" t="n">
        <f aca="false">MEDIAN(F1650:F1670)</f>
        <v>1299.31563833499</v>
      </c>
      <c r="H1660" s="13" t="n">
        <f aca="false">B1660/G1660</f>
        <v>18.5272533399568</v>
      </c>
      <c r="I1660" s="14" t="n">
        <f aca="false">B1660/Summary!$C$8*100</f>
        <v>241.231674199076</v>
      </c>
      <c r="J1660" s="14" t="n">
        <f aca="false">G1660/Summary!$E$8*100</f>
        <v>220.826259563097</v>
      </c>
      <c r="K1660" s="15" t="n">
        <f aca="false">Summary!$D$9</f>
        <v>16.9374488591431</v>
      </c>
      <c r="L1660" s="16" t="str">
        <f aca="false">IF(OR(D1660="",E1660=""),"edge hidden",IF(AND(H1660&gt;=D1660-0.02,H1660&lt;=E1660+0.02),"yes","no"))</f>
        <v>no</v>
      </c>
    </row>
    <row r="1661" customFormat="false" ht="15" hidden="false" customHeight="false" outlineLevel="0" collapsed="false">
      <c r="A1661" s="9" t="n">
        <v>46220</v>
      </c>
      <c r="B1661" s="10" t="n">
        <v>24334.3</v>
      </c>
      <c r="C1661" s="11" t="n">
        <v>18.6502</v>
      </c>
      <c r="D1661" s="11" t="n">
        <v>18.5655</v>
      </c>
      <c r="E1661" s="11" t="n">
        <v>18.7348</v>
      </c>
      <c r="F1661" s="12" t="n">
        <f aca="false">IF(C1661="","",B1661/C1661)</f>
        <v>1304.77421153661</v>
      </c>
      <c r="G1661" s="12" t="n">
        <f aca="false">MEDIAN(F1651:F1671)</f>
        <v>1303.00133511348</v>
      </c>
      <c r="H1661" s="13" t="n">
        <f aca="false">B1661/G1661</f>
        <v>18.6755756454237</v>
      </c>
      <c r="I1661" s="14" t="n">
        <f aca="false">B1661/Summary!$C$8*100</f>
        <v>243.852652042769</v>
      </c>
      <c r="J1661" s="14" t="n">
        <f aca="false">G1661/Summary!$E$8*100</f>
        <v>221.452665195005</v>
      </c>
      <c r="K1661" s="15" t="n">
        <f aca="false">Summary!$D$9</f>
        <v>16.9374488591431</v>
      </c>
      <c r="L1661" s="16" t="str">
        <f aca="false">IF(OR(D1661="",E1661=""),"edge hidden",IF(AND(H1661&gt;=D1661-0.02,H1661&lt;=E1661+0.02),"yes","no"))</f>
        <v>yes</v>
      </c>
    </row>
    <row r="1662" customFormat="false" ht="15" hidden="false" customHeight="false" outlineLevel="0" collapsed="false">
      <c r="A1662" s="9" t="n">
        <v>46223</v>
      </c>
      <c r="B1662" s="10" t="n">
        <v>24238.5</v>
      </c>
      <c r="C1662" s="11" t="n">
        <v>18.5439</v>
      </c>
      <c r="D1662" s="11" t="n">
        <v>18.3687</v>
      </c>
      <c r="E1662" s="11" t="n">
        <v>18.7191</v>
      </c>
      <c r="F1662" s="12" t="n">
        <f aca="false">IF(C1662="","",B1662/C1662)</f>
        <v>1307.08750586446</v>
      </c>
      <c r="G1662" s="12" t="n">
        <f aca="false">MEDIAN(F1652:F1672)</f>
        <v>1304.39877064925</v>
      </c>
      <c r="H1662" s="13" t="n">
        <f aca="false">B1662/G1662</f>
        <v>18.5821242287246</v>
      </c>
      <c r="I1662" s="14" t="n">
        <f aca="false">B1662/Summary!$C$8*100</f>
        <v>242.892645629365</v>
      </c>
      <c r="J1662" s="14" t="n">
        <f aca="false">G1662/Summary!$E$8*100</f>
        <v>221.690167502558</v>
      </c>
      <c r="K1662" s="15" t="n">
        <f aca="false">Summary!$D$9</f>
        <v>16.9374488591431</v>
      </c>
      <c r="L1662" s="16" t="str">
        <f aca="false">IF(OR(D1662="",E1662=""),"edge hidden",IF(AND(H1662&gt;=D1662-0.02,H1662&lt;=E1662+0.02),"yes","no"))</f>
        <v>yes</v>
      </c>
    </row>
    <row r="1663" customFormat="false" ht="15" hidden="false" customHeight="false" outlineLevel="0" collapsed="false">
      <c r="A1663" s="9" t="n">
        <v>46224</v>
      </c>
      <c r="B1663" s="10" t="n">
        <v>24187.7</v>
      </c>
      <c r="C1663" s="11" t="n">
        <v>18.5202</v>
      </c>
      <c r="D1663" s="11" t="n">
        <v>18.3293</v>
      </c>
      <c r="E1663" s="11" t="n">
        <v>18.7112</v>
      </c>
      <c r="F1663" s="12" t="n">
        <f aca="false">IF(C1663="","",B1663/C1663)</f>
        <v>1306.017213637</v>
      </c>
      <c r="G1663" s="12" t="n">
        <f aca="false">MEDIAN(F1653:F1673)</f>
        <v>1304.39877064925</v>
      </c>
      <c r="H1663" s="13" t="n">
        <f aca="false">B1663/G1663</f>
        <v>18.5431790831578</v>
      </c>
      <c r="I1663" s="14" t="n">
        <f aca="false">B1663/Summary!$C$8*100</f>
        <v>242.383581685723</v>
      </c>
      <c r="J1663" s="14" t="n">
        <f aca="false">G1663/Summary!$E$8*100</f>
        <v>221.690167502558</v>
      </c>
      <c r="K1663" s="15" t="n">
        <f aca="false">Summary!$D$9</f>
        <v>16.9374488591431</v>
      </c>
      <c r="L1663" s="16" t="str">
        <f aca="false">IF(OR(D1663="",E1663=""),"edge hidden",IF(AND(H1663&gt;=D1663-0.02,H1663&lt;=E1663+0.02),"yes","no"))</f>
        <v>yes</v>
      </c>
    </row>
    <row r="1664" customFormat="false" ht="15" hidden="false" customHeight="false" outlineLevel="0" collapsed="false">
      <c r="A1664" s="9" t="n">
        <v>46225</v>
      </c>
      <c r="B1664" s="10" t="n">
        <v>23996.25</v>
      </c>
      <c r="C1664" s="11" t="n">
        <v>18.4769</v>
      </c>
      <c r="D1664" s="11" t="n">
        <v>18.3136</v>
      </c>
      <c r="E1664" s="11" t="n">
        <v>18.6403</v>
      </c>
      <c r="F1664" s="12" t="n">
        <f aca="false">IF(C1664="","",B1664/C1664)</f>
        <v>1298.71623486624</v>
      </c>
      <c r="G1664" s="12" t="n">
        <f aca="false">MEDIAN(F1654:F1674)</f>
        <v>1304.77421153661</v>
      </c>
      <c r="H1664" s="13" t="n">
        <f aca="false">B1664/G1664</f>
        <v>18.3911130277016</v>
      </c>
      <c r="I1664" s="14" t="n">
        <f aca="false">B1664/Summary!$C$8*100</f>
        <v>240.465072000481</v>
      </c>
      <c r="J1664" s="14" t="n">
        <f aca="false">G1664/Summary!$E$8*100</f>
        <v>221.75397586782</v>
      </c>
      <c r="K1664" s="15" t="n">
        <f aca="false">Summary!$D$9</f>
        <v>16.9374488591431</v>
      </c>
      <c r="L1664" s="16" t="str">
        <f aca="false">IF(OR(D1664="",E1664=""),"edge hidden",IF(AND(H1664&gt;=D1664-0.02,H1664&lt;=E1664+0.02),"yes","no"))</f>
        <v>yes</v>
      </c>
    </row>
    <row r="1665" customFormat="false" ht="15" hidden="false" customHeight="false" outlineLevel="0" collapsed="false">
      <c r="A1665" s="9" t="n">
        <v>46226</v>
      </c>
      <c r="B1665" s="10" t="n">
        <v>23869.6</v>
      </c>
      <c r="C1665" s="11" t="n">
        <v>18.4533</v>
      </c>
      <c r="D1665" s="11" t="n">
        <v>18.3057</v>
      </c>
      <c r="E1665" s="11" t="n">
        <v>18.601</v>
      </c>
      <c r="F1665" s="12" t="n">
        <f aca="false">IF(C1665="","",B1665/C1665)</f>
        <v>1293.51389724331</v>
      </c>
      <c r="G1665" s="12" t="n">
        <f aca="false">MEDIAN(F1655:F1675)</f>
        <v>1306.017213637</v>
      </c>
      <c r="H1665" s="13" t="n">
        <f aca="false">B1665/G1665</f>
        <v>18.276635063276</v>
      </c>
      <c r="I1665" s="14" t="n">
        <f aca="false">B1665/Summary!$C$8*100</f>
        <v>239.195919471696</v>
      </c>
      <c r="J1665" s="14" t="n">
        <f aca="false">G1665/Summary!$E$8*100</f>
        <v>221.965231313657</v>
      </c>
      <c r="K1665" s="15" t="n">
        <f aca="false">Summary!$D$9</f>
        <v>16.9374488591431</v>
      </c>
      <c r="L1665" s="16" t="str">
        <f aca="false">IF(OR(D1665="",E1665=""),"edge hidden",IF(AND(H1665&gt;=D1665-0.02,H1665&lt;=E1665+0.02),"yes","no"))</f>
        <v>no</v>
      </c>
    </row>
    <row r="1666" customFormat="false" ht="15" hidden="false" customHeight="false" outlineLevel="0" collapsed="false">
      <c r="A1666" s="9" t="n">
        <v>46227</v>
      </c>
      <c r="B1666" s="10" t="n">
        <v>23767.45</v>
      </c>
      <c r="C1666" s="11" t="n">
        <v>18.221</v>
      </c>
      <c r="D1666" s="11" t="n">
        <v>17.975</v>
      </c>
      <c r="E1666" s="11" t="n">
        <v>18.4671</v>
      </c>
      <c r="F1666" s="12" t="n">
        <f aca="false">IF(C1666="","",B1666/C1666)</f>
        <v>1304.39877064925</v>
      </c>
      <c r="G1666" s="12" t="n">
        <f aca="false">MEDIAN(F1656:F1676)</f>
        <v>1307.08750586446</v>
      </c>
      <c r="H1666" s="13" t="n">
        <f aca="false">B1666/G1666</f>
        <v>18.1835186193453</v>
      </c>
      <c r="I1666" s="14" t="n">
        <f aca="false">B1666/Summary!$C$8*100</f>
        <v>238.172280065337</v>
      </c>
      <c r="J1666" s="14" t="n">
        <f aca="false">G1666/Summary!$E$8*100</f>
        <v>222.147133710777</v>
      </c>
      <c r="K1666" s="15" t="n">
        <f aca="false">Summary!$D$9</f>
        <v>16.9374488591431</v>
      </c>
      <c r="L1666" s="16" t="str">
        <f aca="false">IF(OR(D1666="",E1666=""),"edge hidden",IF(AND(H1666&gt;=D1666-0.02,H1666&lt;=E1666+0.02),"yes","no"))</f>
        <v>yes</v>
      </c>
    </row>
    <row r="1667" customFormat="false" ht="15" hidden="false" customHeight="false" outlineLevel="0" collapsed="false">
      <c r="A1667" s="9" t="n">
        <v>46230</v>
      </c>
      <c r="B1667" s="10" t="n">
        <v>23995.95</v>
      </c>
      <c r="C1667" s="11" t="n">
        <v>18.1974</v>
      </c>
      <c r="D1667" s="11" t="n">
        <v>17.9514</v>
      </c>
      <c r="E1667" s="11" t="n">
        <v>18.4435</v>
      </c>
      <c r="F1667" s="12" t="n">
        <f aca="false">IF(C1667="","",B1667/C1667)</f>
        <v>1318.64716937585</v>
      </c>
      <c r="G1667" s="12" t="n">
        <f aca="false">MEDIAN(F1657:F1677)</f>
        <v>1317.7750063182</v>
      </c>
      <c r="H1667" s="13" t="n">
        <f aca="false">B1667/G1667</f>
        <v>18.209443861774</v>
      </c>
      <c r="I1667" s="14" t="n">
        <f aca="false">B1667/Summary!$C$8*100</f>
        <v>240.462065717349</v>
      </c>
      <c r="J1667" s="14" t="n">
        <f aca="false">G1667/Summary!$E$8*100</f>
        <v>223.963536653715</v>
      </c>
      <c r="K1667" s="15" t="n">
        <f aca="false">Summary!$D$9</f>
        <v>16.9374488591431</v>
      </c>
      <c r="L1667" s="16" t="str">
        <f aca="false">IF(OR(D1667="",E1667=""),"edge hidden",IF(AND(H1667&gt;=D1667-0.02,H1667&lt;=E1667+0.02),"yes","no"))</f>
        <v>yes</v>
      </c>
    </row>
    <row r="1668" customFormat="false" ht="15" hidden="false" customHeight="false" outlineLevel="0" collapsed="false">
      <c r="A1668" s="9" t="n">
        <v>46231</v>
      </c>
      <c r="B1668" s="10" t="n">
        <v>23985.35</v>
      </c>
      <c r="C1668" s="11" t="n">
        <v>18.2014</v>
      </c>
      <c r="D1668" s="11" t="n">
        <v>17.9514</v>
      </c>
      <c r="E1668" s="11" t="n">
        <v>18.4514</v>
      </c>
      <c r="F1668" s="12" t="n">
        <f aca="false">IF(C1668="","",B1668/C1668)</f>
        <v>1317.7750063182</v>
      </c>
      <c r="G1668" s="12" t="n">
        <f aca="false">MEDIAN(F1658:F1678)</f>
        <v>1317.98968682097</v>
      </c>
      <c r="H1668" s="13" t="n">
        <f aca="false">B1668/G1668</f>
        <v>18.1984352683771</v>
      </c>
      <c r="I1668" s="14" t="n">
        <f aca="false">B1668/Summary!$C$8*100</f>
        <v>240.355843713361</v>
      </c>
      <c r="J1668" s="14" t="n">
        <f aca="false">G1668/Summary!$E$8*100</f>
        <v>224.000022855397</v>
      </c>
      <c r="K1668" s="15" t="n">
        <f aca="false">Summary!$D$9</f>
        <v>16.9374488591431</v>
      </c>
      <c r="L1668" s="16" t="str">
        <f aca="false">IF(OR(D1668="",E1668=""),"edge hidden",IF(AND(H1668&gt;=D1668-0.02,H1668&lt;=E1668+0.02),"yes","no"))</f>
        <v>yes</v>
      </c>
    </row>
    <row r="1669" customFormat="false" ht="15" hidden="false" customHeight="false" outlineLevel="0" collapsed="false">
      <c r="A1669" s="9" t="n">
        <v>46232</v>
      </c>
      <c r="B1669" s="10" t="n">
        <v>24250.2</v>
      </c>
      <c r="C1669" s="11" t="n">
        <v>18.2014</v>
      </c>
      <c r="D1669" s="11" t="n">
        <v>17.9514</v>
      </c>
      <c r="E1669" s="11" t="n">
        <v>18.4514</v>
      </c>
      <c r="F1669" s="12" t="n">
        <f aca="false">IF(C1669="","",B1669/C1669)</f>
        <v>1332.32608480666</v>
      </c>
      <c r="G1669" s="12" t="n">
        <f aca="false">MEDIAN(F1659:F1679)</f>
        <v>1318.64716937585</v>
      </c>
      <c r="H1669" s="13" t="n">
        <f aca="false">B1669/G1669</f>
        <v>18.3902112431473</v>
      </c>
      <c r="I1669" s="14" t="n">
        <f aca="false">B1669/Summary!$C$8*100</f>
        <v>243.009890671503</v>
      </c>
      <c r="J1669" s="14" t="n">
        <f aca="false">G1669/Summary!$E$8*100</f>
        <v>224.111765844581</v>
      </c>
      <c r="K1669" s="15" t="n">
        <f aca="false">Summary!$D$9</f>
        <v>16.9374488591431</v>
      </c>
      <c r="L1669" s="16" t="str">
        <f aca="false">IF(OR(D1669="",E1669=""),"edge hidden",IF(AND(H1669&gt;=D1669-0.02,H1669&lt;=E1669+0.02),"yes","no"))</f>
        <v>yes</v>
      </c>
    </row>
    <row r="1670" customFormat="false" ht="15" hidden="false" customHeight="false" outlineLevel="0" collapsed="false">
      <c r="A1670" s="9" t="n">
        <v>46233</v>
      </c>
      <c r="B1670" s="10" t="n">
        <v>24317.15</v>
      </c>
      <c r="C1670" s="11" t="n">
        <v>18.3431</v>
      </c>
      <c r="D1670" s="11" t="n">
        <v>17.9828</v>
      </c>
      <c r="E1670" s="11" t="n">
        <v>18.7033</v>
      </c>
      <c r="F1670" s="12" t="n">
        <f aca="false">IF(C1670="","",B1670/C1670)</f>
        <v>1325.68377209959</v>
      </c>
      <c r="G1670" s="12" t="n">
        <f aca="false">MEDIAN(F1660:F1680)</f>
        <v>1322.86042751159</v>
      </c>
      <c r="H1670" s="13" t="n">
        <f aca="false">B1670/G1670</f>
        <v>18.3822491732877</v>
      </c>
      <c r="I1670" s="14" t="n">
        <f aca="false">B1670/Summary!$C$8*100</f>
        <v>243.680792857071</v>
      </c>
      <c r="J1670" s="14" t="n">
        <f aca="false">G1670/Summary!$E$8*100</f>
        <v>224.827833601514</v>
      </c>
      <c r="K1670" s="15" t="n">
        <f aca="false">Summary!$D$9</f>
        <v>16.9374488591431</v>
      </c>
      <c r="L1670" s="16" t="str">
        <f aca="false">IF(OR(D1670="",E1670=""),"edge hidden",IF(AND(H1670&gt;=D1670-0.02,H1670&lt;=E1670+0.02),"yes","no"))</f>
        <v>yes</v>
      </c>
    </row>
    <row r="1671" customFormat="false" ht="15" hidden="false" customHeight="false" outlineLevel="0" collapsed="false">
      <c r="A1671" s="9" t="n">
        <v>46234</v>
      </c>
      <c r="B1671" s="10" t="n">
        <v>24383.6</v>
      </c>
      <c r="C1671" s="11" t="n">
        <v>18.5006</v>
      </c>
      <c r="D1671" s="11" t="n">
        <v>18.2742</v>
      </c>
      <c r="E1671" s="11" t="n">
        <v>18.7269</v>
      </c>
      <c r="F1671" s="12" t="n">
        <f aca="false">IF(C1671="","",B1671/C1671)</f>
        <v>1317.98968682097</v>
      </c>
      <c r="G1671" s="12" t="n">
        <f aca="false">MEDIAN(F1661:F1681)</f>
        <v>1322.89097055393</v>
      </c>
      <c r="H1671" s="13" t="n">
        <f aca="false">B1671/G1671</f>
        <v>18.4320556589708</v>
      </c>
      <c r="I1671" s="14" t="n">
        <f aca="false">B1671/Summary!$C$8*100</f>
        <v>244.346684570753</v>
      </c>
      <c r="J1671" s="14" t="n">
        <f aca="false">G1671/Summary!$E$8*100</f>
        <v>224.833024569434</v>
      </c>
      <c r="K1671" s="15" t="n">
        <f aca="false">Summary!$D$9</f>
        <v>16.9374488591431</v>
      </c>
      <c r="L1671" s="16" t="str">
        <f aca="false">IF(OR(D1671="",E1671=""),"edge hidden",IF(AND(H1671&gt;=D1671-0.02,H1671&lt;=E1671+0.02),"yes","no"))</f>
        <v>yes</v>
      </c>
    </row>
    <row r="1672" customFormat="false" ht="15" hidden="false" customHeight="false" outlineLevel="0" collapsed="false">
      <c r="A1672" s="9" t="n">
        <v>46237</v>
      </c>
      <c r="B1672" s="10" t="n">
        <v>24774.3</v>
      </c>
      <c r="C1672" s="11" t="n">
        <v>18.5832</v>
      </c>
      <c r="D1672" s="11" t="n">
        <v>18.4238</v>
      </c>
      <c r="E1672" s="11" t="n">
        <v>18.7427</v>
      </c>
      <c r="F1672" s="12" t="n">
        <f aca="false">IF(C1672="","",B1672/C1672)</f>
        <v>1333.15575358388</v>
      </c>
      <c r="G1672" s="12" t="n">
        <f aca="false">MEDIAN(F1662:F1682)</f>
        <v>1323.59294533388</v>
      </c>
      <c r="H1672" s="13" t="n">
        <f aca="false">B1672/G1672</f>
        <v>18.7174615030534</v>
      </c>
      <c r="I1672" s="14" t="n">
        <f aca="false">B1672/Summary!$C$8*100</f>
        <v>248.261867302663</v>
      </c>
      <c r="J1672" s="14" t="n">
        <f aca="false">G1672/Summary!$E$8*100</f>
        <v>224.952329271378</v>
      </c>
      <c r="K1672" s="15" t="n">
        <f aca="false">Summary!$D$9</f>
        <v>16.9374488591431</v>
      </c>
      <c r="L1672" s="16" t="str">
        <f aca="false">IF(OR(D1672="",E1672=""),"edge hidden",IF(AND(H1672&gt;=D1672-0.02,H1672&lt;=E1672+0.02),"yes","no"))</f>
        <v>yes</v>
      </c>
    </row>
    <row r="1673" customFormat="false" ht="15" hidden="false" customHeight="false" outlineLevel="0" collapsed="false">
      <c r="A1673" s="9" t="n">
        <v>46238</v>
      </c>
      <c r="B1673" s="10" t="n">
        <v>24614.9</v>
      </c>
      <c r="C1673" s="11" t="n">
        <v>18.6069</v>
      </c>
      <c r="D1673" s="11" t="n">
        <v>18.4789</v>
      </c>
      <c r="E1673" s="11" t="n">
        <v>18.7348</v>
      </c>
      <c r="F1673" s="12" t="n">
        <f aca="false">IF(C1673="","",B1673/C1673)</f>
        <v>1322.89097055393</v>
      </c>
      <c r="G1673" s="12" t="n">
        <f aca="false">MEDIAN(F1663:F1683)</f>
        <v>1325.42825170009</v>
      </c>
      <c r="H1673" s="13" t="n">
        <f aca="false">B1673/G1673</f>
        <v>18.5712806169833</v>
      </c>
      <c r="I1673" s="14" t="n">
        <f aca="false">B1673/Summary!$C$8*100</f>
        <v>246.664528865329</v>
      </c>
      <c r="J1673" s="14" t="n">
        <f aca="false">G1673/Summary!$E$8*100</f>
        <v>225.264250276595</v>
      </c>
      <c r="K1673" s="15" t="n">
        <f aca="false">Summary!$D$9</f>
        <v>16.9374488591431</v>
      </c>
      <c r="L1673" s="16" t="str">
        <f aca="false">IF(OR(D1673="",E1673=""),"edge hidden",IF(AND(H1673&gt;=D1673-0.02,H1673&lt;=E1673+0.02),"yes","no"))</f>
        <v>yes</v>
      </c>
    </row>
    <row r="1674" customFormat="false" ht="15" hidden="false" customHeight="false" outlineLevel="0" collapsed="false">
      <c r="A1674" s="9" t="n">
        <v>46239</v>
      </c>
      <c r="B1674" s="10" t="n">
        <v>24624.65</v>
      </c>
      <c r="C1674" s="11" t="n">
        <v>18.6147</v>
      </c>
      <c r="D1674" s="11" t="n">
        <v>18.5104</v>
      </c>
      <c r="E1674" s="11" t="n">
        <v>18.7191</v>
      </c>
      <c r="F1674" s="12" t="n">
        <f aca="false">IF(C1674="","",B1674/C1674)</f>
        <v>1322.86042751159</v>
      </c>
      <c r="G1674" s="12" t="n">
        <f aca="false">MEDIAN(F1664:F1684)</f>
        <v>1325.42825170009</v>
      </c>
      <c r="H1674" s="13" t="n">
        <f aca="false">B1674/G1674</f>
        <v>18.5786367299886</v>
      </c>
      <c r="I1674" s="14" t="n">
        <f aca="false">B1674/Summary!$C$8*100</f>
        <v>246.76223306711</v>
      </c>
      <c r="J1674" s="14" t="n">
        <f aca="false">G1674/Summary!$E$8*100</f>
        <v>225.264250276595</v>
      </c>
      <c r="K1674" s="15" t="n">
        <f aca="false">Summary!$D$9</f>
        <v>16.9374488591431</v>
      </c>
      <c r="L1674" s="16" t="str">
        <f aca="false">IF(OR(D1674="",E1674=""),"edge hidden",IF(AND(H1674&gt;=D1674-0.02,H1674&lt;=E1674+0.02),"yes","no"))</f>
        <v>yes</v>
      </c>
    </row>
    <row r="1675" customFormat="false" ht="15" hidden="false" customHeight="false" outlineLevel="0" collapsed="false">
      <c r="A1675" s="9" t="n">
        <v>46240</v>
      </c>
      <c r="B1675" s="10" t="n">
        <v>24636</v>
      </c>
      <c r="C1675" s="11" t="n">
        <v>18.5872</v>
      </c>
      <c r="D1675" s="11" t="n">
        <v>18.5025</v>
      </c>
      <c r="E1675" s="11" t="n">
        <v>18.6718</v>
      </c>
      <c r="F1675" s="12" t="n">
        <f aca="false">IF(C1675="","",B1675/C1675)</f>
        <v>1325.42825170009</v>
      </c>
      <c r="G1675" s="12" t="n">
        <f aca="false">MEDIAN(F1665:F1685)</f>
        <v>1325.66269688821</v>
      </c>
      <c r="H1675" s="13" t="n">
        <f aca="false">B1675/G1675</f>
        <v>18.583912829281</v>
      </c>
      <c r="I1675" s="14" t="n">
        <f aca="false">B1675/Summary!$C$8*100</f>
        <v>246.875970778928</v>
      </c>
      <c r="J1675" s="14" t="n">
        <f aca="false">G1675/Summary!$E$8*100</f>
        <v>225.304095601654</v>
      </c>
      <c r="K1675" s="15" t="n">
        <f aca="false">Summary!$D$9</f>
        <v>16.9374488591431</v>
      </c>
      <c r="L1675" s="16" t="str">
        <f aca="false">IF(OR(D1675="",E1675=""),"edge hidden",IF(AND(H1675&gt;=D1675-0.02,H1675&lt;=E1675+0.02),"yes","no"))</f>
        <v>yes</v>
      </c>
    </row>
    <row r="1676" customFormat="false" ht="15" hidden="false" customHeight="false" outlineLevel="0" collapsed="false">
      <c r="A1676" s="9" t="n">
        <v>46241</v>
      </c>
      <c r="B1676" s="10" t="n">
        <v>24570.65</v>
      </c>
      <c r="C1676" s="11" t="n">
        <v>18.5636</v>
      </c>
      <c r="D1676" s="11" t="n">
        <v>18.4789</v>
      </c>
      <c r="E1676" s="11" t="n">
        <v>18.6482</v>
      </c>
      <c r="F1676" s="12" t="n">
        <f aca="false">IF(C1676="","",B1676/C1676)</f>
        <v>1323.59294533388</v>
      </c>
      <c r="G1676" s="12" t="n">
        <f aca="false">MEDIAN(F1666:F1686)</f>
        <v>1325.68377209959</v>
      </c>
      <c r="H1676" s="13" t="n">
        <f aca="false">B1676/G1676</f>
        <v>18.5343220737216</v>
      </c>
      <c r="I1676" s="14" t="n">
        <f aca="false">B1676/Summary!$C$8*100</f>
        <v>246.221102103396</v>
      </c>
      <c r="J1676" s="14" t="n">
        <f aca="false">G1676/Summary!$E$8*100</f>
        <v>225.307677456564</v>
      </c>
      <c r="K1676" s="15" t="n">
        <f aca="false">Summary!$D$9</f>
        <v>16.9374488591431</v>
      </c>
      <c r="L1676" s="16" t="str">
        <f aca="false">IF(OR(D1676="",E1676=""),"edge hidden",IF(AND(H1676&gt;=D1676-0.02,H1676&lt;=E1676+0.02),"yes","no"))</f>
        <v>yes</v>
      </c>
    </row>
    <row r="1677" customFormat="false" ht="15" hidden="false" customHeight="false" outlineLevel="0" collapsed="false">
      <c r="A1677" s="9" t="n">
        <v>46244</v>
      </c>
      <c r="B1677" s="10" t="n">
        <v>24583.8</v>
      </c>
      <c r="C1677" s="11" t="n">
        <v>18.4612</v>
      </c>
      <c r="D1677" s="11" t="n">
        <v>18.3765</v>
      </c>
      <c r="E1677" s="11" t="n">
        <v>18.5458</v>
      </c>
      <c r="F1677" s="12" t="n">
        <f aca="false">IF(C1677="","",B1677/C1677)</f>
        <v>1331.64691352675</v>
      </c>
      <c r="G1677" s="12" t="n">
        <f aca="false">MEDIAN(F1667:F1687)</f>
        <v>1325.90058438282</v>
      </c>
      <c r="H1677" s="13" t="n">
        <f aca="false">B1677/G1677</f>
        <v>18.54120911444</v>
      </c>
      <c r="I1677" s="14" t="n">
        <f aca="false">B1677/Summary!$C$8*100</f>
        <v>246.352877514004</v>
      </c>
      <c r="J1677" s="14" t="n">
        <f aca="false">G1677/Summary!$E$8*100</f>
        <v>225.344525966749</v>
      </c>
      <c r="K1677" s="15" t="n">
        <f aca="false">Summary!$D$9</f>
        <v>16.9374488591431</v>
      </c>
      <c r="L1677" s="16" t="str">
        <f aca="false">IF(OR(D1677="",E1677=""),"edge hidden",IF(AND(H1677&gt;=D1677-0.02,H1677&lt;=E1677+0.02),"yes","no"))</f>
        <v>yes</v>
      </c>
    </row>
    <row r="1678" customFormat="false" ht="15" hidden="false" customHeight="false" outlineLevel="0" collapsed="false">
      <c r="A1678" s="9" t="n">
        <v>46245</v>
      </c>
      <c r="B1678" s="10" t="n">
        <v>24471.7</v>
      </c>
      <c r="C1678" s="11" t="n">
        <v>18.4454</v>
      </c>
      <c r="D1678" s="11" t="n">
        <v>18.3608</v>
      </c>
      <c r="E1678" s="11" t="n">
        <v>18.5301</v>
      </c>
      <c r="F1678" s="12" t="n">
        <f aca="false">IF(C1678="","",B1678/C1678)</f>
        <v>1326.71018248452</v>
      </c>
      <c r="G1678" s="12" t="n">
        <f aca="false">MEDIAN(F1668:F1688)</f>
        <v>1326.71018248452</v>
      </c>
      <c r="H1678" s="13" t="n">
        <f aca="false">B1678/G1678</f>
        <v>18.4454</v>
      </c>
      <c r="I1678" s="14" t="n">
        <f aca="false">B1678/Summary!$C$8*100</f>
        <v>245.229529717109</v>
      </c>
      <c r="J1678" s="14" t="n">
        <f aca="false">G1678/Summary!$E$8*100</f>
        <v>225.482121878993</v>
      </c>
      <c r="K1678" s="15" t="n">
        <f aca="false">Summary!$D$9</f>
        <v>16.9374488591431</v>
      </c>
      <c r="L1678" s="16" t="str">
        <f aca="false">IF(OR(D1678="",E1678=""),"edge hidden",IF(AND(H1678&gt;=D1678-0.02,H1678&lt;=E1678+0.02),"yes","no"))</f>
        <v>yes</v>
      </c>
    </row>
    <row r="1679" customFormat="false" ht="15" hidden="false" customHeight="false" outlineLevel="0" collapsed="false">
      <c r="A1679" s="9" t="n">
        <v>46246</v>
      </c>
      <c r="B1679" s="10" t="n">
        <v>24435.95</v>
      </c>
      <c r="C1679" s="11" t="n">
        <v>18.4297</v>
      </c>
      <c r="D1679" s="11" t="n">
        <v>18.3451</v>
      </c>
      <c r="E1679" s="11" t="n">
        <v>18.5143</v>
      </c>
      <c r="F1679" s="12" t="n">
        <f aca="false">IF(C1679="","",B1679/C1679)</f>
        <v>1325.90058438282</v>
      </c>
      <c r="G1679" s="12" t="n">
        <f aca="false">MEDIAN(F1669:F1689)</f>
        <v>1327.12362301102</v>
      </c>
      <c r="H1679" s="13" t="n">
        <f aca="false">B1679/G1679</f>
        <v>18.412715723166</v>
      </c>
      <c r="I1679" s="14" t="n">
        <f aca="false">B1679/Summary!$C$8*100</f>
        <v>244.871280977242</v>
      </c>
      <c r="J1679" s="14" t="n">
        <f aca="false">G1679/Summary!$E$8*100</f>
        <v>225.552388504225</v>
      </c>
      <c r="K1679" s="15" t="n">
        <f aca="false">Summary!$D$9</f>
        <v>16.9374488591431</v>
      </c>
      <c r="L1679" s="16" t="str">
        <f aca="false">IF(OR(D1679="",E1679=""),"edge hidden",IF(AND(H1679&gt;=D1679-0.02,H1679&lt;=E1679+0.02),"yes","no"))</f>
        <v>yes</v>
      </c>
    </row>
    <row r="1680" customFormat="false" ht="15" hidden="false" customHeight="false" outlineLevel="0" collapsed="false">
      <c r="A1680" s="9" t="n">
        <v>46247</v>
      </c>
      <c r="B1680" s="10" t="n">
        <v>24395.85</v>
      </c>
      <c r="C1680" s="11" t="n">
        <v>18.3825</v>
      </c>
      <c r="D1680" s="11" t="n">
        <v>18.3214</v>
      </c>
      <c r="E1680" s="11" t="n">
        <v>18.4435</v>
      </c>
      <c r="F1680" s="12" t="n">
        <f aca="false">IF(C1680="","",B1680/C1680)</f>
        <v>1327.12362301102</v>
      </c>
      <c r="G1680" s="12" t="n">
        <f aca="false">MEDIAN(F1670:F1690)</f>
        <v>1327.12362301102</v>
      </c>
      <c r="H1680" s="13" t="n">
        <f aca="false">B1680/G1680</f>
        <v>18.3825</v>
      </c>
      <c r="I1680" s="14" t="n">
        <f aca="false">B1680/Summary!$C$8*100</f>
        <v>244.469441131966</v>
      </c>
      <c r="J1680" s="14" t="n">
        <f aca="false">G1680/Summary!$E$8*100</f>
        <v>225.552388504225</v>
      </c>
      <c r="K1680" s="15" t="n">
        <f aca="false">Summary!$D$9</f>
        <v>16.9374488591431</v>
      </c>
      <c r="L1680" s="16" t="str">
        <f aca="false">IF(OR(D1680="",E1680=""),"edge hidden",IF(AND(H1680&gt;=D1680-0.02,H1680&lt;=E1680+0.02),"yes","no"))</f>
        <v>yes</v>
      </c>
    </row>
    <row r="1681" customFormat="false" ht="15" hidden="false" customHeight="false" outlineLevel="0" collapsed="false">
      <c r="A1681" s="9" t="n">
        <v>46248</v>
      </c>
      <c r="B1681" s="10" t="n">
        <v>24366</v>
      </c>
      <c r="C1681" s="11" t="n">
        <v>18.3195</v>
      </c>
      <c r="D1681" s="11" t="n">
        <v>18.2427</v>
      </c>
      <c r="E1681" s="11" t="n">
        <v>18.3962</v>
      </c>
      <c r="F1681" s="12" t="n">
        <f aca="false">IF(C1681="","",B1681/C1681)</f>
        <v>1330.05813477442</v>
      </c>
      <c r="G1681" s="12" t="n">
        <f aca="false">MEDIAN(F1671:F1691)</f>
        <v>1327.597513529</v>
      </c>
      <c r="H1681" s="13" t="n">
        <f aca="false">B1681/G1681</f>
        <v>18.3534540790383</v>
      </c>
      <c r="I1681" s="14" t="n">
        <f aca="false">B1681/Summary!$C$8*100</f>
        <v>244.170315960357</v>
      </c>
      <c r="J1681" s="14" t="n">
        <f aca="false">G1681/Summary!$E$8*100</f>
        <v>225.632928957554</v>
      </c>
      <c r="K1681" s="15" t="n">
        <f aca="false">Summary!$D$9</f>
        <v>16.9374488591431</v>
      </c>
      <c r="L1681" s="16" t="str">
        <f aca="false">IF(OR(D1681="",E1681=""),"edge hidden",IF(AND(H1681&gt;=D1681-0.02,H1681&lt;=E1681+0.02),"yes","no"))</f>
        <v>yes</v>
      </c>
    </row>
    <row r="1682" customFormat="false" ht="15" hidden="false" customHeight="false" outlineLevel="0" collapsed="false">
      <c r="A1682" s="9" t="n">
        <v>46251</v>
      </c>
      <c r="B1682" s="10" t="n">
        <v>24287.65</v>
      </c>
      <c r="C1682" s="11" t="n">
        <v>18.2328</v>
      </c>
      <c r="D1682" s="11" t="n">
        <v>18.1325</v>
      </c>
      <c r="E1682" s="11" t="n">
        <v>18.3332</v>
      </c>
      <c r="F1682" s="12" t="n">
        <f aca="false">IF(C1682="","",B1682/C1682)</f>
        <v>1332.08558202799</v>
      </c>
      <c r="G1682" s="12" t="n">
        <f aca="false">MEDIAN(F1672:F1692)</f>
        <v>1330.05813477442</v>
      </c>
      <c r="H1682" s="13" t="n">
        <f aca="false">B1682/G1682</f>
        <v>18.2605928004186</v>
      </c>
      <c r="I1682" s="14" t="n">
        <f aca="false">B1682/Summary!$C$8*100</f>
        <v>243.385175015783</v>
      </c>
      <c r="J1682" s="14" t="n">
        <f aca="false">G1682/Summary!$E$8*100</f>
        <v>226.05112586814</v>
      </c>
      <c r="K1682" s="15" t="n">
        <f aca="false">Summary!$D$9</f>
        <v>16.9374488591431</v>
      </c>
      <c r="L1682" s="16" t="str">
        <f aca="false">IF(OR(D1682="",E1682=""),"edge hidden",IF(AND(H1682&gt;=D1682-0.02,H1682&lt;=E1682+0.02),"yes","no"))</f>
        <v>yes</v>
      </c>
    </row>
    <row r="1683" customFormat="false" ht="15" hidden="false" customHeight="false" outlineLevel="0" collapsed="false">
      <c r="A1683" s="9" t="n">
        <v>46252</v>
      </c>
      <c r="B1683" s="10" t="n">
        <v>24154.9</v>
      </c>
      <c r="C1683" s="11" t="n">
        <v>18.221</v>
      </c>
      <c r="D1683" s="11" t="n">
        <v>18.1325</v>
      </c>
      <c r="E1683" s="11" t="n">
        <v>18.3096</v>
      </c>
      <c r="F1683" s="12" t="n">
        <f aca="false">IF(C1683="","",B1683/C1683)</f>
        <v>1325.66269688821</v>
      </c>
      <c r="G1683" s="12" t="n">
        <f aca="false">MEDIAN(F1673:F1693)</f>
        <v>1330.05813477442</v>
      </c>
      <c r="H1683" s="13" t="n">
        <f aca="false">B1683/G1683</f>
        <v>18.1607851329722</v>
      </c>
      <c r="I1683" s="14" t="n">
        <f aca="false">B1683/Summary!$C$8*100</f>
        <v>242.054894729986</v>
      </c>
      <c r="J1683" s="14" t="n">
        <f aca="false">G1683/Summary!$E$8*100</f>
        <v>226.05112586814</v>
      </c>
      <c r="K1683" s="15" t="n">
        <f aca="false">Summary!$D$9</f>
        <v>16.9374488591431</v>
      </c>
      <c r="L1683" s="16" t="str">
        <f aca="false">IF(OR(D1683="",E1683=""),"edge hidden",IF(AND(H1683&gt;=D1683-0.02,H1683&lt;=E1683+0.02),"yes","no"))</f>
        <v>yes</v>
      </c>
    </row>
    <row r="1684" customFormat="false" ht="15" hidden="false" customHeight="false" outlineLevel="0" collapsed="false">
      <c r="A1684" s="9" t="n">
        <v>46253</v>
      </c>
      <c r="B1684" s="10" t="n">
        <v>24078.3</v>
      </c>
      <c r="C1684" s="11" t="n">
        <v>18.1974</v>
      </c>
      <c r="D1684" s="11" t="n">
        <v>18.1325</v>
      </c>
      <c r="E1684" s="11" t="n">
        <v>18.2624</v>
      </c>
      <c r="F1684" s="12" t="n">
        <f aca="false">IF(C1684="","",B1684/C1684)</f>
        <v>1323.17254113225</v>
      </c>
      <c r="G1684" s="12" t="n">
        <f aca="false">MEDIAN(F1674:F1694)</f>
        <v>1330.05813477442</v>
      </c>
      <c r="H1684" s="13" t="n">
        <f aca="false">B1684/G1684</f>
        <v>18.1031936653534</v>
      </c>
      <c r="I1684" s="14" t="n">
        <f aca="false">B1684/Summary!$C$8*100</f>
        <v>241.287290437013</v>
      </c>
      <c r="J1684" s="14" t="n">
        <f aca="false">G1684/Summary!$E$8*100</f>
        <v>226.05112586814</v>
      </c>
      <c r="K1684" s="15" t="n">
        <f aca="false">Summary!$D$9</f>
        <v>16.9374488591431</v>
      </c>
      <c r="L1684" s="16" t="str">
        <f aca="false">IF(OR(D1684="",E1684=""),"edge hidden",IF(AND(H1684&gt;=D1684-0.02,H1684&lt;=E1684+0.02),"yes","no"))</f>
        <v>no</v>
      </c>
    </row>
    <row r="1685" customFormat="false" ht="15" hidden="false" customHeight="false" outlineLevel="0" collapsed="false">
      <c r="A1685" s="9" t="n">
        <v>46254</v>
      </c>
      <c r="B1685" s="10" t="n">
        <v>24231.85</v>
      </c>
      <c r="C1685" s="11" t="n">
        <v>18.1935</v>
      </c>
      <c r="D1685" s="11" t="n">
        <v>18.1325</v>
      </c>
      <c r="E1685" s="11" t="n">
        <v>18.2545</v>
      </c>
      <c r="F1685" s="12" t="n">
        <f aca="false">IF(C1685="","",B1685/C1685)</f>
        <v>1331.89600681562</v>
      </c>
      <c r="G1685" s="12" t="n">
        <f aca="false">MEDIAN(F1675:F1695)</f>
        <v>1330.05813477442</v>
      </c>
      <c r="H1685" s="13" t="n">
        <f aca="false">B1685/G1685</f>
        <v>18.2186397469835</v>
      </c>
      <c r="I1685" s="14" t="n">
        <f aca="false">B1685/Summary!$C$8*100</f>
        <v>242.826006353278</v>
      </c>
      <c r="J1685" s="14" t="n">
        <f aca="false">G1685/Summary!$E$8*100</f>
        <v>226.05112586814</v>
      </c>
      <c r="K1685" s="15" t="n">
        <f aca="false">Summary!$D$9</f>
        <v>16.9374488591431</v>
      </c>
      <c r="L1685" s="16" t="str">
        <f aca="false">IF(OR(D1685="",E1685=""),"edge hidden",IF(AND(H1685&gt;=D1685-0.02,H1685&lt;=E1685+0.02),"yes","no"))</f>
        <v>yes</v>
      </c>
    </row>
    <row r="1686" customFormat="false" ht="15" hidden="false" customHeight="false" outlineLevel="0" collapsed="false">
      <c r="A1686" s="9" t="n">
        <v>46255</v>
      </c>
      <c r="B1686" s="10" t="n">
        <v>24252</v>
      </c>
      <c r="C1686" s="11" t="n">
        <v>18.1935</v>
      </c>
      <c r="D1686" s="11" t="n">
        <v>18.1403</v>
      </c>
      <c r="E1686" s="11" t="n">
        <v>18.2466</v>
      </c>
      <c r="F1686" s="12" t="n">
        <f aca="false">IF(C1686="","",B1686/C1686)</f>
        <v>1333.00354522219</v>
      </c>
      <c r="G1686" s="12" t="n">
        <f aca="false">MEDIAN(F1676:F1696)</f>
        <v>1331.64691352675</v>
      </c>
      <c r="H1686" s="13" t="n">
        <f aca="false">B1686/G1686</f>
        <v>18.2120348522198</v>
      </c>
      <c r="I1686" s="14" t="n">
        <f aca="false">B1686/Summary!$C$8*100</f>
        <v>243.027928370294</v>
      </c>
      <c r="J1686" s="14" t="n">
        <f aca="false">G1686/Summary!$E$8*100</f>
        <v>226.321148069673</v>
      </c>
      <c r="K1686" s="15" t="n">
        <f aca="false">Summary!$D$9</f>
        <v>16.9374488591431</v>
      </c>
      <c r="L1686" s="16" t="str">
        <f aca="false">IF(OR(D1686="",E1686=""),"edge hidden",IF(AND(H1686&gt;=D1686-0.02,H1686&lt;=E1686+0.02),"yes","no"))</f>
        <v>yes</v>
      </c>
    </row>
    <row r="1687" customFormat="false" ht="15" hidden="false" customHeight="false" outlineLevel="0" collapsed="false">
      <c r="A1687" s="9" t="n">
        <v>46258</v>
      </c>
      <c r="B1687" s="10" t="n">
        <v>24219.05</v>
      </c>
      <c r="C1687" s="11" t="n">
        <v>18.1699</v>
      </c>
      <c r="D1687" s="11" t="n">
        <v>18.0852</v>
      </c>
      <c r="E1687" s="11" t="n">
        <v>18.2545</v>
      </c>
      <c r="F1687" s="12" t="n">
        <f aca="false">IF(C1687="","",B1687/C1687)</f>
        <v>1332.92148003016</v>
      </c>
      <c r="G1687" s="12" t="n">
        <f aca="false">MEDIAN(F1677:F1697)</f>
        <v>1331.89600681562</v>
      </c>
      <c r="H1687" s="13" t="n">
        <f aca="false">B1687/G1687</f>
        <v>18.1838896400811</v>
      </c>
      <c r="I1687" s="14" t="n">
        <f aca="false">B1687/Summary!$C$8*100</f>
        <v>242.697738272991</v>
      </c>
      <c r="J1687" s="14" t="n">
        <f aca="false">G1687/Summary!$E$8*100</f>
        <v>226.363482924762</v>
      </c>
      <c r="K1687" s="15" t="n">
        <f aca="false">Summary!$D$9</f>
        <v>16.9374488591431</v>
      </c>
      <c r="L1687" s="16" t="str">
        <f aca="false">IF(OR(D1687="",E1687=""),"edge hidden",IF(AND(H1687&gt;=D1687-0.02,H1687&lt;=E1687+0.02),"yes","no"))</f>
        <v>yes</v>
      </c>
    </row>
    <row r="1688" customFormat="false" ht="15" hidden="false" customHeight="false" outlineLevel="0" collapsed="false">
      <c r="A1688" s="9" t="n">
        <v>46259</v>
      </c>
      <c r="B1688" s="10" t="n">
        <v>24334.55</v>
      </c>
      <c r="C1688" s="11" t="n">
        <v>18.1659</v>
      </c>
      <c r="D1688" s="11" t="n">
        <v>18.0773</v>
      </c>
      <c r="E1688" s="11" t="n">
        <v>18.2545</v>
      </c>
      <c r="F1688" s="12" t="n">
        <f aca="false">IF(C1688="","",B1688/C1688)</f>
        <v>1339.57304620195</v>
      </c>
      <c r="G1688" s="12" t="n">
        <f aca="false">MEDIAN(F1678:F1698)</f>
        <v>1332.08558202799</v>
      </c>
      <c r="H1688" s="13" t="n">
        <f aca="false">B1688/G1688</f>
        <v>18.2680079480724</v>
      </c>
      <c r="I1688" s="14" t="n">
        <f aca="false">B1688/Summary!$C$8*100</f>
        <v>243.855157278712</v>
      </c>
      <c r="J1688" s="14" t="n">
        <f aca="false">G1688/Summary!$E$8*100</f>
        <v>226.395702336135</v>
      </c>
      <c r="K1688" s="15" t="n">
        <f aca="false">Summary!$D$9</f>
        <v>16.9374488591431</v>
      </c>
      <c r="L1688" s="16" t="str">
        <f aca="false">IF(OR(D1688="",E1688=""),"edge hidden",IF(AND(H1688&gt;=D1688-0.02,H1688&lt;=E1688+0.02),"yes","no"))</f>
        <v>yes</v>
      </c>
    </row>
    <row r="1689" customFormat="false" ht="15" hidden="false" customHeight="false" outlineLevel="0" collapsed="false">
      <c r="A1689" s="9" t="n">
        <v>46260</v>
      </c>
      <c r="B1689" s="10" t="n">
        <v>24207.75</v>
      </c>
      <c r="C1689" s="11" t="n">
        <v>18.158</v>
      </c>
      <c r="D1689" s="11" t="n">
        <v>18.0695</v>
      </c>
      <c r="E1689" s="11" t="n">
        <v>18.2466</v>
      </c>
      <c r="F1689" s="12" t="n">
        <f aca="false">IF(C1689="","",B1689/C1689)</f>
        <v>1333.17270624518</v>
      </c>
      <c r="G1689" s="12" t="n">
        <f aca="false">MEDIAN(F1679:F1699)</f>
        <v>1332.08558202799</v>
      </c>
      <c r="H1689" s="13" t="n">
        <f aca="false">B1689/G1689</f>
        <v>18.172818868849</v>
      </c>
      <c r="I1689" s="14" t="n">
        <f aca="false">B1689/Summary!$C$8*100</f>
        <v>242.584501608361</v>
      </c>
      <c r="J1689" s="14" t="n">
        <f aca="false">G1689/Summary!$E$8*100</f>
        <v>226.395702336135</v>
      </c>
      <c r="K1689" s="15" t="n">
        <f aca="false">Summary!$D$9</f>
        <v>16.9374488591431</v>
      </c>
      <c r="L1689" s="16" t="str">
        <f aca="false">IF(OR(D1689="",E1689=""),"edge hidden",IF(AND(H1689&gt;=D1689-0.02,H1689&lt;=E1689+0.02),"yes","no"))</f>
        <v>yes</v>
      </c>
    </row>
    <row r="1690" customFormat="false" ht="15" hidden="false" customHeight="false" outlineLevel="0" collapsed="false">
      <c r="A1690" s="9" t="n">
        <v>46261</v>
      </c>
      <c r="B1690" s="10" t="n">
        <v>24090.85</v>
      </c>
      <c r="C1690" s="11" t="n">
        <v>18.1462</v>
      </c>
      <c r="D1690" s="11" t="n">
        <v>18.0616</v>
      </c>
      <c r="E1690" s="11" t="n">
        <v>18.2309</v>
      </c>
      <c r="F1690" s="12" t="n">
        <f aca="false">IF(C1690="","",B1690/C1690)</f>
        <v>1327.597513529</v>
      </c>
      <c r="G1690" s="12" t="n">
        <f aca="false">MEDIAN(F1680:F1700)</f>
        <v>1332.92148003016</v>
      </c>
      <c r="H1690" s="13" t="n">
        <f aca="false">B1690/G1690</f>
        <v>18.0737202910519</v>
      </c>
      <c r="I1690" s="14" t="n">
        <f aca="false">B1690/Summary!$C$8*100</f>
        <v>241.413053281358</v>
      </c>
      <c r="J1690" s="14" t="n">
        <f aca="false">G1690/Summary!$E$8*100</f>
        <v>226.537768069624</v>
      </c>
      <c r="K1690" s="15" t="n">
        <f aca="false">Summary!$D$9</f>
        <v>16.9374488591431</v>
      </c>
      <c r="L1690" s="16" t="str">
        <f aca="false">IF(OR(D1690="",E1690=""),"edge hidden",IF(AND(H1690&gt;=D1690-0.02,H1690&lt;=E1690+0.02),"yes","no"))</f>
        <v>yes</v>
      </c>
    </row>
    <row r="1691" customFormat="false" ht="15" hidden="false" customHeight="false" outlineLevel="0" collapsed="false">
      <c r="A1691" s="9" t="n">
        <v>46262</v>
      </c>
      <c r="B1691" s="10" t="n">
        <v>24175.65</v>
      </c>
      <c r="C1691" s="11" t="n">
        <v>18.1305</v>
      </c>
      <c r="D1691" s="11" t="n">
        <v>18.0537</v>
      </c>
      <c r="E1691" s="11" t="n">
        <v>18.2073</v>
      </c>
      <c r="F1691" s="12" t="n">
        <f aca="false">IF(C1691="","",B1691/C1691)</f>
        <v>1333.42434020022</v>
      </c>
      <c r="G1691" s="12" t="n">
        <f aca="false">MEDIAN(F1681:F1701)</f>
        <v>1333.00354522219</v>
      </c>
      <c r="H1691" s="13" t="n">
        <f aca="false">B1691/G1691</f>
        <v>18.1362233331272</v>
      </c>
      <c r="I1691" s="14" t="n">
        <f aca="false">B1691/Summary!$C$8*100</f>
        <v>242.262829313265</v>
      </c>
      <c r="J1691" s="14" t="n">
        <f aca="false">G1691/Summary!$E$8*100</f>
        <v>226.551715526934</v>
      </c>
      <c r="K1691" s="15" t="n">
        <f aca="false">Summary!$D$9</f>
        <v>16.9374488591431</v>
      </c>
      <c r="L1691" s="16" t="str">
        <f aca="false">IF(OR(D1691="",E1691=""),"edge hidden",IF(AND(H1691&gt;=D1691-0.02,H1691&lt;=E1691+0.02),"yes","no"))</f>
        <v>yes</v>
      </c>
    </row>
    <row r="1692" customFormat="false" ht="15" hidden="false" customHeight="false" outlineLevel="0" collapsed="false">
      <c r="A1692" s="9" t="n">
        <v>46265</v>
      </c>
      <c r="B1692" s="10" t="n">
        <v>24080.4</v>
      </c>
      <c r="C1692" s="11" t="n">
        <v>18.0202</v>
      </c>
      <c r="D1692" s="11" t="n">
        <v>17.9199</v>
      </c>
      <c r="E1692" s="11" t="n">
        <v>18.1206</v>
      </c>
      <c r="F1692" s="12" t="n">
        <f aca="false">IF(C1692="","",B1692/C1692)</f>
        <v>1336.30037402471</v>
      </c>
      <c r="G1692" s="12" t="n">
        <f aca="false">MEDIAN(F1682:F1702)</f>
        <v>1333.08812573369</v>
      </c>
      <c r="H1692" s="13" t="n">
        <f aca="false">B1692/G1692</f>
        <v>18.0636220030442</v>
      </c>
      <c r="I1692" s="14" t="n">
        <f aca="false">B1692/Summary!$C$8*100</f>
        <v>241.308334418936</v>
      </c>
      <c r="J1692" s="14" t="n">
        <f aca="false">G1692/Summary!$E$8*100</f>
        <v>226.566090477434</v>
      </c>
      <c r="K1692" s="15" t="n">
        <f aca="false">Summary!$D$9</f>
        <v>16.9374488591431</v>
      </c>
      <c r="L1692" s="16" t="str">
        <f aca="false">IF(OR(D1692="",E1692=""),"edge hidden",IF(AND(H1692&gt;=D1692-0.02,H1692&lt;=E1692+0.02),"yes","no"))</f>
        <v>yes</v>
      </c>
    </row>
    <row r="1693" customFormat="false" ht="15" hidden="false" customHeight="false" outlineLevel="0" collapsed="false">
      <c r="A1693" s="9" t="n">
        <v>46266</v>
      </c>
      <c r="B1693" s="10" t="n">
        <v>24055.8</v>
      </c>
      <c r="C1693" s="11" t="n">
        <v>17.9927</v>
      </c>
      <c r="D1693" s="11" t="n">
        <v>17.9041</v>
      </c>
      <c r="E1693" s="11" t="n">
        <v>18.0813</v>
      </c>
      <c r="F1693" s="12" t="n">
        <f aca="false">IF(C1693="","",B1693/C1693)</f>
        <v>1336.97555119576</v>
      </c>
      <c r="G1693" s="12" t="n">
        <f aca="false">MEDIAN(F1683:F1703)</f>
        <v>1333.17270624518</v>
      </c>
      <c r="H1693" s="13" t="n">
        <f aca="false">B1693/G1693</f>
        <v>18.0440237692475</v>
      </c>
      <c r="I1693" s="14" t="n">
        <f aca="false">B1693/Summary!$C$8*100</f>
        <v>241.061819202132</v>
      </c>
      <c r="J1693" s="14" t="n">
        <f aca="false">G1693/Summary!$E$8*100</f>
        <v>226.580465427934</v>
      </c>
      <c r="K1693" s="15" t="n">
        <f aca="false">Summary!$D$9</f>
        <v>16.9374488591431</v>
      </c>
      <c r="L1693" s="16" t="str">
        <f aca="false">IF(OR(D1693="",E1693=""),"edge hidden",IF(AND(H1693&gt;=D1693-0.02,H1693&lt;=E1693+0.02),"yes","no"))</f>
        <v>yes</v>
      </c>
    </row>
    <row r="1694" customFormat="false" ht="15" hidden="false" customHeight="false" outlineLevel="0" collapsed="false">
      <c r="A1694" s="9" t="n">
        <v>46267</v>
      </c>
      <c r="B1694" s="10" t="n">
        <v>23914.45</v>
      </c>
      <c r="C1694" s="11" t="n">
        <v>17.9809</v>
      </c>
      <c r="D1694" s="11" t="n">
        <v>17.8962</v>
      </c>
      <c r="E1694" s="11" t="n">
        <v>18.0655</v>
      </c>
      <c r="F1694" s="12" t="n">
        <f aca="false">IF(C1694="","",B1694/C1694)</f>
        <v>1329.99182465839</v>
      </c>
      <c r="G1694" s="12" t="n">
        <f aca="false">MEDIAN(F1684:F1704)</f>
        <v>1333.2985232227</v>
      </c>
      <c r="H1694" s="13" t="n">
        <f aca="false">B1694/G1694</f>
        <v>17.9363057735913</v>
      </c>
      <c r="I1694" s="14" t="n">
        <f aca="false">B1694/Summary!$C$8*100</f>
        <v>239.645358799892</v>
      </c>
      <c r="J1694" s="14" t="n">
        <f aca="false">G1694/Summary!$E$8*100</f>
        <v>226.601848755984</v>
      </c>
      <c r="K1694" s="15" t="n">
        <f aca="false">Summary!$D$9</f>
        <v>16.9374488591431</v>
      </c>
      <c r="L1694" s="16" t="str">
        <f aca="false">IF(OR(D1694="",E1694=""),"edge hidden",IF(AND(H1694&gt;=D1694-0.02,H1694&lt;=E1694+0.02),"yes","no"))</f>
        <v>yes</v>
      </c>
    </row>
    <row r="1695" customFormat="false" ht="15" hidden="false" customHeight="false" outlineLevel="0" collapsed="false">
      <c r="A1695" s="9" t="n">
        <v>46268</v>
      </c>
      <c r="B1695" s="10" t="n">
        <v>23873.45</v>
      </c>
      <c r="C1695" s="11" t="n">
        <v>17.9533</v>
      </c>
      <c r="D1695" s="11" t="n">
        <v>17.8805</v>
      </c>
      <c r="E1695" s="11" t="n">
        <v>18.0262</v>
      </c>
      <c r="F1695" s="12" t="n">
        <f aca="false">IF(C1695="","",B1695/C1695)</f>
        <v>1329.75274740577</v>
      </c>
      <c r="G1695" s="12" t="n">
        <f aca="false">MEDIAN(F1685:F1705)</f>
        <v>1333.42434020022</v>
      </c>
      <c r="H1695" s="13" t="n">
        <f aca="false">B1695/G1695</f>
        <v>17.9038654689739</v>
      </c>
      <c r="I1695" s="14" t="n">
        <f aca="false">B1695/Summary!$C$8*100</f>
        <v>239.23450010522</v>
      </c>
      <c r="J1695" s="14" t="n">
        <f aca="false">G1695/Summary!$E$8*100</f>
        <v>226.623232084033</v>
      </c>
      <c r="K1695" s="15" t="n">
        <f aca="false">Summary!$D$9</f>
        <v>16.9374488591431</v>
      </c>
      <c r="L1695" s="16" t="str">
        <f aca="false">IF(OR(D1695="",E1695=""),"edge hidden",IF(AND(H1695&gt;=D1695-0.02,H1695&lt;=E1695+0.02),"yes","no"))</f>
        <v>yes</v>
      </c>
    </row>
    <row r="1696" customFormat="false" ht="15" hidden="false" customHeight="false" outlineLevel="0" collapsed="false">
      <c r="A1696" s="9" t="n">
        <v>46269</v>
      </c>
      <c r="B1696" s="10" t="n">
        <v>23897.7</v>
      </c>
      <c r="C1696" s="11" t="n">
        <v>17.8352</v>
      </c>
      <c r="D1696" s="11" t="n">
        <v>17.7466</v>
      </c>
      <c r="E1696" s="11" t="n">
        <v>17.9238</v>
      </c>
      <c r="F1696" s="12" t="n">
        <f aca="false">IF(C1696="","",B1696/C1696)</f>
        <v>1339.91769085853</v>
      </c>
      <c r="G1696" s="12" t="n">
        <f aca="false">MEDIAN(F1686:F1706)</f>
        <v>1335.51256116718</v>
      </c>
      <c r="H1696" s="13" t="n">
        <f aca="false">B1696/G1696</f>
        <v>17.8940286260689</v>
      </c>
      <c r="I1696" s="14" t="n">
        <f aca="false">B1696/Summary!$C$8*100</f>
        <v>239.477507991703</v>
      </c>
      <c r="J1696" s="14" t="n">
        <f aca="false">G1696/Summary!$E$8*100</f>
        <v>226.978137398547</v>
      </c>
      <c r="K1696" s="15" t="n">
        <f aca="false">Summary!$D$9</f>
        <v>16.9374488591431</v>
      </c>
      <c r="L1696" s="16" t="str">
        <f aca="false">IF(OR(D1696="",E1696=""),"edge hidden",IF(AND(H1696&gt;=D1696-0.02,H1696&lt;=E1696+0.02),"yes","no"))</f>
        <v>yes</v>
      </c>
    </row>
    <row r="1697" customFormat="false" ht="15" hidden="false" customHeight="false" outlineLevel="0" collapsed="false">
      <c r="A1697" s="9" t="n">
        <v>46272</v>
      </c>
      <c r="B1697" s="10" t="n">
        <v>23779.15</v>
      </c>
      <c r="C1697" s="11" t="n">
        <v>17.7171</v>
      </c>
      <c r="D1697" s="11" t="n">
        <v>17.5419</v>
      </c>
      <c r="E1697" s="11" t="n">
        <v>17.8923</v>
      </c>
      <c r="F1697" s="12" t="n">
        <f aca="false">IF(C1697="","",B1697/C1697)</f>
        <v>1342.15814100502</v>
      </c>
      <c r="G1697" s="12" t="n">
        <f aca="false">MEDIAN(F1687:F1707)</f>
        <v>1335.83303936184</v>
      </c>
      <c r="H1697" s="13" t="n">
        <f aca="false">B1697/G1697</f>
        <v>17.8009895692953</v>
      </c>
      <c r="I1697" s="14" t="n">
        <f aca="false">B1697/Summary!$C$8*100</f>
        <v>238.289525107475</v>
      </c>
      <c r="J1697" s="14" t="n">
        <f aca="false">G1697/Summary!$E$8*100</f>
        <v>227.032604534099</v>
      </c>
      <c r="K1697" s="15" t="n">
        <f aca="false">Summary!$D$9</f>
        <v>16.9374488591431</v>
      </c>
      <c r="L1697" s="16" t="str">
        <f aca="false">IF(OR(D1697="",E1697=""),"edge hidden",IF(AND(H1697&gt;=D1697-0.02,H1697&lt;=E1697+0.02),"yes","no"))</f>
        <v>yes</v>
      </c>
    </row>
    <row r="1698" customFormat="false" ht="15" hidden="false" customHeight="false" outlineLevel="0" collapsed="false">
      <c r="A1698" s="9" t="n">
        <v>46273</v>
      </c>
      <c r="B1698" s="10" t="n">
        <v>23635.1</v>
      </c>
      <c r="C1698" s="11" t="n">
        <v>17.6974</v>
      </c>
      <c r="D1698" s="11" t="n">
        <v>17.5183</v>
      </c>
      <c r="E1698" s="11" t="n">
        <v>17.8765</v>
      </c>
      <c r="F1698" s="12" t="n">
        <f aca="false">IF(C1698="","",B1698/C1698)</f>
        <v>1335.51256116718</v>
      </c>
      <c r="G1698" s="12" t="n">
        <f aca="false">MEDIAN(F1688:F1708)</f>
        <v>1336.30037402471</v>
      </c>
      <c r="H1698" s="13" t="n">
        <f aca="false">B1698/G1698</f>
        <v>17.6869665379313</v>
      </c>
      <c r="I1698" s="14" t="n">
        <f aca="false">B1698/Summary!$C$8*100</f>
        <v>236.846008157048</v>
      </c>
      <c r="J1698" s="14" t="n">
        <f aca="false">G1698/Summary!$E$8*100</f>
        <v>227.112030781672</v>
      </c>
      <c r="K1698" s="15" t="n">
        <f aca="false">Summary!$D$9</f>
        <v>16.9374488591431</v>
      </c>
      <c r="L1698" s="16" t="str">
        <f aca="false">IF(OR(D1698="",E1698=""),"edge hidden",IF(AND(H1698&gt;=D1698-0.02,H1698&lt;=E1698+0.02),"yes","no"))</f>
        <v>yes</v>
      </c>
    </row>
    <row r="1699" customFormat="false" ht="15" hidden="false" customHeight="false" outlineLevel="0" collapsed="false">
      <c r="A1699" s="9" t="n">
        <v>46274</v>
      </c>
      <c r="B1699" s="10" t="n">
        <v>23431.5</v>
      </c>
      <c r="C1699" s="11" t="n">
        <v>17.6384</v>
      </c>
      <c r="D1699" s="11" t="n">
        <v>17.4947</v>
      </c>
      <c r="E1699" s="11" t="n">
        <v>17.7821</v>
      </c>
      <c r="F1699" s="12" t="n">
        <f aca="false">IF(C1699="","",B1699/C1699)</f>
        <v>1328.43681966618</v>
      </c>
      <c r="G1699" s="12" t="n">
        <f aca="false">MEDIAN(F1689:F1709)</f>
        <v>1336.30037402471</v>
      </c>
      <c r="H1699" s="13" t="n">
        <f aca="false">B1699/G1699</f>
        <v>17.5346055837943</v>
      </c>
      <c r="I1699" s="14" t="n">
        <f aca="false">B1699/Summary!$C$8*100</f>
        <v>234.80574400497</v>
      </c>
      <c r="J1699" s="14" t="n">
        <f aca="false">G1699/Summary!$E$8*100</f>
        <v>227.112030781672</v>
      </c>
      <c r="K1699" s="15" t="n">
        <f aca="false">Summary!$D$9</f>
        <v>16.9374488591431</v>
      </c>
      <c r="L1699" s="16" t="str">
        <f aca="false">IF(OR(D1699="",E1699=""),"edge hidden",IF(AND(H1699&gt;=D1699-0.02,H1699&lt;=E1699+0.02),"yes","no"))</f>
        <v>yes</v>
      </c>
    </row>
    <row r="1700" customFormat="false" ht="15" hidden="false" customHeight="false" outlineLevel="0" collapsed="false">
      <c r="A1700" s="9" t="n">
        <v>46275</v>
      </c>
      <c r="B1700" s="10" t="n">
        <v>23477.8</v>
      </c>
      <c r="C1700" s="11" t="n">
        <v>17.5754</v>
      </c>
      <c r="D1700" s="11" t="n">
        <v>17.4789</v>
      </c>
      <c r="E1700" s="11" t="n">
        <v>17.6718</v>
      </c>
      <c r="F1700" s="12" t="n">
        <f aca="false">IF(C1700="","",B1700/C1700)</f>
        <v>1335.83303936184</v>
      </c>
      <c r="G1700" s="12" t="n">
        <f aca="false">MEDIAN(F1690:F1710)</f>
        <v>1336.97555119576</v>
      </c>
      <c r="H1700" s="13" t="n">
        <f aca="false">B1700/G1700</f>
        <v>17.5603809501243</v>
      </c>
      <c r="I1700" s="14" t="n">
        <f aca="false">B1700/Summary!$C$8*100</f>
        <v>235.269713701636</v>
      </c>
      <c r="J1700" s="14" t="n">
        <f aca="false">G1700/Summary!$E$8*100</f>
        <v>227.226781073924</v>
      </c>
      <c r="K1700" s="15" t="n">
        <f aca="false">Summary!$D$9</f>
        <v>16.9374488591431</v>
      </c>
      <c r="L1700" s="16" t="str">
        <f aca="false">IF(OR(D1700="",E1700=""),"edge hidden",IF(AND(H1700&gt;=D1700-0.02,H1700&lt;=E1700+0.02),"yes","no"))</f>
        <v>yes</v>
      </c>
    </row>
    <row r="1701" customFormat="false" ht="15" hidden="false" customHeight="false" outlineLevel="0" collapsed="false">
      <c r="A1701" s="9" t="n">
        <v>46276</v>
      </c>
      <c r="B1701" s="10" t="n">
        <v>23398.1</v>
      </c>
      <c r="C1701" s="11" t="n">
        <v>17.4848</v>
      </c>
      <c r="D1701" s="11" t="n">
        <v>17.3765</v>
      </c>
      <c r="E1701" s="11" t="n">
        <v>17.5931</v>
      </c>
      <c r="F1701" s="12" t="n">
        <f aca="false">IF(C1701="","",B1701/C1701)</f>
        <v>1338.19660505124</v>
      </c>
      <c r="G1701" s="12" t="n">
        <f aca="false">MEDIAN(F1691:F1711)</f>
        <v>1338.19660505124</v>
      </c>
      <c r="H1701" s="13" t="n">
        <f aca="false">B1701/G1701</f>
        <v>17.4848</v>
      </c>
      <c r="I1701" s="14" t="n">
        <f aca="false">B1701/Summary!$C$8*100</f>
        <v>234.471044482969</v>
      </c>
      <c r="J1701" s="14" t="n">
        <f aca="false">G1701/Summary!$E$8*100</f>
        <v>227.434306287718</v>
      </c>
      <c r="K1701" s="15" t="n">
        <f aca="false">Summary!$D$9</f>
        <v>16.9374488591431</v>
      </c>
      <c r="L1701" s="16" t="str">
        <f aca="false">IF(OR(D1701="",E1701=""),"edge hidden",IF(AND(H1701&gt;=D1701-0.02,H1701&lt;=E1701+0.02),"yes","no"))</f>
        <v>yes</v>
      </c>
    </row>
    <row r="1702" customFormat="false" ht="15" hidden="false" customHeight="false" outlineLevel="0" collapsed="false">
      <c r="A1702" s="9" t="n">
        <v>46280</v>
      </c>
      <c r="B1702" s="10" t="n">
        <v>23118.6</v>
      </c>
      <c r="C1702" s="11"/>
      <c r="D1702" s="11"/>
      <c r="E1702" s="11" t="n">
        <v>17.4671</v>
      </c>
      <c r="F1702" s="12" t="str">
        <f aca="false">IF(C1702="","",B1702/C1702)</f>
        <v/>
      </c>
      <c r="G1702" s="12" t="n">
        <f aca="false">MEDIAN(F1692:F1711)</f>
        <v>1338.26117797244</v>
      </c>
      <c r="H1702" s="13" t="n">
        <f aca="false">B1702/G1702</f>
        <v>17.2751032313634</v>
      </c>
      <c r="I1702" s="14" t="n">
        <f aca="false">B1702/Summary!$C$8*100</f>
        <v>231.67019069856</v>
      </c>
      <c r="J1702" s="14" t="n">
        <f aca="false">G1702/Summary!$E$8*100</f>
        <v>227.445280831729</v>
      </c>
      <c r="K1702" s="15" t="n">
        <f aca="false">Summary!$D$9</f>
        <v>16.9374488591431</v>
      </c>
      <c r="L1702" s="16" t="str">
        <f aca="false">IF(OR(D1702="",E1702=""),"edge hidden",IF(AND(H1702&gt;=D1702-0.02,H1702&lt;=E1702+0.02),"yes","no"))</f>
        <v>edge hidden</v>
      </c>
    </row>
    <row r="1703" customFormat="false" ht="15" hidden="false" customHeight="false" outlineLevel="0" collapsed="false">
      <c r="A1703" s="9" t="n">
        <v>46281</v>
      </c>
      <c r="B1703" s="10" t="n">
        <v>23217.6</v>
      </c>
      <c r="C1703" s="11"/>
      <c r="D1703" s="11"/>
      <c r="E1703" s="11" t="n">
        <v>17.4671</v>
      </c>
      <c r="F1703" s="12" t="str">
        <f aca="false">IF(C1703="","",B1703/C1703)</f>
        <v/>
      </c>
      <c r="G1703" s="12" t="n">
        <f aca="false">MEDIAN(F1693:F1711)</f>
        <v>1338.32575089364</v>
      </c>
      <c r="H1703" s="13" t="n">
        <f aca="false">B1703/G1703</f>
        <v>17.348242746205</v>
      </c>
      <c r="I1703" s="14" t="n">
        <f aca="false">B1703/Summary!$C$8*100</f>
        <v>232.662264132036</v>
      </c>
      <c r="J1703" s="14" t="n">
        <f aca="false">G1703/Summary!$E$8*100</f>
        <v>227.456255375741</v>
      </c>
      <c r="K1703" s="15" t="n">
        <f aca="false">Summary!$D$9</f>
        <v>16.9374488591431</v>
      </c>
      <c r="L1703" s="16" t="str">
        <f aca="false">IF(OR(D1703="",E1703=""),"edge hidden",IF(AND(H1703&gt;=D1703-0.02,H1703&lt;=E1703+0.02),"yes","no"))</f>
        <v>edge hidden</v>
      </c>
    </row>
    <row r="1704" customFormat="false" ht="15" hidden="false" customHeight="false" outlineLevel="0" collapsed="false">
      <c r="A1704" s="9" t="n">
        <v>46282</v>
      </c>
      <c r="B1704" s="10" t="n">
        <v>23270.6</v>
      </c>
      <c r="C1704" s="11"/>
      <c r="D1704" s="11"/>
      <c r="E1704" s="11" t="n">
        <v>17.4514</v>
      </c>
      <c r="F1704" s="12" t="str">
        <f aca="false">IF(C1704="","",B1704/C1704)</f>
        <v/>
      </c>
      <c r="G1704" s="12" t="n">
        <f aca="false">MEDIAN(F1694:F1711)</f>
        <v>1339.12172087609</v>
      </c>
      <c r="H1704" s="13" t="n">
        <f aca="false">B1704/G1704</f>
        <v>17.3775091817462</v>
      </c>
      <c r="I1704" s="14" t="n">
        <f aca="false">B1704/Summary!$C$8*100</f>
        <v>233.193374151978</v>
      </c>
      <c r="J1704" s="14" t="n">
        <f aca="false">G1704/Summary!$E$8*100</f>
        <v>227.591535109749</v>
      </c>
      <c r="K1704" s="15" t="n">
        <f aca="false">Summary!$D$9</f>
        <v>16.9374488591431</v>
      </c>
      <c r="L1704" s="16" t="str">
        <f aca="false">IF(OR(D1704="",E1704=""),"edge hidden",IF(AND(H1704&gt;=D1704-0.02,H1704&lt;=E1704+0.02),"yes","no"))</f>
        <v>edge hidden</v>
      </c>
    </row>
    <row r="1705" customFormat="false" ht="15" hidden="false" customHeight="false" outlineLevel="0" collapsed="false">
      <c r="A1705" s="9" t="n">
        <v>46283</v>
      </c>
      <c r="B1705" s="10" t="n">
        <v>23346.4</v>
      </c>
      <c r="C1705" s="11"/>
      <c r="D1705" s="11"/>
      <c r="E1705" s="11" t="n">
        <v>17.4514</v>
      </c>
      <c r="F1705" s="12" t="str">
        <f aca="false">IF(C1705="","",B1705/C1705)</f>
        <v/>
      </c>
      <c r="G1705" s="12" t="n">
        <f aca="false">MEDIAN(F1695:F1711)</f>
        <v>1339.91769085853</v>
      </c>
      <c r="H1705" s="13" t="n">
        <f aca="false">B1705/G1705</f>
        <v>17.4237568167648</v>
      </c>
      <c r="I1705" s="14" t="n">
        <f aca="false">B1705/Summary!$C$8*100</f>
        <v>233.952961689932</v>
      </c>
      <c r="J1705" s="14" t="n">
        <f aca="false">G1705/Summary!$E$8*100</f>
        <v>227.726814843758</v>
      </c>
      <c r="K1705" s="15" t="n">
        <f aca="false">Summary!$D$9</f>
        <v>16.9374488591431</v>
      </c>
      <c r="L1705" s="16" t="str">
        <f aca="false">IF(OR(D1705="",E1705=""),"edge hidden",IF(AND(H1705&gt;=D1705-0.02,H1705&lt;=E1705+0.02),"yes","no"))</f>
        <v>edge hidden</v>
      </c>
    </row>
    <row r="1706" customFormat="false" ht="15" hidden="false" customHeight="false" outlineLevel="0" collapsed="false">
      <c r="A1706" s="9" t="n">
        <v>46286</v>
      </c>
      <c r="B1706" s="10" t="n">
        <v>23414.3</v>
      </c>
      <c r="C1706" s="11" t="n">
        <v>17.3352</v>
      </c>
      <c r="D1706" s="11" t="n">
        <v>17.2033</v>
      </c>
      <c r="E1706" s="11" t="n">
        <v>17.4671</v>
      </c>
      <c r="F1706" s="12" t="n">
        <f aca="false">IF(C1706="","",B1706/C1706)</f>
        <v>1350.67954220315</v>
      </c>
      <c r="G1706" s="12" t="n">
        <f aca="false">MEDIAN(F1696:F1711)</f>
        <v>1341.03791593177</v>
      </c>
      <c r="H1706" s="13" t="n">
        <f aca="false">B1706/G1706</f>
        <v>17.4598344475081</v>
      </c>
      <c r="I1706" s="14" t="n">
        <f aca="false">B1706/Summary!$C$8*100</f>
        <v>234.633383772084</v>
      </c>
      <c r="J1706" s="14" t="n">
        <f aca="false">G1706/Summary!$E$8*100</f>
        <v>227.917203618814</v>
      </c>
      <c r="K1706" s="15" t="n">
        <f aca="false">Summary!$D$9</f>
        <v>16.9374488591431</v>
      </c>
      <c r="L1706" s="16" t="str">
        <f aca="false">IF(OR(D1706="",E1706=""),"edge hidden",IF(AND(H1706&gt;=D1706-0.02,H1706&lt;=E1706+0.02),"yes","no"))</f>
        <v>yes</v>
      </c>
    </row>
    <row r="1707" customFormat="false" ht="15" hidden="false" customHeight="false" outlineLevel="0" collapsed="false">
      <c r="A1707" s="9" t="n">
        <v>46287</v>
      </c>
      <c r="B1707" s="10" t="n">
        <v>23329</v>
      </c>
      <c r="C1707" s="11" t="n">
        <v>17.3313</v>
      </c>
      <c r="D1707" s="11" t="n">
        <v>17.1954</v>
      </c>
      <c r="E1707" s="11" t="n">
        <v>17.4671</v>
      </c>
      <c r="F1707" s="12" t="n">
        <f aca="false">IF(C1707="","",B1707/C1707)</f>
        <v>1346.06174955139</v>
      </c>
      <c r="G1707" s="12" t="n">
        <f aca="false">MEDIAN(F1697:F1711)</f>
        <v>1342.15814100502</v>
      </c>
      <c r="H1707" s="13" t="n">
        <f aca="false">B1707/G1707</f>
        <v>17.3817073318432</v>
      </c>
      <c r="I1707" s="14" t="n">
        <f aca="false">B1707/Summary!$C$8*100</f>
        <v>233.778597268291</v>
      </c>
      <c r="J1707" s="14" t="n">
        <f aca="false">G1707/Summary!$E$8*100</f>
        <v>228.107592393869</v>
      </c>
      <c r="K1707" s="15" t="n">
        <f aca="false">Summary!$D$9</f>
        <v>16.9374488591431</v>
      </c>
      <c r="L1707" s="16" t="str">
        <f aca="false">IF(OR(D1707="",E1707=""),"edge hidden",IF(AND(H1707&gt;=D1707-0.02,H1707&lt;=E1707+0.02),"yes","no"))</f>
        <v>yes</v>
      </c>
    </row>
    <row r="1708" customFormat="false" ht="15" hidden="false" customHeight="false" outlineLevel="0" collapsed="false">
      <c r="A1708" s="9" t="n">
        <v>46288</v>
      </c>
      <c r="B1708" s="10" t="n">
        <v>23446.8</v>
      </c>
      <c r="C1708" s="11" t="n">
        <v>17.3116</v>
      </c>
      <c r="D1708" s="11" t="n">
        <v>17.1639</v>
      </c>
      <c r="E1708" s="11" t="n">
        <v>17.4592</v>
      </c>
      <c r="F1708" s="12" t="n">
        <f aca="false">IF(C1708="","",B1708/C1708)</f>
        <v>1354.3982069826</v>
      </c>
      <c r="G1708" s="12" t="n">
        <f aca="false">MEDIAN(F1698:F1711)</f>
        <v>1340.46940396378</v>
      </c>
      <c r="H1708" s="13" t="n">
        <f aca="false">B1708/G1708</f>
        <v>17.4914846475926</v>
      </c>
      <c r="I1708" s="14" t="n">
        <f aca="false">B1708/Summary!$C$8*100</f>
        <v>234.959064444689</v>
      </c>
      <c r="J1708" s="14" t="n">
        <f aca="false">G1708/Summary!$E$8*100</f>
        <v>227.820581699008</v>
      </c>
      <c r="K1708" s="15" t="n">
        <f aca="false">Summary!$D$9</f>
        <v>16.9374488591431</v>
      </c>
      <c r="L1708" s="16" t="str">
        <f aca="false">IF(OR(D1708="",E1708=""),"edge hidden",IF(AND(H1708&gt;=D1708-0.02,H1708&lt;=E1708+0.02),"yes","no"))</f>
        <v>no</v>
      </c>
    </row>
    <row r="1709" customFormat="false" ht="15" hidden="false" customHeight="false" outlineLevel="0" collapsed="false">
      <c r="A1709" s="9" t="n">
        <v>46289</v>
      </c>
      <c r="B1709" s="10" t="n">
        <v>23063.1</v>
      </c>
      <c r="C1709" s="11" t="n">
        <v>17.2328</v>
      </c>
      <c r="D1709" s="11" t="n">
        <v>17.0065</v>
      </c>
      <c r="E1709" s="11" t="n">
        <v>17.4592</v>
      </c>
      <c r="F1709" s="12" t="n">
        <f aca="false">IF(C1709="","",B1709/C1709)</f>
        <v>1338.32575089364</v>
      </c>
      <c r="G1709" s="12" t="n">
        <f aca="false">MEDIAN(F1699:F1711)</f>
        <v>1342.61305703391</v>
      </c>
      <c r="H1709" s="13" t="n">
        <f aca="false">B1709/G1709</f>
        <v>17.1777712716059</v>
      </c>
      <c r="I1709" s="14" t="n">
        <f aca="false">B1709/Summary!$C$8*100</f>
        <v>231.114028319187</v>
      </c>
      <c r="J1709" s="14" t="n">
        <f aca="false">G1709/Summary!$E$8*100</f>
        <v>228.184908022275</v>
      </c>
      <c r="K1709" s="15" t="n">
        <f aca="false">Summary!$D$9</f>
        <v>16.9374488591431</v>
      </c>
      <c r="L1709" s="16" t="str">
        <f aca="false">IF(OR(D1709="",E1709=""),"edge hidden",IF(AND(H1709&gt;=D1709-0.02,H1709&lt;=E1709+0.02),"yes","no"))</f>
        <v>yes</v>
      </c>
    </row>
    <row r="1710" customFormat="false" ht="15" hidden="false" customHeight="false" outlineLevel="0" collapsed="false">
      <c r="A1710" s="9" t="n">
        <v>46290</v>
      </c>
      <c r="B1710" s="10" t="n">
        <v>23140.5</v>
      </c>
      <c r="C1710" s="11" t="n">
        <v>17.2053</v>
      </c>
      <c r="D1710" s="11" t="n">
        <v>16.975</v>
      </c>
      <c r="E1710" s="11" t="n">
        <v>17.4356</v>
      </c>
      <c r="F1710" s="12" t="n">
        <f aca="false">IF(C1710="","",B1710/C1710)</f>
        <v>1344.96347055849</v>
      </c>
      <c r="G1710" s="12" t="n">
        <f aca="false">MEDIAN(F1700:F1711)</f>
        <v>1343.7882637962</v>
      </c>
      <c r="H1710" s="13" t="n">
        <f aca="false">B1710/G1710</f>
        <v>17.2203468533265</v>
      </c>
      <c r="I1710" s="14" t="n">
        <f aca="false">B1710/Summary!$C$8*100</f>
        <v>231.889649367177</v>
      </c>
      <c r="J1710" s="14" t="n">
        <f aca="false">G1710/Summary!$E$8*100</f>
        <v>228.384641255581</v>
      </c>
      <c r="K1710" s="15" t="n">
        <f aca="false">Summary!$D$9</f>
        <v>16.9374488591431</v>
      </c>
      <c r="L1710" s="16" t="str">
        <f aca="false">IF(OR(D1710="",E1710=""),"edge hidden",IF(AND(H1710&gt;=D1710-0.02,H1710&lt;=E1710+0.02),"yes","no"))</f>
        <v>yes</v>
      </c>
    </row>
    <row r="1711" customFormat="false" ht="15" hidden="false" customHeight="false" outlineLevel="0" collapsed="false">
      <c r="A1711" s="9" t="n">
        <v>46293</v>
      </c>
      <c r="B1711" s="10" t="n">
        <v>22780.25</v>
      </c>
      <c r="C1711" s="11" t="n">
        <v>16.9671</v>
      </c>
      <c r="D1711" s="11" t="n">
        <v>16.9371</v>
      </c>
      <c r="E1711" s="11" t="n">
        <v>16.9971</v>
      </c>
      <c r="F1711" s="12" t="n">
        <f aca="false">IF(C1711="","",B1711/C1711)</f>
        <v>1342.61305703391</v>
      </c>
      <c r="G1711" s="12" t="n">
        <f aca="false">MEDIAN(F1701:F1711)</f>
        <v>1344.96347055849</v>
      </c>
      <c r="H1711" s="13" t="n">
        <f aca="false">B1711/G1711</f>
        <v>16.9374488591431</v>
      </c>
      <c r="I1711" s="14" t="n">
        <f aca="false">B1711/Summary!$C$8*100</f>
        <v>228.27960437314</v>
      </c>
      <c r="J1711" s="14" t="n">
        <f aca="false">G1711/Summary!$E$8*100</f>
        <v>228.584374488888</v>
      </c>
      <c r="K1711" s="15" t="n">
        <f aca="false">Summary!$D$9</f>
        <v>16.9374488591431</v>
      </c>
      <c r="L1711" s="16" t="str">
        <f aca="false">IF(OR(D1711="",E1711=""),"edge hidden",IF(AND(H1711&gt;=D1711-0.02,H1711&lt;=E1711+0.02),"yes","no"))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3"/>
    <col collapsed="false" customWidth="true" hidden="false" outlineLevel="0" max="4" min="4" style="0" width="12"/>
    <col collapsed="false" customWidth="true" hidden="false" outlineLevel="0" max="10" min="5" style="0" width="13"/>
  </cols>
  <sheetData>
    <row r="1" customFormat="false" ht="16.15" hidden="false" customHeight="false" outlineLevel="0" collapsed="false">
      <c r="A1" s="17" t="s">
        <v>18</v>
      </c>
    </row>
    <row r="2" customFormat="false" ht="15" hidden="false" customHeight="false" outlineLevel="0" collapsed="false">
      <c r="A2" s="18" t="s">
        <v>19</v>
      </c>
    </row>
    <row r="4" customFormat="false" ht="15" hidden="false" customHeight="false" outlineLevel="0" collapsed="false">
      <c r="A4" s="16" t="s">
        <v>20</v>
      </c>
      <c r="B4" s="19" t="n">
        <v>43984</v>
      </c>
      <c r="C4" s="20" t="s">
        <v>21</v>
      </c>
    </row>
    <row r="6" customFormat="false" ht="30" hidden="false" customHeight="true" outlineLevel="0" collapsed="false">
      <c r="A6" s="8" t="s">
        <v>22</v>
      </c>
      <c r="B6" s="8" t="s">
        <v>23</v>
      </c>
      <c r="C6" s="8" t="s">
        <v>24</v>
      </c>
      <c r="D6" s="8" t="s">
        <v>25</v>
      </c>
      <c r="E6" s="8" t="s">
        <v>26</v>
      </c>
      <c r="F6" s="8" t="s">
        <v>27</v>
      </c>
      <c r="G6" s="8" t="s">
        <v>28</v>
      </c>
      <c r="H6" s="8" t="s">
        <v>29</v>
      </c>
      <c r="I6" s="8" t="s">
        <v>30</v>
      </c>
      <c r="J6" s="8" t="s">
        <v>31</v>
      </c>
    </row>
    <row r="7" customFormat="false" ht="15" hidden="false" customHeight="false" outlineLevel="0" collapsed="false">
      <c r="A7" s="21" t="s">
        <v>32</v>
      </c>
      <c r="B7" s="22" t="n">
        <f aca="false">INDEX(Data!$A:$A,MATCH(DATE(2020,1,1),Data!$A:$A,1))</f>
        <v>43831</v>
      </c>
      <c r="C7" s="23" t="n">
        <f aca="false">INDEX(Data!$B:$B,MATCH($B7,Data!$A:$A,0))</f>
        <v>12182.5</v>
      </c>
      <c r="D7" s="13" t="n">
        <f aca="false">INDEX(Data!$H:$H,MATCH($B7,Data!$A:$A,0))</f>
        <v>18.2797017758319</v>
      </c>
      <c r="E7" s="24" t="n">
        <f aca="false">INDEX(Data!$G:$G,MATCH($B7,Data!$A:$A,0))</f>
        <v>666.4496034671</v>
      </c>
      <c r="F7" s="25" t="n">
        <f aca="false">$C$9/C7</f>
        <v>1.86991586291812</v>
      </c>
      <c r="G7" s="25" t="n">
        <f aca="false">$E$9/E7</f>
        <v>2.01810228944774</v>
      </c>
      <c r="H7" s="25" t="n">
        <f aca="false">$D$9/D7</f>
        <v>0.926571399624065</v>
      </c>
      <c r="I7" s="26" t="n">
        <f aca="false">IF($B$9-B7&lt;365,"",(C$9/C7)^(365.25/($B$9-B7))-1)</f>
        <v>0.0973019765178473</v>
      </c>
      <c r="J7" s="26" t="n">
        <f aca="false">IF($B$9-B7&lt;365,"",(E$9/E7)^(365.25/($B$9-B7))-1)</f>
        <v>0.109787537401468</v>
      </c>
    </row>
    <row r="8" customFormat="false" ht="15" hidden="false" customHeight="false" outlineLevel="0" collapsed="false">
      <c r="A8" s="21" t="s">
        <v>33</v>
      </c>
      <c r="B8" s="22" t="n">
        <f aca="false">INDEX(Data!$A:$A,MATCH($B$4,Data!$A:$A,1))</f>
        <v>43984</v>
      </c>
      <c r="C8" s="23" t="n">
        <f aca="false">INDEX(Data!$B:$B,MATCH($B8,Data!$A:$A,0))</f>
        <v>9979.1</v>
      </c>
      <c r="D8" s="13" t="n">
        <f aca="false">INDEX(Data!$H:$H,MATCH($B8,Data!$A:$A,0))</f>
        <v>16.9600616031219</v>
      </c>
      <c r="E8" s="24" t="n">
        <f aca="false">INDEX(Data!$G:$G,MATCH($B8,Data!$A:$A,0))</f>
        <v>588.38819301005</v>
      </c>
      <c r="F8" s="25" t="n">
        <f aca="false">$C$9/C8</f>
        <v>2.2827960437314</v>
      </c>
      <c r="G8" s="25" t="n">
        <f aca="false">$E$9/E8</f>
        <v>2.28584374488888</v>
      </c>
      <c r="H8" s="25" t="n">
        <f aca="false">$D$9/D8</f>
        <v>0.998666706259213</v>
      </c>
      <c r="I8" s="26" t="n">
        <f aca="false">IF($B$9-B8&lt;365,"",(C$9/C8)^(365.25/($B$9-B8))-1)</f>
        <v>0.139473552714584</v>
      </c>
      <c r="J8" s="26" t="n">
        <f aca="false">IF($B$9-B8&lt;365,"",(E$9/E8)^(365.25/($B$9-B8))-1)</f>
        <v>0.139714062024929</v>
      </c>
    </row>
    <row r="9" customFormat="false" ht="15" hidden="false" customHeight="false" outlineLevel="0" collapsed="false">
      <c r="A9" s="27" t="s">
        <v>34</v>
      </c>
      <c r="B9" s="22" t="n">
        <f aca="false">MAX(Data!$A$2:$A$1711)</f>
        <v>46293</v>
      </c>
      <c r="C9" s="23" t="n">
        <f aca="false">INDEX(Data!$B:$B,MATCH($B9,Data!$A:$A,0))</f>
        <v>22780.25</v>
      </c>
      <c r="D9" s="13" t="n">
        <f aca="false">INDEX(Data!$H:$H,MATCH($B9,Data!$A:$A,0))</f>
        <v>16.9374488591431</v>
      </c>
      <c r="E9" s="24" t="n">
        <f aca="false">INDEX(Data!$G:$G,MATCH($B9,Data!$A:$A,0))</f>
        <v>1344.96347055849</v>
      </c>
      <c r="F9" s="25" t="n">
        <f aca="false">$C$9/C9</f>
        <v>1</v>
      </c>
      <c r="G9" s="25" t="n">
        <f aca="false">$E$9/E9</f>
        <v>1</v>
      </c>
      <c r="H9" s="25" t="n">
        <f aca="false">$D$9/D9</f>
        <v>1</v>
      </c>
      <c r="I9" s="26" t="str">
        <f aca="false">IF($B$9-B9&lt;365,"",(C$9/C9)^(365.25/($B$9-B9))-1)</f>
        <v/>
      </c>
      <c r="J9" s="26" t="str">
        <f aca="false">IF($B$9-B9&lt;365,"",(E$9/E9)^(365.25/($B$9-B9))-1)</f>
        <v/>
      </c>
    </row>
    <row r="10" customFormat="false" ht="15" hidden="false" customHeight="false" outlineLevel="0" collapsed="false">
      <c r="A10" s="21" t="s">
        <v>35</v>
      </c>
      <c r="B10" s="22" t="n">
        <f aca="false">INDEX(Data!$A:$A,MATCH(MIN(Data!$H$2:$H$1711),Data!$H:$H,0))</f>
        <v>43913</v>
      </c>
      <c r="C10" s="23" t="n">
        <f aca="false">INDEX(Data!$B:$B,MATCH($B10,Data!$A:$A,0))</f>
        <v>7610.25</v>
      </c>
      <c r="D10" s="13" t="n">
        <f aca="false">INDEX(Data!$H:$H,MATCH($B10,Data!$A:$A,0))</f>
        <v>11.4176876815675</v>
      </c>
      <c r="E10" s="24" t="n">
        <f aca="false">INDEX(Data!$G:$G,MATCH($B10,Data!$A:$A,0))</f>
        <v>666.531631644281</v>
      </c>
      <c r="F10" s="25" t="n">
        <f aca="false">$C$9/C10</f>
        <v>2.9933642127394</v>
      </c>
      <c r="G10" s="25" t="n">
        <f aca="false">$E$9/E10</f>
        <v>2.0178539272631</v>
      </c>
      <c r="H10" s="25" t="n">
        <f aca="false">$D$9/D10</f>
        <v>1.48343949593984</v>
      </c>
      <c r="I10" s="26" t="n">
        <f aca="false">IF($B$9-B10&lt;365,"",(C$9/C10)^(365.25/($B$9-B10))-1)</f>
        <v>0.183244480880768</v>
      </c>
      <c r="J10" s="26" t="n">
        <f aca="false">IF($B$9-B10&lt;365,"",(E$9/E10)^(365.25/($B$9-B10))-1)</f>
        <v>0.113756686339282</v>
      </c>
    </row>
    <row r="11" customFormat="false" ht="15" hidden="false" customHeight="false" outlineLevel="0" collapsed="false">
      <c r="A11" s="21" t="s">
        <v>36</v>
      </c>
      <c r="B11" s="22" t="n">
        <f aca="false">INDEX(Data!$A:$A,MATCH(MAX(Data!$H$2:$H$1711),Data!$H:$H,0))</f>
        <v>44487</v>
      </c>
      <c r="C11" s="23" t="n">
        <f aca="false">INDEX(Data!$B:$B,MATCH($B11,Data!$A:$A,0))</f>
        <v>18477.05</v>
      </c>
      <c r="D11" s="13" t="n">
        <f aca="false">INDEX(Data!$H:$H,MATCH($B11,Data!$A:$A,0))</f>
        <v>22.9784779438473</v>
      </c>
      <c r="E11" s="24" t="n">
        <f aca="false">INDEX(Data!$G:$G,MATCH($B11,Data!$A:$A,0))</f>
        <v>804.102432073721</v>
      </c>
      <c r="F11" s="25" t="n">
        <f aca="false">$C$9/C11</f>
        <v>1.23289432025134</v>
      </c>
      <c r="G11" s="25" t="n">
        <f aca="false">$E$9/E11</f>
        <v>1.67262703967942</v>
      </c>
      <c r="H11" s="25" t="n">
        <f aca="false">$D$9/D11</f>
        <v>0.73710055559525</v>
      </c>
      <c r="I11" s="26" t="n">
        <f aca="false">IF($B$9-B11&lt;365,"",(C$9/C11)^(365.25/($B$9-B11))-1)</f>
        <v>0.0432516346233436</v>
      </c>
      <c r="J11" s="26" t="n">
        <f aca="false">IF($B$9-B11&lt;365,"",(E$9/E11)^(365.25/($B$9-B11))-1)</f>
        <v>0.109636670948535</v>
      </c>
    </row>
    <row r="12" customFormat="false" ht="15" hidden="false" customHeight="false" outlineLevel="0" collapsed="false">
      <c r="A12" s="21" t="s">
        <v>37</v>
      </c>
      <c r="B12" s="22" t="n">
        <f aca="false">INDEX(Data!$A:$A,MATCH(MIN(Data!$H$600:$H$700),Data!$H:$H,0))</f>
        <v>44729</v>
      </c>
      <c r="C12" s="23" t="n">
        <f aca="false">INDEX(Data!$B:$B,MATCH($B12,Data!$A:$A,0))</f>
        <v>15293.5</v>
      </c>
      <c r="D12" s="13" t="n">
        <f aca="false">INDEX(Data!$H:$H,MATCH($B12,Data!$A:$A,0))</f>
        <v>17.0321791207365</v>
      </c>
      <c r="E12" s="24" t="n">
        <f aca="false">INDEX(Data!$G:$G,MATCH($B12,Data!$A:$A,0))</f>
        <v>897.917987568619</v>
      </c>
      <c r="F12" s="25" t="n">
        <f aca="false">$C$9/C12</f>
        <v>1.48953803903619</v>
      </c>
      <c r="G12" s="25" t="n">
        <f aca="false">$E$9/E12</f>
        <v>1.49786894702976</v>
      </c>
      <c r="H12" s="25" t="n">
        <f aca="false">$D$9/D12</f>
        <v>0.994438159619979</v>
      </c>
      <c r="I12" s="26" t="n">
        <f aca="false">IF($B$9-B12&lt;365,"",(C$9/C12)^(365.25/($B$9-B12))-1)</f>
        <v>0.0975232887472137</v>
      </c>
      <c r="J12" s="26" t="n">
        <f aca="false">IF($B$9-B12&lt;365,"",(E$9/E12)^(365.25/($B$9-B12))-1)</f>
        <v>0.0989537600701966</v>
      </c>
    </row>
    <row r="13" customFormat="false" ht="15" hidden="false" customHeight="false" outlineLevel="0" collapsed="false">
      <c r="A13" s="21" t="s">
        <v>38</v>
      </c>
      <c r="B13" s="22" t="n">
        <f aca="false">INDEX(Data!$A:$A,MATCH(MAX(Data!$B$2:$B$1711),Data!$B:$B,0))</f>
        <v>46024</v>
      </c>
      <c r="C13" s="23" t="n">
        <f aca="false">INDEX(Data!$B:$B,MATCH($B13,Data!$A:$A,0))</f>
        <v>26328.55</v>
      </c>
      <c r="D13" s="13" t="n">
        <f aca="false">INDEX(Data!$H:$H,MATCH($B13,Data!$A:$A,0))</f>
        <v>21.3112369959739</v>
      </c>
      <c r="E13" s="24" t="n">
        <f aca="false">INDEX(Data!$G:$G,MATCH($B13,Data!$A:$A,0))</f>
        <v>1235.4303978213</v>
      </c>
      <c r="F13" s="25" t="n">
        <f aca="false">$C$9/C13</f>
        <v>0.865229949997246</v>
      </c>
      <c r="G13" s="25" t="n">
        <f aca="false">$E$9/E13</f>
        <v>1.08865984917512</v>
      </c>
      <c r="H13" s="25" t="n">
        <f aca="false">$D$9/D13</f>
        <v>0.794766106835697</v>
      </c>
      <c r="I13" s="26" t="str">
        <f aca="false">IF($B$9-B13&lt;365,"",(C$9/C13)^(365.25/($B$9-B13))-1)</f>
        <v/>
      </c>
      <c r="J13" s="26" t="str">
        <f aca="false">IF($B$9-B13&lt;365,"",(E$9/E13)^(365.25/($B$9-B13))-1)</f>
        <v/>
      </c>
    </row>
    <row r="14" customFormat="false" ht="15" hidden="false" customHeight="false" outlineLevel="0" collapsed="false">
      <c r="A14" s="21" t="s">
        <v>39</v>
      </c>
      <c r="B14" s="22" t="n">
        <f aca="false">INDEX(Data!$A:$A,MATCH(DATE(2025,12,31),Data!$A:$A,1))</f>
        <v>46022</v>
      </c>
      <c r="C14" s="23" t="n">
        <f aca="false">INDEX(Data!$B:$B,MATCH($B14,Data!$A:$A,0))</f>
        <v>26129.6</v>
      </c>
      <c r="D14" s="13" t="n">
        <f aca="false">INDEX(Data!$H:$H,MATCH($B14,Data!$A:$A,0))</f>
        <v>21.178559780572</v>
      </c>
      <c r="E14" s="24" t="n">
        <f aca="false">INDEX(Data!$G:$G,MATCH($B14,Data!$A:$A,0))</f>
        <v>1233.77605799096</v>
      </c>
      <c r="F14" s="25" t="n">
        <f aca="false">$C$9/C14</f>
        <v>0.871817785193803</v>
      </c>
      <c r="G14" s="25" t="n">
        <f aca="false">$E$9/E14</f>
        <v>1.09011960626678</v>
      </c>
      <c r="H14" s="25" t="n">
        <f aca="false">$D$9/D14</f>
        <v>0.799745074010204</v>
      </c>
      <c r="I14" s="26" t="str">
        <f aca="false">IF($B$9-B14&lt;365,"",(C$9/C14)^(365.25/($B$9-B14))-1)</f>
        <v/>
      </c>
      <c r="J14" s="26" t="str">
        <f aca="false">IF($B$9-B14&lt;365,"",(E$9/E14)^(365.25/($B$9-B14))-1)</f>
        <v/>
      </c>
    </row>
    <row r="16" customFormat="false" ht="15" hidden="false" customHeight="false" outlineLevel="0" collapsed="false">
      <c r="A16" s="18" t="s">
        <v>40</v>
      </c>
      <c r="B16" s="16" t="n">
        <f aca="false">ROUND(F8-G8*H8,6)</f>
        <v>0</v>
      </c>
      <c r="C16" s="16" t="str">
        <f aca="false">IF(ABS(B16)&lt;0.0001,"reconciles","CHECK")</f>
        <v>reconciles</v>
      </c>
    </row>
    <row r="18" customFormat="false" ht="15" hidden="false" customHeight="false" outlineLevel="0" collapsed="false">
      <c r="A18" s="28" t="s">
        <v>41</v>
      </c>
    </row>
    <row r="19" customFormat="false" ht="15" hidden="false" customHeight="false" outlineLevel="0" collapsed="false">
      <c r="A19" s="21" t="s">
        <v>42</v>
      </c>
      <c r="B19" s="29" t="n">
        <f aca="false">D9-D12</f>
        <v>-0.0947302615934689</v>
      </c>
      <c r="C19" s="20" t="s">
        <v>43</v>
      </c>
    </row>
    <row r="20" customFormat="false" ht="15" hidden="false" customHeight="false" outlineLevel="0" collapsed="false">
      <c r="A20" s="21" t="s">
        <v>44</v>
      </c>
      <c r="B20" s="29" t="n">
        <f aca="false">D9-MIN(Data!$H$840:$H$880)</f>
        <v>-0.216134392952693</v>
      </c>
    </row>
    <row r="22" customFormat="false" ht="15" hidden="false" customHeight="false" outlineLevel="0" collapsed="false">
      <c r="A22" s="21" t="s">
        <v>45</v>
      </c>
      <c r="B22" s="30" t="n">
        <f aca="false">COUNTIF(Data!$L$2:$L$1711,"yes")/(COUNTIF(Data!$L$2:$L$1711,"yes")+COUNTIF(Data!$L$2:$L$1711,"no"))</f>
        <v>0.860176991150442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3" min="2" style="0" width="14"/>
    <col collapsed="false" customWidth="true" hidden="false" outlineLevel="0" max="4" min="4" style="0" width="12"/>
    <col collapsed="false" customWidth="true" hidden="false" outlineLevel="0" max="5" min="5" style="0" width="44"/>
    <col collapsed="false" customWidth="true" hidden="false" outlineLevel="0" max="6" min="6" style="0" width="70"/>
  </cols>
  <sheetData>
    <row r="1" customFormat="false" ht="15" hidden="false" customHeight="false" outlineLevel="0" collapsed="false">
      <c r="A1" s="31" t="s">
        <v>46</v>
      </c>
    </row>
    <row r="2" customFormat="false" ht="15" hidden="false" customHeight="false" outlineLevel="0" collapsed="false">
      <c r="A2" s="8" t="s">
        <v>6</v>
      </c>
      <c r="B2" s="8" t="s">
        <v>47</v>
      </c>
      <c r="C2" s="8" t="s">
        <v>48</v>
      </c>
      <c r="D2" s="8" t="s">
        <v>49</v>
      </c>
      <c r="E2" s="8" t="s">
        <v>50</v>
      </c>
      <c r="F2" s="8" t="s">
        <v>51</v>
      </c>
    </row>
    <row r="3" customFormat="false" ht="15" hidden="false" customHeight="false" outlineLevel="0" collapsed="false">
      <c r="A3" s="22" t="n">
        <v>43895</v>
      </c>
      <c r="B3" s="11" t="n">
        <v>16.6</v>
      </c>
      <c r="C3" s="15" t="n">
        <f aca="false">INDEX(Data!$H:$H,MATCH(A3,Data!$A:$A,1))</f>
        <v>16.2382369143734</v>
      </c>
      <c r="D3" s="29" t="n">
        <f aca="false">C3-B3</f>
        <v>-0.361763085626635</v>
      </c>
      <c r="E3" s="16" t="s">
        <v>52</v>
      </c>
      <c r="F3" s="16" t="s">
        <v>53</v>
      </c>
    </row>
    <row r="4" customFormat="false" ht="15" hidden="false" customHeight="false" outlineLevel="0" collapsed="false">
      <c r="A4" s="22" t="n">
        <v>44487</v>
      </c>
      <c r="B4" s="11" t="n">
        <v>22.74</v>
      </c>
      <c r="C4" s="15" t="n">
        <f aca="false">INDEX(Data!$H:$H,MATCH(A4,Data!$A:$A,1))</f>
        <v>22.9784779438473</v>
      </c>
      <c r="D4" s="29" t="n">
        <f aca="false">C4-B4</f>
        <v>0.238477943847329</v>
      </c>
      <c r="E4" s="16" t="s">
        <v>52</v>
      </c>
      <c r="F4" s="16" t="s">
        <v>54</v>
      </c>
    </row>
    <row r="5" customFormat="false" ht="15" hidden="false" customHeight="false" outlineLevel="0" collapsed="false">
      <c r="A5" s="22" t="n">
        <v>44699</v>
      </c>
      <c r="B5" s="11" t="n">
        <v>17.93</v>
      </c>
      <c r="C5" s="15" t="n">
        <f aca="false">INDEX(Data!$H:$H,MATCH(A5,Data!$A:$A,1))</f>
        <v>18.2679266561861</v>
      </c>
      <c r="D5" s="29" t="n">
        <f aca="false">C5-B5</f>
        <v>0.337926656186145</v>
      </c>
      <c r="E5" s="16" t="s">
        <v>52</v>
      </c>
      <c r="F5" s="16" t="s">
        <v>55</v>
      </c>
    </row>
    <row r="6" customFormat="false" ht="15" hidden="false" customHeight="false" outlineLevel="0" collapsed="false">
      <c r="A6" s="22" t="n">
        <v>44725</v>
      </c>
      <c r="B6" s="11" t="n">
        <v>17.4</v>
      </c>
      <c r="C6" s="15" t="n">
        <f aca="false">INDEX(Data!$H:$H,MATCH(A6,Data!$A:$A,1))</f>
        <v>17.5988924860635</v>
      </c>
      <c r="D6" s="29" t="n">
        <f aca="false">C6-B6</f>
        <v>0.198892486063528</v>
      </c>
      <c r="E6" s="16" t="s">
        <v>52</v>
      </c>
      <c r="F6" s="16" t="s">
        <v>56</v>
      </c>
    </row>
    <row r="7" customFormat="false" ht="15" hidden="false" customHeight="false" outlineLevel="0" collapsed="false">
      <c r="A7" s="22" t="n">
        <v>45539</v>
      </c>
      <c r="B7" s="11" t="n">
        <v>21.05</v>
      </c>
      <c r="C7" s="15" t="n">
        <f aca="false">INDEX(Data!$H:$H,MATCH(A7,Data!$A:$A,1))</f>
        <v>20.8005927789379</v>
      </c>
      <c r="D7" s="29" t="n">
        <f aca="false">C7-B7</f>
        <v>-0.249407221062061</v>
      </c>
      <c r="E7" s="16" t="s">
        <v>57</v>
      </c>
      <c r="F7" s="16" t="s">
        <v>58</v>
      </c>
    </row>
    <row r="8" customFormat="false" ht="15" hidden="false" customHeight="false" outlineLevel="0" collapsed="false">
      <c r="A8" s="22" t="n">
        <v>45561</v>
      </c>
      <c r="B8" s="11" t="n">
        <v>21.4</v>
      </c>
      <c r="C8" s="15" t="n">
        <f aca="false">INDEX(Data!$H:$H,MATCH(A8,Data!$A:$A,1))</f>
        <v>21.5101999572561</v>
      </c>
      <c r="D8" s="29" t="n">
        <f aca="false">C8-B8</f>
        <v>0.110199957256121</v>
      </c>
      <c r="E8" s="16" t="s">
        <v>59</v>
      </c>
      <c r="F8" s="16" t="s">
        <v>60</v>
      </c>
    </row>
    <row r="9" customFormat="false" ht="15" hidden="false" customHeight="false" outlineLevel="0" collapsed="false">
      <c r="A9" s="22" t="n">
        <v>46277</v>
      </c>
      <c r="B9" s="11" t="n">
        <v>17.6</v>
      </c>
      <c r="C9" s="15" t="n">
        <f aca="false">INDEX(Data!$H:$H,MATCH(A9,Data!$A:$A,1))</f>
        <v>17.4848</v>
      </c>
      <c r="D9" s="29" t="n">
        <f aca="false">C9-B9</f>
        <v>-0.115200000000002</v>
      </c>
      <c r="E9" s="16" t="s">
        <v>61</v>
      </c>
      <c r="F9" s="16" t="s">
        <v>62</v>
      </c>
    </row>
    <row r="10" customFormat="false" ht="15" hidden="false" customHeight="false" outlineLevel="0" collapsed="false">
      <c r="A10" s="32" t="s">
        <v>63</v>
      </c>
      <c r="D10" s="15" t="n">
        <f aca="false">SUMPRODUCT(ABS(D3:D9))/COUNT(D3:D9)</f>
        <v>0.230266764291689</v>
      </c>
    </row>
    <row r="11" customFormat="false" ht="15" hidden="false" customHeight="false" outlineLevel="0" collapsed="false">
      <c r="A11" s="18" t="s">
        <v>64</v>
      </c>
    </row>
    <row r="14" customFormat="false" ht="15" hidden="false" customHeight="false" outlineLevel="0" collapsed="false">
      <c r="A14" s="31" t="s">
        <v>65</v>
      </c>
    </row>
    <row r="15" customFormat="false" ht="15" hidden="false" customHeight="false" outlineLevel="0" collapsed="false">
      <c r="A15" s="27" t="s">
        <v>66</v>
      </c>
      <c r="B15" s="27" t="s">
        <v>67</v>
      </c>
      <c r="C15" s="27" t="s">
        <v>68</v>
      </c>
      <c r="D15" s="27" t="s">
        <v>69</v>
      </c>
      <c r="E15" s="27" t="s">
        <v>70</v>
      </c>
      <c r="F15" s="27" t="s">
        <v>51</v>
      </c>
    </row>
    <row r="16" customFormat="false" ht="15" hidden="false" customHeight="false" outlineLevel="0" collapsed="false">
      <c r="A16" s="16" t="s">
        <v>71</v>
      </c>
      <c r="B16" s="33" t="n">
        <v>539</v>
      </c>
      <c r="D16" s="16" t="s">
        <v>72</v>
      </c>
      <c r="E16" s="16" t="s">
        <v>73</v>
      </c>
      <c r="F16" s="16" t="s">
        <v>74</v>
      </c>
    </row>
    <row r="17" customFormat="false" ht="15" hidden="false" customHeight="false" outlineLevel="0" collapsed="false">
      <c r="A17" s="16" t="s">
        <v>75</v>
      </c>
      <c r="B17" s="33" t="n">
        <v>737</v>
      </c>
      <c r="C17" s="26" t="n">
        <f aca="false">B17/B16-1</f>
        <v>0.36734693877551</v>
      </c>
      <c r="D17" s="16" t="s">
        <v>76</v>
      </c>
      <c r="E17" s="16" t="s">
        <v>77</v>
      </c>
      <c r="F17" s="16" t="s">
        <v>78</v>
      </c>
    </row>
    <row r="18" customFormat="false" ht="15" hidden="false" customHeight="false" outlineLevel="0" collapsed="false">
      <c r="A18" s="16" t="s">
        <v>79</v>
      </c>
      <c r="B18" s="33" t="n">
        <v>806</v>
      </c>
      <c r="C18" s="26" t="n">
        <f aca="false">B18/B17-1</f>
        <v>0.0936227951153323</v>
      </c>
      <c r="D18" s="16" t="s">
        <v>72</v>
      </c>
      <c r="E18" s="16"/>
      <c r="F18" s="16" t="s">
        <v>80</v>
      </c>
    </row>
    <row r="19" customFormat="false" ht="15" hidden="false" customHeight="false" outlineLevel="0" collapsed="false">
      <c r="A19" s="16" t="s">
        <v>81</v>
      </c>
      <c r="B19" s="33" t="n">
        <v>1005</v>
      </c>
      <c r="C19" s="26" t="n">
        <f aca="false">B19/B18-1</f>
        <v>0.246898263027295</v>
      </c>
      <c r="D19" s="16" t="s">
        <v>72</v>
      </c>
      <c r="E19" s="16" t="s">
        <v>82</v>
      </c>
      <c r="F19" s="16" t="s">
        <v>83</v>
      </c>
    </row>
    <row r="20" customFormat="false" ht="15" hidden="false" customHeight="false" outlineLevel="0" collapsed="false">
      <c r="A20" s="16" t="s">
        <v>84</v>
      </c>
      <c r="B20" s="33" t="n">
        <v>1013</v>
      </c>
      <c r="C20" s="26" t="n">
        <f aca="false">B20/B19-1</f>
        <v>0.00796019900497513</v>
      </c>
      <c r="D20" s="16" t="s">
        <v>72</v>
      </c>
      <c r="E20" s="16" t="s">
        <v>85</v>
      </c>
      <c r="F20" s="16" t="s">
        <v>86</v>
      </c>
    </row>
    <row r="21" customFormat="false" ht="15" hidden="false" customHeight="false" outlineLevel="0" collapsed="false">
      <c r="A21" s="16" t="s">
        <v>87</v>
      </c>
      <c r="B21" s="33" t="n">
        <v>1065</v>
      </c>
      <c r="C21" s="26" t="n">
        <f aca="false">B21/B20-1</f>
        <v>0.0513326752221126</v>
      </c>
      <c r="D21" s="16" t="s">
        <v>72</v>
      </c>
      <c r="E21" s="16" t="s">
        <v>88</v>
      </c>
      <c r="F21" s="16" t="s">
        <v>89</v>
      </c>
    </row>
    <row r="22" customFormat="false" ht="15" hidden="false" customHeight="false" outlineLevel="0" collapsed="false">
      <c r="A22" s="16" t="s">
        <v>90</v>
      </c>
      <c r="B22" s="33" t="n">
        <v>1232</v>
      </c>
      <c r="C22" s="26" t="n">
        <f aca="false">B22/B21-1</f>
        <v>0.156807511737089</v>
      </c>
      <c r="D22" s="16" t="s">
        <v>91</v>
      </c>
      <c r="E22" s="16" t="s">
        <v>92</v>
      </c>
      <c r="F22" s="16" t="s">
        <v>93</v>
      </c>
    </row>
    <row r="23" customFormat="false" ht="15" hidden="false" customHeight="false" outlineLevel="0" collapsed="false">
      <c r="A23" s="16" t="s">
        <v>94</v>
      </c>
      <c r="B23" s="33" t="n">
        <v>1425</v>
      </c>
      <c r="C23" s="26" t="n">
        <f aca="false">B23/B22-1</f>
        <v>0.156655844155844</v>
      </c>
      <c r="D23" s="16" t="s">
        <v>91</v>
      </c>
      <c r="E23" s="16"/>
      <c r="F23" s="16" t="s">
        <v>93</v>
      </c>
    </row>
    <row r="25" customFormat="false" ht="15" hidden="false" customHeight="false" outlineLevel="0" collapsed="false">
      <c r="A25" s="32" t="s">
        <v>95</v>
      </c>
      <c r="B25" s="25" t="n">
        <f aca="false">B21/B16</f>
        <v>1.97588126159555</v>
      </c>
    </row>
    <row r="26" customFormat="false" ht="15" hidden="false" customHeight="false" outlineLevel="0" collapsed="false">
      <c r="A26" s="32" t="s">
        <v>96</v>
      </c>
      <c r="B26" s="26" t="n">
        <f aca="false">(B21/B16)^(1/5)-1</f>
        <v>0.145914377693648</v>
      </c>
    </row>
    <row r="27" customFormat="false" ht="15" hidden="false" customHeight="false" outlineLevel="0" collapsed="false">
      <c r="A27" s="32" t="s">
        <v>97</v>
      </c>
      <c r="B27" s="25" t="n">
        <f aca="false">Summary!G8</f>
        <v>2.28584374488888</v>
      </c>
    </row>
    <row r="28" customFormat="false" ht="15" hidden="false" customHeight="false" outlineLevel="0" collapsed="false">
      <c r="A28" s="18" t="s">
        <v>98</v>
      </c>
    </row>
    <row r="30" customFormat="false" ht="15" hidden="false" customHeight="false" outlineLevel="0" collapsed="false">
      <c r="A30" s="31" t="s">
        <v>99</v>
      </c>
    </row>
    <row r="31" customFormat="false" ht="15" hidden="false" customHeight="false" outlineLevel="0" collapsed="false">
      <c r="A31" s="16" t="s">
        <v>100</v>
      </c>
      <c r="B31" s="33" t="n">
        <v>1357</v>
      </c>
      <c r="F31" s="16" t="s">
        <v>101</v>
      </c>
    </row>
    <row r="32" customFormat="false" ht="15" hidden="false" customHeight="false" outlineLevel="0" collapsed="false">
      <c r="A32" s="16" t="s">
        <v>102</v>
      </c>
      <c r="B32" s="33" t="n">
        <v>1235</v>
      </c>
      <c r="F32" s="16" t="s">
        <v>103</v>
      </c>
    </row>
    <row r="33" customFormat="false" ht="15" hidden="false" customHeight="false" outlineLevel="0" collapsed="false">
      <c r="A33" s="16" t="s">
        <v>104</v>
      </c>
      <c r="B33" s="26" t="n">
        <f aca="false">B32/B31-1</f>
        <v>-0.0899042004421519</v>
      </c>
    </row>
    <row r="34" customFormat="false" ht="15" hidden="false" customHeight="false" outlineLevel="0" collapsed="false">
      <c r="A34" s="16" t="s">
        <v>105</v>
      </c>
      <c r="B34" s="23" t="n">
        <f aca="false">0.5*B22+0.5*B23</f>
        <v>1328.5</v>
      </c>
    </row>
    <row r="35" customFormat="false" ht="15" hidden="false" customHeight="false" outlineLevel="0" collapsed="false">
      <c r="A35" s="16" t="s">
        <v>106</v>
      </c>
      <c r="B35" s="23" t="n">
        <f aca="false">Summary!E9</f>
        <v>1344.96347055849</v>
      </c>
    </row>
    <row r="36" customFormat="false" ht="15" hidden="false" customHeight="false" outlineLevel="0" collapsed="false">
      <c r="A36" s="18"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5" hidden="false" customHeight="false" outlineLevel="0" collapsed="false">
      <c r="A1" s="34" t="s">
        <v>108</v>
      </c>
    </row>
    <row r="2" customFormat="false" ht="23.85" hidden="false" customHeight="false" outlineLevel="0" collapsed="false">
      <c r="A2" s="35" t="s">
        <v>109</v>
      </c>
    </row>
    <row r="3" customFormat="false" ht="23.85" hidden="false" customHeight="false" outlineLevel="0" collapsed="false">
      <c r="A3" s="35" t="s">
        <v>110</v>
      </c>
    </row>
    <row r="4" customFormat="false" ht="15" hidden="false" customHeight="false" outlineLevel="0" collapsed="false">
      <c r="A4" s="35" t="s">
        <v>111</v>
      </c>
    </row>
    <row r="5" customFormat="false" ht="15" hidden="false" customHeight="false" outlineLevel="0" collapsed="false">
      <c r="A5" s="35" t="s">
        <v>112</v>
      </c>
    </row>
    <row r="6" customFormat="false" ht="15" hidden="false" customHeight="false" outlineLevel="0" collapsed="false">
      <c r="A6" s="35" t="s">
        <v>113</v>
      </c>
    </row>
    <row r="7" customFormat="false" ht="23.85" hidden="false" customHeight="false" outlineLevel="0" collapsed="false">
      <c r="A7" s="35" t="s">
        <v>114</v>
      </c>
    </row>
    <row r="8" customFormat="false" ht="15" hidden="false" customHeight="false" outlineLevel="0" collapsed="false">
      <c r="A8" s="35" t="s">
        <v>115</v>
      </c>
    </row>
    <row r="9" customFormat="false" ht="15" hidden="false" customHeight="false" outlineLevel="0" collapsed="false">
      <c r="A9" s="35" t="s">
        <v>116</v>
      </c>
    </row>
    <row r="10" customFormat="false" ht="15" hidden="false" customHeight="false" outlineLevel="0" collapsed="false">
      <c r="A10" s="35" t="s">
        <v>117</v>
      </c>
    </row>
    <row r="11" customFormat="false" ht="15" hidden="false" customHeight="false" outlineLevel="0" collapsed="false">
      <c r="A11" s="35"/>
    </row>
    <row r="12" customFormat="false" ht="15" hidden="false" customHeight="false" outlineLevel="0" collapsed="false">
      <c r="A12" s="34" t="s">
        <v>118</v>
      </c>
    </row>
    <row r="13" customFormat="false" ht="23.85" hidden="false" customHeight="false" outlineLevel="0" collapsed="false">
      <c r="A13" s="35" t="s">
        <v>119</v>
      </c>
    </row>
    <row r="14" customFormat="false" ht="15" hidden="false" customHeight="false" outlineLevel="0" collapsed="false">
      <c r="A14" s="35" t="s">
        <v>120</v>
      </c>
    </row>
    <row r="15" customFormat="false" ht="15" hidden="false" customHeight="false" outlineLevel="0" collapsed="false">
      <c r="A15" s="35" t="s">
        <v>121</v>
      </c>
    </row>
    <row r="16" customFormat="false" ht="15" hidden="false" customHeight="false" outlineLevel="0" collapsed="false">
      <c r="A16" s="35"/>
    </row>
    <row r="17" customFormat="false" ht="15" hidden="false" customHeight="false" outlineLevel="0" collapsed="false">
      <c r="A17" s="34" t="s">
        <v>122</v>
      </c>
    </row>
    <row r="18" customFormat="false" ht="15" hidden="false" customHeight="false" outlineLevel="0" collapsed="false">
      <c r="A18" s="35" t="s">
        <v>123</v>
      </c>
    </row>
    <row r="19" customFormat="false" ht="15" hidden="false" customHeight="false" outlineLevel="0" collapsed="false">
      <c r="A19" s="35" t="s">
        <v>124</v>
      </c>
    </row>
    <row r="20" customFormat="false" ht="15" hidden="false" customHeight="false" outlineLevel="0" collapsed="false">
      <c r="A20" s="35" t="s">
        <v>125</v>
      </c>
    </row>
    <row r="21" customFormat="false" ht="15" hidden="false" customHeight="false" outlineLevel="0" collapsed="false">
      <c r="A21" s="35" t="s">
        <v>126</v>
      </c>
    </row>
    <row r="22" customFormat="false" ht="15" hidden="false" customHeight="false" outlineLevel="0" collapsed="false">
      <c r="A22" s="35" t="s">
        <v>127</v>
      </c>
    </row>
    <row r="23" customFormat="false" ht="15" hidden="false" customHeight="false" outlineLevel="0" collapsed="false">
      <c r="A23" s="35" t="s">
        <v>128</v>
      </c>
    </row>
    <row r="24" customFormat="false" ht="15" hidden="false" customHeight="false" outlineLevel="0" collapsed="false">
      <c r="A24" s="35" t="s">
        <v>129</v>
      </c>
    </row>
    <row r="25" customFormat="false" ht="15" hidden="false" customHeight="false" outlineLevel="0" collapsed="false">
      <c r="A25" s="35"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2026-09-29T08:40:32Z</dcterms:created>
  <dc:creator>openpyxl</dc:creator>
  <dc:description/>
  <dc:language>en-US</dc:language>
  <cp:lastModifiedBy/>
  <dcterms:modified xsi:type="dcterms:W3CDTF">2026-09-29T08:40:36Z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